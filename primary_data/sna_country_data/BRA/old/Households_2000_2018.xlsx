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morgan/Dropbox/DINA-LATAM/Data/national_accounts/country-data/BRA/"/>
    </mc:Choice>
  </mc:AlternateContent>
  <xr:revisionPtr revIDLastSave="0" documentId="13_ncr:1_{8A188159-D305-254D-82E9-17041A4E6213}" xr6:coauthVersionLast="46" xr6:coauthVersionMax="46" xr10:uidLastSave="{00000000-0000-0000-0000-000000000000}"/>
  <bookViews>
    <workbookView xWindow="780" yWindow="960" windowWidth="27640" windowHeight="15980" xr2:uid="{51E71CE9-AAAE-FF49-A857-21B1D0DA7CB8}"/>
  </bookViews>
  <sheets>
    <sheet name="Familias" sheetId="1" r:id="rId1"/>
    <sheet name="FamíliaISFLSF_CF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" i="1" l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C52" i="1"/>
  <c r="K125" i="2"/>
  <c r="J125" i="2"/>
  <c r="I125" i="2"/>
  <c r="H125" i="2"/>
  <c r="G125" i="2"/>
  <c r="F125" i="2"/>
  <c r="E125" i="2"/>
  <c r="D125" i="2"/>
  <c r="C125" i="2"/>
  <c r="K61" i="2"/>
  <c r="J61" i="2"/>
  <c r="I61" i="2"/>
  <c r="H61" i="2"/>
  <c r="G61" i="2"/>
  <c r="F61" i="2"/>
  <c r="E61" i="2"/>
  <c r="D61" i="2"/>
  <c r="C61" i="2"/>
</calcChain>
</file>

<file path=xl/sharedStrings.xml><?xml version="1.0" encoding="utf-8"?>
<sst xmlns="http://schemas.openxmlformats.org/spreadsheetml/2006/main" count="360" uniqueCount="182">
  <si>
    <t>Tabela 5 - Contas econômicas, a preços correntes, segundo as contas, transações e saldos</t>
  </si>
  <si>
    <t>Famílias - 2000-2018</t>
  </si>
  <si>
    <t>Contas, transações e saldos</t>
  </si>
  <si>
    <t>Valor a preços correntes (1 000 000 R$)</t>
  </si>
  <si>
    <t>I. Conta de produção</t>
  </si>
  <si>
    <t xml:space="preserve">    Recursos</t>
  </si>
  <si>
    <t>P.1</t>
  </si>
  <si>
    <t xml:space="preserve">Produção </t>
  </si>
  <si>
    <t>P.11</t>
  </si>
  <si>
    <t xml:space="preserve">  Produção mercantil</t>
  </si>
  <si>
    <t xml:space="preserve">P.13 </t>
  </si>
  <si>
    <t xml:space="preserve">  Produção não mercantil</t>
  </si>
  <si>
    <t xml:space="preserve">    Usos</t>
  </si>
  <si>
    <t>P.2</t>
  </si>
  <si>
    <t>Consumo intermediário</t>
  </si>
  <si>
    <t xml:space="preserve">  B.1</t>
  </si>
  <si>
    <t>Valor adicionado bruto</t>
  </si>
  <si>
    <t>II. Conta de distribuição e uso da renda</t>
  </si>
  <si>
    <t>II.1. Conta de distribuição primária da renda</t>
  </si>
  <si>
    <t>II.1.1. Conta de geração da renda</t>
  </si>
  <si>
    <t>D.1</t>
  </si>
  <si>
    <t>Remuneração dos empregados</t>
  </si>
  <si>
    <t>D.11</t>
  </si>
  <si>
    <t xml:space="preserve">  Salários</t>
  </si>
  <si>
    <t>D.12</t>
  </si>
  <si>
    <t xml:space="preserve">  Contribuições sociais dos empregadores</t>
  </si>
  <si>
    <t>D.2-D.3</t>
  </si>
  <si>
    <t>Impostos, líquidos de subsídios, sobre a produção 
e a importação</t>
  </si>
  <si>
    <t xml:space="preserve">  B.2</t>
  </si>
  <si>
    <t>Excedente operacional bruto</t>
  </si>
  <si>
    <t xml:space="preserve">  B.3</t>
  </si>
  <si>
    <t>Rendimento misto bruto (rendimento de autônomos)</t>
  </si>
  <si>
    <t>II.1.2. Conta de alocação da renda primária</t>
  </si>
  <si>
    <t>D.4</t>
  </si>
  <si>
    <t>Rendas de propriedade</t>
  </si>
  <si>
    <t>D.41</t>
  </si>
  <si>
    <t xml:space="preserve">  Juros</t>
  </si>
  <si>
    <t>D.42</t>
  </si>
  <si>
    <t xml:space="preserve"> Rendas distribuídas das empresas</t>
  </si>
  <si>
    <t>D.43</t>
  </si>
  <si>
    <t xml:space="preserve">  Lucros reinvestidos de investimento direto estrangeiro </t>
  </si>
  <si>
    <t>D.44</t>
  </si>
  <si>
    <t xml:space="preserve">  Desembolsos por rendas de investimentos</t>
  </si>
  <si>
    <t>D.45</t>
  </si>
  <si>
    <t xml:space="preserve">  Renda de Recursos Naturais</t>
  </si>
  <si>
    <t xml:space="preserve">  B.5</t>
  </si>
  <si>
    <t>Saldo das rendas primárias brutas</t>
  </si>
  <si>
    <t>II.2. Conta de distribuição secundária da renda</t>
  </si>
  <si>
    <t xml:space="preserve">   B.5</t>
  </si>
  <si>
    <t>D.62</t>
  </si>
  <si>
    <t>Benefícios sociais, exceto transferências sociais em espécie</t>
  </si>
  <si>
    <t>D.7</t>
  </si>
  <si>
    <t>Outras transferências correntes</t>
  </si>
  <si>
    <t>D.5</t>
  </si>
  <si>
    <t>Impostos correntes sobre a renda, patrimônio, etc.</t>
  </si>
  <si>
    <t>D.61</t>
  </si>
  <si>
    <t>Contribuições sociais</t>
  </si>
  <si>
    <t xml:space="preserve">  B.6</t>
  </si>
  <si>
    <t>Renda nacional disponível bruta</t>
  </si>
  <si>
    <t>II.3. Conta de redistribuição da renda em espécie</t>
  </si>
  <si>
    <t>D.63</t>
  </si>
  <si>
    <t>Transferências sociais em espécie</t>
  </si>
  <si>
    <t xml:space="preserve">  B.7</t>
  </si>
  <si>
    <t>Renda disponível bruta ajustada</t>
  </si>
  <si>
    <t>II.4. Conta de uso da renda</t>
  </si>
  <si>
    <t>II.4.1. Conta de uso da renda disponível</t>
  </si>
  <si>
    <t>D.8</t>
  </si>
  <si>
    <t>Ajustamento pela variação da participação líquida
das famílias nos fundos de pensões</t>
  </si>
  <si>
    <t>P.3</t>
  </si>
  <si>
    <t>Despesa de consumo final</t>
  </si>
  <si>
    <t xml:space="preserve">  B.8</t>
  </si>
  <si>
    <t>Poupança bruta</t>
  </si>
  <si>
    <t>II.4.2. Conta de uso da renda disponível ajustada</t>
  </si>
  <si>
    <t>Recursos</t>
  </si>
  <si>
    <t xml:space="preserve">Renda disponível bruta ajustada </t>
  </si>
  <si>
    <t>P.4</t>
  </si>
  <si>
    <t>Consumo final efetivo</t>
  </si>
  <si>
    <t>III. Conta de acumulação</t>
  </si>
  <si>
    <t>III.1. Conta de capital</t>
  </si>
  <si>
    <t>Variações de passivos e patrimônio líquido</t>
  </si>
  <si>
    <t>D.9</t>
  </si>
  <si>
    <t>Transferências de capital a receber (1)</t>
  </si>
  <si>
    <t>Transferências de capital a pagar (1)</t>
  </si>
  <si>
    <t>Variações de ativos</t>
  </si>
  <si>
    <t>P.51</t>
  </si>
  <si>
    <t>Formação bruta de capital fixo</t>
  </si>
  <si>
    <t>P.52</t>
  </si>
  <si>
    <t>Variação de estoques</t>
  </si>
  <si>
    <t xml:space="preserve">   B.9</t>
  </si>
  <si>
    <t>Capacidade (+)/Necessidade(-) líquida de financiamento</t>
  </si>
  <si>
    <t>Fonte: IBGE, Diretoria de Pesquisas, Coordenação de Contas Nacionais.</t>
  </si>
  <si>
    <t>(1) Inclui a transação NP - Aquisições líquidas de cessões de ativos não financeiros não-produzidos.</t>
  </si>
  <si>
    <t>Tabela 6.1 - Conta financeira, a preços correntes, segundo os instrumentos financeiros</t>
  </si>
  <si>
    <t>Famílias e ISFLSF - não consolidada - 2010-2018</t>
  </si>
  <si>
    <t>Instrumentos financeiros</t>
  </si>
  <si>
    <t>III.2. Conta financeira</t>
  </si>
  <si>
    <t>F</t>
  </si>
  <si>
    <t>Aquisições líquidas de ativos financeiros</t>
  </si>
  <si>
    <t>F.1</t>
  </si>
  <si>
    <t>Ouro monetário e DES</t>
  </si>
  <si>
    <t>F.2</t>
  </si>
  <si>
    <t>Numerário e depósitos</t>
  </si>
  <si>
    <t xml:space="preserve">   F.21</t>
  </si>
  <si>
    <t xml:space="preserve">            Numerário</t>
  </si>
  <si>
    <t xml:space="preserve">   F.22</t>
  </si>
  <si>
    <t xml:space="preserve">            Depósito transferível</t>
  </si>
  <si>
    <t xml:space="preserve">   F.29</t>
  </si>
  <si>
    <t xml:space="preserve">            Outros depósitos</t>
  </si>
  <si>
    <t>F.3</t>
  </si>
  <si>
    <t xml:space="preserve">    Títulos de dívidas</t>
  </si>
  <si>
    <t xml:space="preserve">   F.31</t>
  </si>
  <si>
    <t xml:space="preserve">            Curto prazo</t>
  </si>
  <si>
    <t xml:space="preserve">   F.32</t>
  </si>
  <si>
    <t xml:space="preserve">            Longo prazo</t>
  </si>
  <si>
    <t>F.4</t>
  </si>
  <si>
    <t xml:space="preserve">    Empréstimos</t>
  </si>
  <si>
    <t xml:space="preserve">   F.41</t>
  </si>
  <si>
    <t xml:space="preserve">   F.42</t>
  </si>
  <si>
    <t>F.5</t>
  </si>
  <si>
    <t>Participações de capital e em fundos de investimentos</t>
  </si>
  <si>
    <t xml:space="preserve">   F.51</t>
  </si>
  <si>
    <t xml:space="preserve"> Participações capital  </t>
  </si>
  <si>
    <t xml:space="preserve">   F.511</t>
  </si>
  <si>
    <t xml:space="preserve">            Ações cotadas</t>
  </si>
  <si>
    <t xml:space="preserve">   F.512/19</t>
  </si>
  <si>
    <t xml:space="preserve">           Ações não cotadas e outras participações</t>
  </si>
  <si>
    <t xml:space="preserve">   F.52</t>
  </si>
  <si>
    <t xml:space="preserve">            Participações em fundos de investimento</t>
  </si>
  <si>
    <t>F.6</t>
  </si>
  <si>
    <t xml:space="preserve"> Sistemas de seguros, de previdência e regime de garantias padronizadas</t>
  </si>
  <si>
    <t xml:space="preserve">   F.61</t>
  </si>
  <si>
    <t xml:space="preserve"> Reservas técnica de seguros não vida </t>
  </si>
  <si>
    <t xml:space="preserve">   F.62</t>
  </si>
  <si>
    <t xml:space="preserve"> Direitos de seguros de vida e rendas vitalícias </t>
  </si>
  <si>
    <t xml:space="preserve">   F.63</t>
  </si>
  <si>
    <t xml:space="preserve"> Direitos sobre os fundos de pensão </t>
  </si>
  <si>
    <t>F.7</t>
  </si>
  <si>
    <t xml:space="preserve"> Derivativos financeiros </t>
  </si>
  <si>
    <t>F.8</t>
  </si>
  <si>
    <t xml:space="preserve"> Outras contas a receber/pagar</t>
  </si>
  <si>
    <t xml:space="preserve">   F.81</t>
  </si>
  <si>
    <t xml:space="preserve">            Créditos comerciais e adiantamentos</t>
  </si>
  <si>
    <t xml:space="preserve">   F.89</t>
  </si>
  <si>
    <t xml:space="preserve">           Outros</t>
  </si>
  <si>
    <t>Total das aquisições líquidas de ativos financeiros</t>
  </si>
  <si>
    <t xml:space="preserve">Aquisições líquidas de passivos </t>
  </si>
  <si>
    <t xml:space="preserve">Total das aquisições líquidas de passivos </t>
  </si>
  <si>
    <t>Tabela 6.2 - Conta de patrimônio financeira, a preços correntes, segundo os instrumentos financeiros</t>
  </si>
  <si>
    <t>Famílias e ISFLSF - não consolidada - 2010-2016</t>
  </si>
  <si>
    <t>III.3. e III.4. Conta de patrimônio financeiro, no final do período</t>
  </si>
  <si>
    <t>AF</t>
  </si>
  <si>
    <t>Ativos financeiros</t>
  </si>
  <si>
    <t xml:space="preserve">  A F.1</t>
  </si>
  <si>
    <t xml:space="preserve">  A F.2</t>
  </si>
  <si>
    <t xml:space="preserve">  A F.21</t>
  </si>
  <si>
    <t xml:space="preserve">  A F.22</t>
  </si>
  <si>
    <t xml:space="preserve">  A F.29</t>
  </si>
  <si>
    <t xml:space="preserve">  A F.3</t>
  </si>
  <si>
    <t xml:space="preserve">  A F.31</t>
  </si>
  <si>
    <t xml:space="preserve">  A F.32</t>
  </si>
  <si>
    <t xml:space="preserve">  A F.4</t>
  </si>
  <si>
    <t xml:space="preserve">  A F.41</t>
  </si>
  <si>
    <t xml:space="preserve">  A F.42</t>
  </si>
  <si>
    <t xml:space="preserve">  A F.5</t>
  </si>
  <si>
    <t xml:space="preserve">  A F.51</t>
  </si>
  <si>
    <t xml:space="preserve">  A F.511</t>
  </si>
  <si>
    <t xml:space="preserve">  A F.512/19</t>
  </si>
  <si>
    <t xml:space="preserve">  A F.52</t>
  </si>
  <si>
    <t xml:space="preserve">  A F.6</t>
  </si>
  <si>
    <t xml:space="preserve">  A F.61</t>
  </si>
  <si>
    <t xml:space="preserve">  A F.62</t>
  </si>
  <si>
    <t xml:space="preserve">  A F.63</t>
  </si>
  <si>
    <t xml:space="preserve">  A F.7</t>
  </si>
  <si>
    <t xml:space="preserve">  A F.8</t>
  </si>
  <si>
    <t xml:space="preserve">  A F.81</t>
  </si>
  <si>
    <t xml:space="preserve">  A F.89</t>
  </si>
  <si>
    <t>Total dos ativos financeiros</t>
  </si>
  <si>
    <t xml:space="preserve">Passivos </t>
  </si>
  <si>
    <t xml:space="preserve">  AF</t>
  </si>
  <si>
    <t xml:space="preserve">Total dos passivos </t>
  </si>
  <si>
    <t xml:space="preserve">  B F 90</t>
  </si>
  <si>
    <t xml:space="preserve">Ativos financeiros (+) líquidos de passivos (-)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</si>
</sst>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#\ ###\ ###\ ##0;\(\-\)\ ###\ ###\ ###\ ##0"/>
    <numFmt numFmtId="165" formatCode="###\ ###\ ##0;\(\-\)###\ ###\ ##0"/>
    <numFmt numFmtId="166" formatCode="###\ ###\ ###;\(\-\)###\ ###\ ###"/>
    <numFmt numFmtId="167" formatCode="_(&quot;R$&quot;* #,##0.00_);_(&quot;R$&quot;* \(#,##0.00\);_(&quot;R$&quot;* &quot;-&quot;??_);_(@_)"/>
    <numFmt numFmtId="168" formatCode="###\ ###\ ###\ ###;\ \(\-\)\ #\ ###\ ###\ ###"/>
  </numFmts>
  <fonts count="29">
    <font>
      <sz val="6"/>
      <name val="Arial"/>
      <family val="2"/>
    </font>
    <font>
      <sz val="10"/>
      <name val="Arial"/>
      <family val="2"/>
    </font>
    <font>
      <b/>
      <sz val="8"/>
      <name val="Univers LT Std 45 Light"/>
      <family val="2"/>
    </font>
    <font>
      <b/>
      <sz val="8"/>
      <name val="Univers LT Std 55"/>
      <family val="2"/>
    </font>
    <font>
      <sz val="8"/>
      <name val="Univers LT Std 55"/>
      <family val="2"/>
    </font>
    <font>
      <sz val="6"/>
      <name val="Arial"/>
      <family val="2"/>
    </font>
    <font>
      <sz val="6"/>
      <name val="Univers LT Std 55"/>
      <family val="2"/>
    </font>
    <font>
      <sz val="9"/>
      <name val="SWISS"/>
    </font>
    <font>
      <b/>
      <sz val="6"/>
      <name val="Univers LT Std 45 Light"/>
      <family val="2"/>
    </font>
    <font>
      <b/>
      <sz val="6"/>
      <name val="Univers LT Std 55"/>
      <family val="2"/>
    </font>
    <font>
      <b/>
      <sz val="6"/>
      <name val="Univers 45 Light"/>
      <family val="2"/>
    </font>
    <font>
      <b/>
      <sz val="6"/>
      <color indexed="8"/>
      <name val="Univers LT Std 45 Light"/>
      <family val="2"/>
    </font>
    <font>
      <b/>
      <sz val="6"/>
      <color indexed="8"/>
      <name val="Univers 45 Light"/>
      <family val="2"/>
    </font>
    <font>
      <sz val="6"/>
      <name val="Univers LT Std 45 Light"/>
      <family val="2"/>
    </font>
    <font>
      <sz val="6"/>
      <color indexed="8"/>
      <name val="Univers LT Std 55"/>
      <family val="2"/>
    </font>
    <font>
      <sz val="6"/>
      <color indexed="8"/>
      <name val="Univers 55"/>
      <family val="2"/>
    </font>
    <font>
      <b/>
      <sz val="6"/>
      <color indexed="8"/>
      <name val="Univers 55"/>
      <family val="2"/>
    </font>
    <font>
      <b/>
      <sz val="6"/>
      <color indexed="8"/>
      <name val="Univers LT Std 55"/>
      <family val="2"/>
    </font>
    <font>
      <sz val="6"/>
      <name val="Univers 45 Light"/>
      <family val="2"/>
    </font>
    <font>
      <sz val="6"/>
      <color indexed="8"/>
      <name val="Arial"/>
      <family val="2"/>
    </font>
    <font>
      <sz val="6"/>
      <name val="Univers 55"/>
      <family val="2"/>
    </font>
    <font>
      <b/>
      <sz val="8"/>
      <name val="Univers 45 Light"/>
      <family val="2"/>
    </font>
    <font>
      <b/>
      <sz val="6"/>
      <color indexed="8"/>
      <name val="Univers 45 Light"/>
    </font>
    <font>
      <sz val="6"/>
      <color indexed="8"/>
      <name val="Univers 45 Light"/>
      <family val="2"/>
    </font>
    <font>
      <b/>
      <sz val="6"/>
      <name val="Univers 45 Light"/>
    </font>
    <font>
      <b/>
      <sz val="6"/>
      <name val="Univers 55"/>
      <family val="2"/>
    </font>
    <font>
      <sz val="6"/>
      <name val="Univers 55"/>
    </font>
    <font>
      <sz val="6"/>
      <name val="Univers 45 Light"/>
    </font>
    <font>
      <b/>
      <sz val="6"/>
      <color theme="1"/>
      <name val="Univers 55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0" fontId="1" fillId="0" borderId="0"/>
    <xf numFmtId="1" fontId="7" fillId="2" borderId="0" applyNumberFormat="0" applyFont="0" applyFill="0" applyBorder="0" applyAlignment="0" applyProtection="0"/>
    <xf numFmtId="0" fontId="5" fillId="0" borderId="0" applyProtection="0"/>
    <xf numFmtId="0" fontId="5" fillId="0" borderId="0" applyProtection="0"/>
    <xf numFmtId="0" fontId="19" fillId="0" borderId="0" applyNumberFormat="0" applyFill="0" applyBorder="0" applyAlignment="0"/>
    <xf numFmtId="167" fontId="5" fillId="0" borderId="0" applyFont="0" applyFill="0" applyBorder="0" applyAlignment="0" applyProtection="0"/>
    <xf numFmtId="1" fontId="7" fillId="2" borderId="0" applyNumberFormat="0" applyFont="0" applyFill="0" applyBorder="0" applyAlignment="0" applyProtection="0"/>
    <xf numFmtId="9" fontId="5" fillId="0" borderId="0" applyFont="0" applyFill="0" applyBorder="0" applyAlignment="0" applyProtection="0"/>
  </cellStyleXfs>
  <cellXfs count="160">
    <xf numFmtId="0" fontId="0" fillId="0" borderId="0" xfId="0"/>
    <xf numFmtId="164" fontId="2" fillId="0" borderId="0" xfId="2" applyNumberFormat="1" applyFont="1" applyAlignment="1">
      <alignment horizontal="centerContinuous" vertical="center"/>
    </xf>
    <xf numFmtId="164" fontId="3" fillId="0" borderId="0" xfId="2" applyNumberFormat="1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4" fillId="0" borderId="0" xfId="2" applyFont="1"/>
    <xf numFmtId="164" fontId="6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right"/>
    </xf>
    <xf numFmtId="0" fontId="6" fillId="0" borderId="0" xfId="0" applyFont="1"/>
    <xf numFmtId="3" fontId="6" fillId="0" borderId="3" xfId="3" applyNumberFormat="1" applyFont="1" applyFill="1" applyBorder="1" applyAlignment="1">
      <alignment horizontal="centerContinuous" vertical="center" wrapText="1"/>
    </xf>
    <xf numFmtId="0" fontId="6" fillId="0" borderId="4" xfId="4" applyFont="1" applyBorder="1" applyAlignment="1">
      <alignment horizontal="centerContinuous" vertical="center"/>
    </xf>
    <xf numFmtId="3" fontId="6" fillId="0" borderId="4" xfId="3" applyNumberFormat="1" applyFont="1" applyFill="1" applyBorder="1" applyAlignment="1">
      <alignment horizontal="centerContinuous" vertical="center" wrapText="1"/>
    </xf>
    <xf numFmtId="3" fontId="6" fillId="0" borderId="4" xfId="3" applyNumberFormat="1" applyFont="1" applyFill="1" applyBorder="1" applyAlignment="1">
      <alignment horizontal="centerContinuous" vertical="center"/>
    </xf>
    <xf numFmtId="0" fontId="4" fillId="0" borderId="0" xfId="4" applyFont="1" applyAlignment="1">
      <alignment vertical="center"/>
    </xf>
    <xf numFmtId="1" fontId="6" fillId="0" borderId="7" xfId="3" applyNumberFormat="1" applyFont="1" applyFill="1" applyBorder="1" applyAlignment="1">
      <alignment horizontal="center" vertical="center"/>
    </xf>
    <xf numFmtId="1" fontId="6" fillId="0" borderId="3" xfId="3" applyNumberFormat="1" applyFont="1" applyFill="1" applyBorder="1" applyAlignment="1">
      <alignment horizontal="center" vertical="center"/>
    </xf>
    <xf numFmtId="37" fontId="8" fillId="3" borderId="0" xfId="4" applyNumberFormat="1" applyFont="1" applyFill="1" applyAlignment="1" applyProtection="1">
      <alignment horizontal="centerContinuous" vertical="center"/>
    </xf>
    <xf numFmtId="37" fontId="9" fillId="3" borderId="0" xfId="4" applyNumberFormat="1" applyFont="1" applyFill="1" applyAlignment="1" applyProtection="1">
      <alignment horizontal="centerContinuous" vertical="center"/>
    </xf>
    <xf numFmtId="37" fontId="10" fillId="3" borderId="1" xfId="5" applyNumberFormat="1" applyFont="1" applyFill="1" applyBorder="1" applyAlignment="1" applyProtection="1">
      <alignment horizontal="centerContinuous" vertical="center"/>
    </xf>
    <xf numFmtId="0" fontId="6" fillId="0" borderId="0" xfId="4" applyFont="1"/>
    <xf numFmtId="3" fontId="11" fillId="0" borderId="0" xfId="3" applyNumberFormat="1" applyFont="1" applyFill="1" applyBorder="1" applyAlignment="1">
      <alignment horizontal="left"/>
    </xf>
    <xf numFmtId="3" fontId="11" fillId="0" borderId="0" xfId="3" applyNumberFormat="1" applyFont="1" applyFill="1" applyBorder="1" applyAlignment="1">
      <alignment horizontal="centerContinuous"/>
    </xf>
    <xf numFmtId="3" fontId="12" fillId="0" borderId="0" xfId="3" applyNumberFormat="1" applyFont="1" applyFill="1" applyBorder="1" applyAlignment="1">
      <alignment horizontal="centerContinuous"/>
    </xf>
    <xf numFmtId="0" fontId="13" fillId="0" borderId="0" xfId="4" applyFont="1"/>
    <xf numFmtId="3" fontId="14" fillId="0" borderId="0" xfId="3" applyNumberFormat="1" applyFont="1" applyFill="1" applyBorder="1" applyAlignment="1"/>
    <xf numFmtId="3" fontId="14" fillId="0" borderId="0" xfId="3" quotePrefix="1" applyNumberFormat="1" applyFont="1" applyFill="1" applyBorder="1" applyAlignment="1">
      <alignment horizontal="left"/>
    </xf>
    <xf numFmtId="165" fontId="15" fillId="0" borderId="0" xfId="3" quotePrefix="1" applyNumberFormat="1" applyFont="1" applyFill="1" applyBorder="1" applyAlignment="1"/>
    <xf numFmtId="165" fontId="14" fillId="0" borderId="0" xfId="3" quotePrefix="1" applyNumberFormat="1" applyFont="1" applyFill="1" applyBorder="1" applyAlignment="1"/>
    <xf numFmtId="37" fontId="6" fillId="0" borderId="0" xfId="4" applyNumberFormat="1" applyFont="1" applyProtection="1"/>
    <xf numFmtId="3" fontId="16" fillId="0" borderId="0" xfId="3" applyNumberFormat="1" applyFont="1" applyFill="1" applyBorder="1" applyAlignment="1">
      <alignment horizontal="centerContinuous"/>
    </xf>
    <xf numFmtId="165" fontId="15" fillId="0" borderId="0" xfId="1" applyNumberFormat="1" applyFont="1" applyFill="1" applyBorder="1" applyAlignment="1">
      <alignment horizontal="right"/>
    </xf>
    <xf numFmtId="165" fontId="14" fillId="0" borderId="0" xfId="1" applyNumberFormat="1" applyFont="1" applyFill="1" applyBorder="1" applyAlignment="1">
      <alignment horizontal="right"/>
    </xf>
    <xf numFmtId="3" fontId="11" fillId="0" borderId="0" xfId="3" applyNumberFormat="1" applyFont="1" applyFill="1" applyBorder="1" applyAlignment="1"/>
    <xf numFmtId="3" fontId="11" fillId="0" borderId="0" xfId="3" quotePrefix="1" applyNumberFormat="1" applyFont="1" applyFill="1" applyBorder="1" applyAlignment="1">
      <alignment horizontal="left"/>
    </xf>
    <xf numFmtId="165" fontId="12" fillId="0" borderId="0" xfId="1" applyNumberFormat="1" applyFont="1" applyFill="1" applyBorder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3" fontId="17" fillId="0" borderId="0" xfId="3" applyNumberFormat="1" applyFont="1" applyFill="1" applyBorder="1" applyAlignment="1"/>
    <xf numFmtId="3" fontId="17" fillId="0" borderId="0" xfId="3" quotePrefix="1" applyNumberFormat="1" applyFont="1" applyFill="1" applyBorder="1" applyAlignment="1">
      <alignment horizontal="left"/>
    </xf>
    <xf numFmtId="166" fontId="12" fillId="0" borderId="0" xfId="1" applyNumberFormat="1" applyFont="1" applyFill="1" applyBorder="1" applyAlignment="1">
      <alignment horizontal="right"/>
    </xf>
    <xf numFmtId="0" fontId="18" fillId="0" borderId="0" xfId="5" applyFont="1"/>
    <xf numFmtId="166" fontId="17" fillId="0" borderId="0" xfId="1" applyNumberFormat="1" applyFont="1" applyFill="1" applyBorder="1" applyAlignment="1">
      <alignment horizontal="right"/>
    </xf>
    <xf numFmtId="37" fontId="10" fillId="3" borderId="0" xfId="5" applyNumberFormat="1" applyFont="1" applyFill="1" applyAlignment="1" applyProtection="1">
      <alignment horizontal="centerContinuous" vertical="center"/>
    </xf>
    <xf numFmtId="3" fontId="11" fillId="3" borderId="0" xfId="3" applyNumberFormat="1" applyFont="1" applyFill="1" applyBorder="1" applyAlignment="1">
      <alignment horizontal="centerContinuous" vertical="center"/>
    </xf>
    <xf numFmtId="3" fontId="17" fillId="3" borderId="0" xfId="3" applyNumberFormat="1" applyFont="1" applyFill="1" applyBorder="1" applyAlignment="1">
      <alignment horizontal="centerContinuous" vertical="center"/>
    </xf>
    <xf numFmtId="3" fontId="12" fillId="3" borderId="0" xfId="3" applyNumberFormat="1" applyFont="1" applyFill="1" applyBorder="1" applyAlignment="1">
      <alignment horizontal="centerContinuous" vertical="center"/>
    </xf>
    <xf numFmtId="3" fontId="11" fillId="0" borderId="0" xfId="3" quotePrefix="1" applyNumberFormat="1" applyFont="1" applyFill="1" applyAlignment="1">
      <alignment horizontal="left"/>
    </xf>
    <xf numFmtId="165" fontId="10" fillId="0" borderId="0" xfId="5" applyNumberFormat="1" applyFont="1"/>
    <xf numFmtId="165" fontId="8" fillId="0" borderId="0" xfId="4" applyNumberFormat="1" applyFont="1"/>
    <xf numFmtId="166" fontId="6" fillId="0" borderId="0" xfId="6" applyNumberFormat="1" applyFont="1" applyFill="1" applyBorder="1" applyAlignment="1"/>
    <xf numFmtId="166" fontId="6" fillId="0" borderId="0" xfId="6" applyNumberFormat="1" applyFont="1" applyFill="1" applyBorder="1" applyAlignment="1">
      <alignment horizontal="left" wrapText="1"/>
    </xf>
    <xf numFmtId="165" fontId="20" fillId="0" borderId="0" xfId="5" applyNumberFormat="1" applyFont="1"/>
    <xf numFmtId="165" fontId="6" fillId="0" borderId="0" xfId="4" applyNumberFormat="1" applyFont="1"/>
    <xf numFmtId="166" fontId="6" fillId="0" borderId="0" xfId="6" applyNumberFormat="1" applyFont="1" applyFill="1" applyBorder="1" applyAlignment="1">
      <alignment vertical="top"/>
    </xf>
    <xf numFmtId="166" fontId="6" fillId="0" borderId="0" xfId="6" applyNumberFormat="1" applyFont="1" applyFill="1" applyBorder="1" applyAlignment="1">
      <alignment horizontal="left" vertical="justify" wrapText="1"/>
    </xf>
    <xf numFmtId="166" fontId="8" fillId="0" borderId="0" xfId="6" applyNumberFormat="1" applyFont="1" applyFill="1" applyBorder="1" applyAlignment="1"/>
    <xf numFmtId="166" fontId="8" fillId="0" borderId="0" xfId="6" applyNumberFormat="1" applyFont="1" applyFill="1" applyBorder="1" applyAlignment="1">
      <alignment horizontal="left" wrapText="1"/>
    </xf>
    <xf numFmtId="166" fontId="9" fillId="0" borderId="0" xfId="6" applyNumberFormat="1" applyFont="1" applyFill="1" applyBorder="1" applyAlignment="1"/>
    <xf numFmtId="166" fontId="9" fillId="0" borderId="0" xfId="6" applyNumberFormat="1" applyFont="1" applyFill="1" applyBorder="1" applyAlignment="1">
      <alignment horizontal="left" wrapText="1"/>
    </xf>
    <xf numFmtId="166" fontId="10" fillId="0" borderId="0" xfId="5" applyNumberFormat="1" applyFont="1"/>
    <xf numFmtId="166" fontId="9" fillId="0" borderId="0" xfId="4" applyNumberFormat="1" applyFont="1"/>
    <xf numFmtId="166" fontId="6" fillId="0" borderId="0" xfId="6" applyNumberFormat="1" applyFont="1" applyFill="1" applyBorder="1" applyAlignment="1">
      <alignment horizontal="left"/>
    </xf>
    <xf numFmtId="166" fontId="6" fillId="0" borderId="0" xfId="6" applyNumberFormat="1" applyFont="1" applyFill="1" applyBorder="1" applyAlignment="1">
      <alignment horizontal="left" vertical="top"/>
    </xf>
    <xf numFmtId="166" fontId="20" fillId="0" borderId="0" xfId="6" applyNumberFormat="1" applyFont="1" applyFill="1" applyBorder="1" applyAlignment="1">
      <alignment horizontal="left" vertical="top" wrapText="1"/>
    </xf>
    <xf numFmtId="165" fontId="16" fillId="0" borderId="0" xfId="3" applyNumberFormat="1" applyFont="1" applyFill="1" applyBorder="1" applyAlignment="1">
      <alignment horizontal="centerContinuous"/>
    </xf>
    <xf numFmtId="0" fontId="13" fillId="0" borderId="0" xfId="4" applyFont="1" applyAlignment="1">
      <alignment vertical="center"/>
    </xf>
    <xf numFmtId="166" fontId="8" fillId="0" borderId="0" xfId="6" applyNumberFormat="1" applyFont="1" applyFill="1" applyBorder="1" applyAlignment="1">
      <alignment horizontal="left"/>
    </xf>
    <xf numFmtId="166" fontId="9" fillId="0" borderId="0" xfId="6" applyNumberFormat="1" applyFont="1" applyFill="1" applyBorder="1" applyAlignment="1">
      <alignment horizontal="left"/>
    </xf>
    <xf numFmtId="1" fontId="8" fillId="3" borderId="0" xfId="4" applyNumberFormat="1" applyFont="1" applyFill="1" applyAlignment="1">
      <alignment horizontal="centerContinuous" vertical="center"/>
    </xf>
    <xf numFmtId="1" fontId="10" fillId="3" borderId="0" xfId="5" applyNumberFormat="1" applyFont="1" applyFill="1" applyAlignment="1">
      <alignment horizontal="centerContinuous" vertical="center"/>
    </xf>
    <xf numFmtId="37" fontId="8" fillId="0" borderId="0" xfId="3" applyNumberFormat="1" applyFont="1" applyFill="1" applyBorder="1" applyAlignment="1" applyProtection="1"/>
    <xf numFmtId="165" fontId="12" fillId="0" borderId="0" xfId="3" quotePrefix="1" applyNumberFormat="1" applyFont="1" applyFill="1" applyBorder="1" applyAlignment="1"/>
    <xf numFmtId="165" fontId="11" fillId="0" borderId="0" xfId="3" quotePrefix="1" applyNumberFormat="1" applyFont="1" applyFill="1" applyBorder="1" applyAlignment="1"/>
    <xf numFmtId="37" fontId="6" fillId="0" borderId="0" xfId="3" applyNumberFormat="1" applyFont="1" applyFill="1" applyAlignment="1" applyProtection="1">
      <alignment vertical="top"/>
    </xf>
    <xf numFmtId="37" fontId="6" fillId="0" borderId="0" xfId="3" quotePrefix="1" applyNumberFormat="1" applyFont="1" applyFill="1" applyAlignment="1" applyProtection="1">
      <alignment horizontal="left" vertical="justify" wrapText="1"/>
    </xf>
    <xf numFmtId="37" fontId="6" fillId="0" borderId="0" xfId="3" quotePrefix="1" applyNumberFormat="1" applyFont="1" applyFill="1" applyAlignment="1" applyProtection="1">
      <alignment horizontal="left"/>
    </xf>
    <xf numFmtId="37" fontId="6" fillId="0" borderId="0" xfId="3" applyNumberFormat="1" applyFont="1" applyFill="1" applyAlignment="1" applyProtection="1">
      <alignment horizontal="left"/>
    </xf>
    <xf numFmtId="165" fontId="15" fillId="0" borderId="0" xfId="1" applyNumberFormat="1" applyFont="1" applyFill="1" applyAlignment="1">
      <alignment horizontal="right"/>
    </xf>
    <xf numFmtId="165" fontId="14" fillId="0" borderId="0" xfId="1" applyNumberFormat="1" applyFont="1" applyFill="1" applyAlignment="1">
      <alignment horizontal="right"/>
    </xf>
    <xf numFmtId="37" fontId="8" fillId="0" borderId="0" xfId="3" applyNumberFormat="1" applyFont="1" applyFill="1" applyBorder="1" applyAlignment="1" applyProtection="1">
      <alignment horizontal="left"/>
    </xf>
    <xf numFmtId="37" fontId="8" fillId="0" borderId="0" xfId="3" quotePrefix="1" applyNumberFormat="1" applyFont="1" applyFill="1" applyBorder="1" applyAlignment="1" applyProtection="1">
      <alignment horizontal="left"/>
    </xf>
    <xf numFmtId="165" fontId="10" fillId="0" borderId="0" xfId="1" applyNumberFormat="1" applyFont="1" applyFill="1" applyBorder="1" applyAlignment="1">
      <alignment horizontal="right"/>
    </xf>
    <xf numFmtId="165" fontId="8" fillId="0" borderId="0" xfId="1" applyNumberFormat="1" applyFont="1" applyFill="1" applyBorder="1" applyAlignment="1">
      <alignment horizontal="right"/>
    </xf>
    <xf numFmtId="37" fontId="9" fillId="0" borderId="0" xfId="3" quotePrefix="1" applyNumberFormat="1" applyFont="1" applyFill="1" applyBorder="1" applyAlignment="1" applyProtection="1">
      <alignment horizontal="left"/>
    </xf>
    <xf numFmtId="166" fontId="10" fillId="0" borderId="0" xfId="1" applyNumberFormat="1" applyFont="1" applyFill="1" applyBorder="1" applyAlignment="1">
      <alignment horizontal="right"/>
    </xf>
    <xf numFmtId="166" fontId="9" fillId="0" borderId="0" xfId="1" applyNumberFormat="1" applyFont="1" applyFill="1" applyBorder="1" applyAlignment="1">
      <alignment horizontal="right"/>
    </xf>
    <xf numFmtId="3" fontId="11" fillId="0" borderId="0" xfId="3" applyNumberFormat="1" applyFont="1" applyFill="1" applyBorder="1" applyAlignment="1">
      <alignment horizontal="center"/>
    </xf>
    <xf numFmtId="3" fontId="10" fillId="0" borderId="0" xfId="3" applyNumberFormat="1" applyFont="1" applyFill="1" applyBorder="1" applyAlignment="1">
      <alignment horizontal="centerContinuous"/>
    </xf>
    <xf numFmtId="3" fontId="8" fillId="3" borderId="0" xfId="3" applyNumberFormat="1" applyFont="1" applyFill="1" applyAlignment="1">
      <alignment horizontal="centerContinuous" vertical="center"/>
    </xf>
    <xf numFmtId="3" fontId="10" fillId="3" borderId="0" xfId="3" applyNumberFormat="1" applyFont="1" applyFill="1" applyAlignment="1">
      <alignment horizontal="centerContinuous" vertical="center"/>
    </xf>
    <xf numFmtId="3" fontId="8" fillId="0" borderId="0" xfId="3" applyNumberFormat="1" applyFont="1" applyFill="1" applyBorder="1" applyAlignment="1"/>
    <xf numFmtId="165" fontId="12" fillId="0" borderId="0" xfId="3" applyNumberFormat="1" applyFont="1" applyFill="1" applyAlignment="1"/>
    <xf numFmtId="165" fontId="11" fillId="0" borderId="0" xfId="3" applyNumberFormat="1" applyFont="1" applyFill="1" applyAlignment="1"/>
    <xf numFmtId="166" fontId="9" fillId="0" borderId="5" xfId="6" applyNumberFormat="1" applyFont="1" applyFill="1" applyBorder="1" applyAlignment="1">
      <alignment horizontal="left"/>
    </xf>
    <xf numFmtId="166" fontId="9" fillId="0" borderId="5" xfId="6" applyNumberFormat="1" applyFont="1" applyFill="1" applyBorder="1" applyAlignment="1">
      <alignment horizontal="left" wrapText="1"/>
    </xf>
    <xf numFmtId="166" fontId="9" fillId="0" borderId="5" xfId="4" applyNumberFormat="1" applyFont="1" applyBorder="1"/>
    <xf numFmtId="166" fontId="14" fillId="0" borderId="0" xfId="6" applyNumberFormat="1" applyFont="1" applyFill="1" applyBorder="1" applyAlignment="1"/>
    <xf numFmtId="0" fontId="20" fillId="0" borderId="0" xfId="2" applyFont="1"/>
    <xf numFmtId="0" fontId="6" fillId="0" borderId="0" xfId="4" applyFont="1" applyAlignment="1">
      <alignment vertical="center"/>
    </xf>
    <xf numFmtId="166" fontId="14" fillId="0" borderId="0" xfId="6" applyNumberFormat="1" applyFont="1" applyFill="1" applyBorder="1" applyAlignment="1">
      <alignment vertical="center"/>
    </xf>
    <xf numFmtId="164" fontId="21" fillId="0" borderId="0" xfId="2" applyNumberFormat="1" applyFont="1" applyAlignment="1">
      <alignment horizontal="centerContinuous"/>
    </xf>
    <xf numFmtId="0" fontId="18" fillId="0" borderId="0" xfId="0" applyFont="1" applyAlignment="1">
      <alignment horizontal="centerContinuous"/>
    </xf>
    <xf numFmtId="0" fontId="18" fillId="0" borderId="0" xfId="0" applyFont="1"/>
    <xf numFmtId="0" fontId="20" fillId="0" borderId="0" xfId="0" applyFont="1"/>
    <xf numFmtId="3" fontId="20" fillId="0" borderId="3" xfId="3" applyNumberFormat="1" applyFont="1" applyFill="1" applyBorder="1" applyAlignment="1">
      <alignment horizontal="centerContinuous" vertical="center"/>
    </xf>
    <xf numFmtId="3" fontId="20" fillId="0" borderId="4" xfId="3" applyNumberFormat="1" applyFont="1" applyFill="1" applyBorder="1" applyAlignment="1">
      <alignment horizontal="centerContinuous" vertical="center"/>
    </xf>
    <xf numFmtId="1" fontId="20" fillId="0" borderId="7" xfId="3" applyNumberFormat="1" applyFont="1" applyFill="1" applyBorder="1" applyAlignment="1">
      <alignment horizontal="center" vertical="center"/>
    </xf>
    <xf numFmtId="1" fontId="20" fillId="0" borderId="3" xfId="3" applyNumberFormat="1" applyFont="1" applyFill="1" applyBorder="1" applyAlignment="1">
      <alignment horizontal="center" vertical="center"/>
    </xf>
    <xf numFmtId="37" fontId="8" fillId="3" borderId="0" xfId="5" applyNumberFormat="1" applyFont="1" applyFill="1" applyAlignment="1" applyProtection="1">
      <alignment horizontal="centerContinuous" vertical="center"/>
    </xf>
    <xf numFmtId="37" fontId="8" fillId="3" borderId="0" xfId="5" applyNumberFormat="1" applyFont="1" applyFill="1" applyAlignment="1" applyProtection="1">
      <alignment horizontal="centerContinuous"/>
    </xf>
    <xf numFmtId="0" fontId="18" fillId="4" borderId="0" xfId="0" applyFont="1" applyFill="1"/>
    <xf numFmtId="167" fontId="18" fillId="0" borderId="0" xfId="7" applyFont="1" applyFill="1" applyBorder="1" applyAlignment="1">
      <alignment horizontal="center" vertical="center"/>
    </xf>
    <xf numFmtId="37" fontId="10" fillId="0" borderId="0" xfId="5" applyNumberFormat="1" applyFont="1" applyAlignment="1" applyProtection="1">
      <alignment horizontal="centerContinuous"/>
    </xf>
    <xf numFmtId="3" fontId="22" fillId="3" borderId="0" xfId="3" applyNumberFormat="1" applyFont="1" applyFill="1" applyBorder="1" applyAlignment="1">
      <alignment horizontal="left"/>
    </xf>
    <xf numFmtId="3" fontId="12" fillId="3" borderId="0" xfId="3" applyNumberFormat="1" applyFont="1" applyFill="1" applyBorder="1" applyAlignment="1">
      <alignment horizontal="left"/>
    </xf>
    <xf numFmtId="168" fontId="12" fillId="3" borderId="0" xfId="3" applyNumberFormat="1" applyFont="1" applyFill="1" applyBorder="1" applyAlignment="1">
      <alignment horizontal="right"/>
    </xf>
    <xf numFmtId="37" fontId="20" fillId="4" borderId="0" xfId="5" applyNumberFormat="1" applyFont="1" applyFill="1" applyProtection="1"/>
    <xf numFmtId="3" fontId="15" fillId="4" borderId="0" xfId="3" applyNumberFormat="1" applyFont="1" applyFill="1" applyBorder="1" applyAlignment="1">
      <alignment horizontal="left"/>
    </xf>
    <xf numFmtId="168" fontId="15" fillId="4" borderId="0" xfId="3" applyNumberFormat="1" applyFont="1" applyFill="1" applyBorder="1" applyAlignment="1">
      <alignment horizontal="right"/>
    </xf>
    <xf numFmtId="0" fontId="20" fillId="4" borderId="0" xfId="0" applyFont="1" applyFill="1"/>
    <xf numFmtId="3" fontId="20" fillId="4" borderId="0" xfId="3" applyNumberFormat="1" applyFont="1" applyFill="1" applyBorder="1" applyAlignment="1">
      <alignment horizontal="left"/>
    </xf>
    <xf numFmtId="166" fontId="20" fillId="4" borderId="0" xfId="6" applyNumberFormat="1" applyFont="1" applyFill="1" applyBorder="1" applyAlignment="1">
      <alignment horizontal="left"/>
    </xf>
    <xf numFmtId="0" fontId="15" fillId="4" borderId="0" xfId="0" applyFont="1" applyFill="1" applyAlignment="1">
      <alignment horizontal="left"/>
    </xf>
    <xf numFmtId="3" fontId="23" fillId="3" borderId="0" xfId="3" applyNumberFormat="1" applyFont="1" applyFill="1" applyBorder="1" applyAlignment="1">
      <alignment horizontal="left"/>
    </xf>
    <xf numFmtId="3" fontId="12" fillId="0" borderId="0" xfId="3" applyNumberFormat="1" applyFont="1" applyFill="1" applyBorder="1" applyAlignment="1">
      <alignment horizontal="left"/>
    </xf>
    <xf numFmtId="168" fontId="20" fillId="0" borderId="0" xfId="0" applyNumberFormat="1" applyFont="1"/>
    <xf numFmtId="168" fontId="20" fillId="4" borderId="0" xfId="0" applyNumberFormat="1" applyFont="1" applyFill="1"/>
    <xf numFmtId="166" fontId="10" fillId="4" borderId="0" xfId="6" applyNumberFormat="1" applyFont="1" applyFill="1" applyBorder="1" applyAlignment="1">
      <alignment horizontal="left"/>
    </xf>
    <xf numFmtId="168" fontId="24" fillId="4" borderId="0" xfId="0" applyNumberFormat="1" applyFont="1" applyFill="1"/>
    <xf numFmtId="166" fontId="25" fillId="4" borderId="5" xfId="6" applyNumberFormat="1" applyFont="1" applyFill="1" applyBorder="1" applyAlignment="1">
      <alignment horizontal="left"/>
    </xf>
    <xf numFmtId="166" fontId="25" fillId="4" borderId="5" xfId="6" applyNumberFormat="1" applyFont="1" applyFill="1" applyBorder="1" applyAlignment="1">
      <alignment horizontal="left" wrapText="1"/>
    </xf>
    <xf numFmtId="166" fontId="25" fillId="4" borderId="5" xfId="5" applyNumberFormat="1" applyFont="1" applyFill="1" applyBorder="1"/>
    <xf numFmtId="0" fontId="20" fillId="4" borderId="0" xfId="5" applyFont="1" applyFill="1"/>
    <xf numFmtId="0" fontId="6" fillId="0" borderId="0" xfId="5" applyFont="1"/>
    <xf numFmtId="164" fontId="21" fillId="4" borderId="0" xfId="2" applyNumberFormat="1" applyFont="1" applyFill="1" applyAlignment="1">
      <alignment horizontal="centerContinuous"/>
    </xf>
    <xf numFmtId="0" fontId="20" fillId="4" borderId="0" xfId="0" applyFont="1" applyFill="1" applyAlignment="1">
      <alignment horizontal="centerContinuous"/>
    </xf>
    <xf numFmtId="166" fontId="26" fillId="4" borderId="0" xfId="6" applyNumberFormat="1" applyFont="1" applyFill="1" applyBorder="1" applyAlignment="1">
      <alignment vertical="top"/>
    </xf>
    <xf numFmtId="166" fontId="20" fillId="4" borderId="0" xfId="6" applyNumberFormat="1" applyFont="1" applyFill="1" applyBorder="1" applyAlignment="1">
      <alignment vertical="top"/>
    </xf>
    <xf numFmtId="166" fontId="27" fillId="4" borderId="0" xfId="6" applyNumberFormat="1" applyFont="1" applyFill="1" applyBorder="1" applyAlignment="1">
      <alignment horizontal="left" vertical="top"/>
    </xf>
    <xf numFmtId="166" fontId="27" fillId="4" borderId="0" xfId="6" applyNumberFormat="1" applyFont="1" applyFill="1" applyBorder="1" applyAlignment="1">
      <alignment vertical="top"/>
    </xf>
    <xf numFmtId="166" fontId="26" fillId="4" borderId="0" xfId="6" applyNumberFormat="1" applyFont="1" applyFill="1" applyBorder="1" applyAlignment="1">
      <alignment horizontal="left" vertical="top"/>
    </xf>
    <xf numFmtId="166" fontId="20" fillId="4" borderId="0" xfId="6" applyNumberFormat="1" applyFont="1" applyFill="1" applyBorder="1" applyAlignment="1">
      <alignment horizontal="left" vertical="top" wrapText="1"/>
    </xf>
    <xf numFmtId="166" fontId="20" fillId="4" borderId="0" xfId="8" applyNumberFormat="1" applyFont="1" applyFill="1" applyBorder="1"/>
    <xf numFmtId="166" fontId="26" fillId="4" borderId="0" xfId="6" applyNumberFormat="1" applyFont="1" applyFill="1" applyBorder="1" applyAlignment="1">
      <alignment horizontal="left" vertical="top" wrapText="1"/>
    </xf>
    <xf numFmtId="3" fontId="16" fillId="4" borderId="0" xfId="3" applyNumberFormat="1" applyFont="1" applyFill="1" applyBorder="1" applyAlignment="1">
      <alignment horizontal="left"/>
    </xf>
    <xf numFmtId="166" fontId="25" fillId="0" borderId="0" xfId="6" applyNumberFormat="1" applyFont="1" applyFill="1" applyBorder="1" applyAlignment="1">
      <alignment horizontal="left"/>
    </xf>
    <xf numFmtId="166" fontId="25" fillId="0" borderId="0" xfId="6" applyNumberFormat="1" applyFont="1" applyFill="1" applyBorder="1" applyAlignment="1">
      <alignment horizontal="left" wrapText="1"/>
    </xf>
    <xf numFmtId="166" fontId="25" fillId="0" borderId="0" xfId="5" applyNumberFormat="1" applyFont="1"/>
    <xf numFmtId="166" fontId="25" fillId="0" borderId="5" xfId="6" applyNumberFormat="1" applyFont="1" applyFill="1" applyBorder="1" applyAlignment="1">
      <alignment horizontal="left"/>
    </xf>
    <xf numFmtId="166" fontId="25" fillId="0" borderId="5" xfId="6" applyNumberFormat="1" applyFont="1" applyFill="1" applyBorder="1" applyAlignment="1">
      <alignment horizontal="left" wrapText="1"/>
    </xf>
    <xf numFmtId="166" fontId="25" fillId="0" borderId="5" xfId="5" applyNumberFormat="1" applyFont="1" applyBorder="1"/>
    <xf numFmtId="0" fontId="20" fillId="0" borderId="0" xfId="5" applyFont="1"/>
    <xf numFmtId="3" fontId="6" fillId="0" borderId="1" xfId="3" applyNumberFormat="1" applyFont="1" applyFill="1" applyBorder="1" applyAlignment="1">
      <alignment horizontal="center" vertical="center"/>
    </xf>
    <xf numFmtId="3" fontId="6" fillId="0" borderId="2" xfId="3" applyNumberFormat="1" applyFont="1" applyFill="1" applyBorder="1" applyAlignment="1">
      <alignment horizontal="center" vertical="center"/>
    </xf>
    <xf numFmtId="3" fontId="6" fillId="0" borderId="5" xfId="3" applyNumberFormat="1" applyFont="1" applyFill="1" applyBorder="1" applyAlignment="1">
      <alignment horizontal="center" vertical="center"/>
    </xf>
    <xf numFmtId="3" fontId="6" fillId="0" borderId="6" xfId="3" applyNumberFormat="1" applyFont="1" applyFill="1" applyBorder="1" applyAlignment="1">
      <alignment horizontal="center" vertical="center"/>
    </xf>
    <xf numFmtId="3" fontId="20" fillId="0" borderId="1" xfId="3" applyNumberFormat="1" applyFont="1" applyFill="1" applyBorder="1" applyAlignment="1">
      <alignment horizontal="center" vertical="center"/>
    </xf>
    <xf numFmtId="3" fontId="20" fillId="0" borderId="2" xfId="3" applyNumberFormat="1" applyFont="1" applyFill="1" applyBorder="1" applyAlignment="1">
      <alignment horizontal="center" vertical="center"/>
    </xf>
    <xf numFmtId="3" fontId="20" fillId="0" borderId="5" xfId="3" applyNumberFormat="1" applyFont="1" applyFill="1" applyBorder="1" applyAlignment="1">
      <alignment horizontal="center" vertical="center"/>
    </xf>
    <xf numFmtId="3" fontId="20" fillId="0" borderId="6" xfId="3" applyNumberFormat="1" applyFont="1" applyFill="1" applyBorder="1" applyAlignment="1">
      <alignment horizontal="center" vertical="center"/>
    </xf>
    <xf numFmtId="9" fontId="28" fillId="0" borderId="0" xfId="9" applyFont="1" applyFill="1" applyBorder="1" applyAlignment="1">
      <alignment horizontal="centerContinuous"/>
    </xf>
  </cellXfs>
  <cellStyles count="10">
    <cellStyle name="Comma" xfId="1" builtinId="3"/>
    <cellStyle name="Currency 2" xfId="7" xr:uid="{3D067ADE-647E-E341-8E4A-52D5400BC4CA}"/>
    <cellStyle name="dx" xfId="6" xr:uid="{D0D76E1F-5ECD-544F-B9E0-9EDAEFE6DCA5}"/>
    <cellStyle name="Normal" xfId="0" builtinId="0"/>
    <cellStyle name="Normal_contaseconomicasintegradas" xfId="3" xr:uid="{C023A13E-9FD7-854F-9350-E615088CB58A}"/>
    <cellStyle name="Normal_distri secund da renda " xfId="8" xr:uid="{1188B712-96CD-DB49-BB60-F19AF257B279}"/>
    <cellStyle name="Normal_NovaCEI_2000_2007Formatada" xfId="4" xr:uid="{AB4EBEB8-D1D0-CD49-9464-6AC7C863DAA8}"/>
    <cellStyle name="Normal_NovaCEI_2000_2007Formatada 2" xfId="5" xr:uid="{6D259398-DFD6-C542-BB2C-DF005855DA48}"/>
    <cellStyle name="Normal_tab02_90_01" xfId="2" xr:uid="{057F62A1-3E22-4C43-8EBB-69C6A27B771D}"/>
    <cellStyle name="Per 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D45C-43C1-F44B-AB87-8EE17F70CC2E}">
  <dimension ref="A1:U94"/>
  <sheetViews>
    <sheetView showGridLines="0" showZeros="0" tabSelected="1" topLeftCell="A18" zoomScale="125" zoomScaleNormal="100" workbookViewId="0">
      <selection activeCell="C52" sqref="C52:U52"/>
    </sheetView>
  </sheetViews>
  <sheetFormatPr baseColWidth="10" defaultColWidth="12.33203125" defaultRowHeight="10"/>
  <cols>
    <col min="1" max="1" width="10.6640625" style="98" customWidth="1"/>
    <col min="2" max="2" width="58.6640625" style="98" customWidth="1"/>
    <col min="3" max="12" width="16" style="98" customWidth="1"/>
    <col min="13" max="21" width="16" style="97" customWidth="1"/>
    <col min="22" max="256" width="12.33203125" style="97"/>
    <col min="257" max="257" width="10.6640625" style="97" customWidth="1"/>
    <col min="258" max="258" width="58.6640625" style="97" customWidth="1"/>
    <col min="259" max="277" width="16" style="97" customWidth="1"/>
    <col min="278" max="512" width="12.33203125" style="97"/>
    <col min="513" max="513" width="10.6640625" style="97" customWidth="1"/>
    <col min="514" max="514" width="58.6640625" style="97" customWidth="1"/>
    <col min="515" max="533" width="16" style="97" customWidth="1"/>
    <col min="534" max="768" width="12.33203125" style="97"/>
    <col min="769" max="769" width="10.6640625" style="97" customWidth="1"/>
    <col min="770" max="770" width="58.6640625" style="97" customWidth="1"/>
    <col min="771" max="789" width="16" style="97" customWidth="1"/>
    <col min="790" max="1024" width="12.33203125" style="97"/>
    <col min="1025" max="1025" width="10.6640625" style="97" customWidth="1"/>
    <col min="1026" max="1026" width="58.6640625" style="97" customWidth="1"/>
    <col min="1027" max="1045" width="16" style="97" customWidth="1"/>
    <col min="1046" max="1280" width="12.33203125" style="97"/>
    <col min="1281" max="1281" width="10.6640625" style="97" customWidth="1"/>
    <col min="1282" max="1282" width="58.6640625" style="97" customWidth="1"/>
    <col min="1283" max="1301" width="16" style="97" customWidth="1"/>
    <col min="1302" max="1536" width="12.33203125" style="97"/>
    <col min="1537" max="1537" width="10.6640625" style="97" customWidth="1"/>
    <col min="1538" max="1538" width="58.6640625" style="97" customWidth="1"/>
    <col min="1539" max="1557" width="16" style="97" customWidth="1"/>
    <col min="1558" max="1792" width="12.33203125" style="97"/>
    <col min="1793" max="1793" width="10.6640625" style="97" customWidth="1"/>
    <col min="1794" max="1794" width="58.6640625" style="97" customWidth="1"/>
    <col min="1795" max="1813" width="16" style="97" customWidth="1"/>
    <col min="1814" max="2048" width="12.33203125" style="97"/>
    <col min="2049" max="2049" width="10.6640625" style="97" customWidth="1"/>
    <col min="2050" max="2050" width="58.6640625" style="97" customWidth="1"/>
    <col min="2051" max="2069" width="16" style="97" customWidth="1"/>
    <col min="2070" max="2304" width="12.33203125" style="97"/>
    <col min="2305" max="2305" width="10.6640625" style="97" customWidth="1"/>
    <col min="2306" max="2306" width="58.6640625" style="97" customWidth="1"/>
    <col min="2307" max="2325" width="16" style="97" customWidth="1"/>
    <col min="2326" max="2560" width="12.33203125" style="97"/>
    <col min="2561" max="2561" width="10.6640625" style="97" customWidth="1"/>
    <col min="2562" max="2562" width="58.6640625" style="97" customWidth="1"/>
    <col min="2563" max="2581" width="16" style="97" customWidth="1"/>
    <col min="2582" max="2816" width="12.33203125" style="97"/>
    <col min="2817" max="2817" width="10.6640625" style="97" customWidth="1"/>
    <col min="2818" max="2818" width="58.6640625" style="97" customWidth="1"/>
    <col min="2819" max="2837" width="16" style="97" customWidth="1"/>
    <col min="2838" max="3072" width="12.33203125" style="97"/>
    <col min="3073" max="3073" width="10.6640625" style="97" customWidth="1"/>
    <col min="3074" max="3074" width="58.6640625" style="97" customWidth="1"/>
    <col min="3075" max="3093" width="16" style="97" customWidth="1"/>
    <col min="3094" max="3328" width="12.33203125" style="97"/>
    <col min="3329" max="3329" width="10.6640625" style="97" customWidth="1"/>
    <col min="3330" max="3330" width="58.6640625" style="97" customWidth="1"/>
    <col min="3331" max="3349" width="16" style="97" customWidth="1"/>
    <col min="3350" max="3584" width="12.33203125" style="97"/>
    <col min="3585" max="3585" width="10.6640625" style="97" customWidth="1"/>
    <col min="3586" max="3586" width="58.6640625" style="97" customWidth="1"/>
    <col min="3587" max="3605" width="16" style="97" customWidth="1"/>
    <col min="3606" max="3840" width="12.33203125" style="97"/>
    <col min="3841" max="3841" width="10.6640625" style="97" customWidth="1"/>
    <col min="3842" max="3842" width="58.6640625" style="97" customWidth="1"/>
    <col min="3843" max="3861" width="16" style="97" customWidth="1"/>
    <col min="3862" max="4096" width="12.33203125" style="97"/>
    <col min="4097" max="4097" width="10.6640625" style="97" customWidth="1"/>
    <col min="4098" max="4098" width="58.6640625" style="97" customWidth="1"/>
    <col min="4099" max="4117" width="16" style="97" customWidth="1"/>
    <col min="4118" max="4352" width="12.33203125" style="97"/>
    <col min="4353" max="4353" width="10.6640625" style="97" customWidth="1"/>
    <col min="4354" max="4354" width="58.6640625" style="97" customWidth="1"/>
    <col min="4355" max="4373" width="16" style="97" customWidth="1"/>
    <col min="4374" max="4608" width="12.33203125" style="97"/>
    <col min="4609" max="4609" width="10.6640625" style="97" customWidth="1"/>
    <col min="4610" max="4610" width="58.6640625" style="97" customWidth="1"/>
    <col min="4611" max="4629" width="16" style="97" customWidth="1"/>
    <col min="4630" max="4864" width="12.33203125" style="97"/>
    <col min="4865" max="4865" width="10.6640625" style="97" customWidth="1"/>
    <col min="4866" max="4866" width="58.6640625" style="97" customWidth="1"/>
    <col min="4867" max="4885" width="16" style="97" customWidth="1"/>
    <col min="4886" max="5120" width="12.33203125" style="97"/>
    <col min="5121" max="5121" width="10.6640625" style="97" customWidth="1"/>
    <col min="5122" max="5122" width="58.6640625" style="97" customWidth="1"/>
    <col min="5123" max="5141" width="16" style="97" customWidth="1"/>
    <col min="5142" max="5376" width="12.33203125" style="97"/>
    <col min="5377" max="5377" width="10.6640625" style="97" customWidth="1"/>
    <col min="5378" max="5378" width="58.6640625" style="97" customWidth="1"/>
    <col min="5379" max="5397" width="16" style="97" customWidth="1"/>
    <col min="5398" max="5632" width="12.33203125" style="97"/>
    <col min="5633" max="5633" width="10.6640625" style="97" customWidth="1"/>
    <col min="5634" max="5634" width="58.6640625" style="97" customWidth="1"/>
    <col min="5635" max="5653" width="16" style="97" customWidth="1"/>
    <col min="5654" max="5888" width="12.33203125" style="97"/>
    <col min="5889" max="5889" width="10.6640625" style="97" customWidth="1"/>
    <col min="5890" max="5890" width="58.6640625" style="97" customWidth="1"/>
    <col min="5891" max="5909" width="16" style="97" customWidth="1"/>
    <col min="5910" max="6144" width="12.33203125" style="97"/>
    <col min="6145" max="6145" width="10.6640625" style="97" customWidth="1"/>
    <col min="6146" max="6146" width="58.6640625" style="97" customWidth="1"/>
    <col min="6147" max="6165" width="16" style="97" customWidth="1"/>
    <col min="6166" max="6400" width="12.33203125" style="97"/>
    <col min="6401" max="6401" width="10.6640625" style="97" customWidth="1"/>
    <col min="6402" max="6402" width="58.6640625" style="97" customWidth="1"/>
    <col min="6403" max="6421" width="16" style="97" customWidth="1"/>
    <col min="6422" max="6656" width="12.33203125" style="97"/>
    <col min="6657" max="6657" width="10.6640625" style="97" customWidth="1"/>
    <col min="6658" max="6658" width="58.6640625" style="97" customWidth="1"/>
    <col min="6659" max="6677" width="16" style="97" customWidth="1"/>
    <col min="6678" max="6912" width="12.33203125" style="97"/>
    <col min="6913" max="6913" width="10.6640625" style="97" customWidth="1"/>
    <col min="6914" max="6914" width="58.6640625" style="97" customWidth="1"/>
    <col min="6915" max="6933" width="16" style="97" customWidth="1"/>
    <col min="6934" max="7168" width="12.33203125" style="97"/>
    <col min="7169" max="7169" width="10.6640625" style="97" customWidth="1"/>
    <col min="7170" max="7170" width="58.6640625" style="97" customWidth="1"/>
    <col min="7171" max="7189" width="16" style="97" customWidth="1"/>
    <col min="7190" max="7424" width="12.33203125" style="97"/>
    <col min="7425" max="7425" width="10.6640625" style="97" customWidth="1"/>
    <col min="7426" max="7426" width="58.6640625" style="97" customWidth="1"/>
    <col min="7427" max="7445" width="16" style="97" customWidth="1"/>
    <col min="7446" max="7680" width="12.33203125" style="97"/>
    <col min="7681" max="7681" width="10.6640625" style="97" customWidth="1"/>
    <col min="7682" max="7682" width="58.6640625" style="97" customWidth="1"/>
    <col min="7683" max="7701" width="16" style="97" customWidth="1"/>
    <col min="7702" max="7936" width="12.33203125" style="97"/>
    <col min="7937" max="7937" width="10.6640625" style="97" customWidth="1"/>
    <col min="7938" max="7938" width="58.6640625" style="97" customWidth="1"/>
    <col min="7939" max="7957" width="16" style="97" customWidth="1"/>
    <col min="7958" max="8192" width="12.33203125" style="97"/>
    <col min="8193" max="8193" width="10.6640625" style="97" customWidth="1"/>
    <col min="8194" max="8194" width="58.6640625" style="97" customWidth="1"/>
    <col min="8195" max="8213" width="16" style="97" customWidth="1"/>
    <col min="8214" max="8448" width="12.33203125" style="97"/>
    <col min="8449" max="8449" width="10.6640625" style="97" customWidth="1"/>
    <col min="8450" max="8450" width="58.6640625" style="97" customWidth="1"/>
    <col min="8451" max="8469" width="16" style="97" customWidth="1"/>
    <col min="8470" max="8704" width="12.33203125" style="97"/>
    <col min="8705" max="8705" width="10.6640625" style="97" customWidth="1"/>
    <col min="8706" max="8706" width="58.6640625" style="97" customWidth="1"/>
    <col min="8707" max="8725" width="16" style="97" customWidth="1"/>
    <col min="8726" max="8960" width="12.33203125" style="97"/>
    <col min="8961" max="8961" width="10.6640625" style="97" customWidth="1"/>
    <col min="8962" max="8962" width="58.6640625" style="97" customWidth="1"/>
    <col min="8963" max="8981" width="16" style="97" customWidth="1"/>
    <col min="8982" max="9216" width="12.33203125" style="97"/>
    <col min="9217" max="9217" width="10.6640625" style="97" customWidth="1"/>
    <col min="9218" max="9218" width="58.6640625" style="97" customWidth="1"/>
    <col min="9219" max="9237" width="16" style="97" customWidth="1"/>
    <col min="9238" max="9472" width="12.33203125" style="97"/>
    <col min="9473" max="9473" width="10.6640625" style="97" customWidth="1"/>
    <col min="9474" max="9474" width="58.6640625" style="97" customWidth="1"/>
    <col min="9475" max="9493" width="16" style="97" customWidth="1"/>
    <col min="9494" max="9728" width="12.33203125" style="97"/>
    <col min="9729" max="9729" width="10.6640625" style="97" customWidth="1"/>
    <col min="9730" max="9730" width="58.6640625" style="97" customWidth="1"/>
    <col min="9731" max="9749" width="16" style="97" customWidth="1"/>
    <col min="9750" max="9984" width="12.33203125" style="97"/>
    <col min="9985" max="9985" width="10.6640625" style="97" customWidth="1"/>
    <col min="9986" max="9986" width="58.6640625" style="97" customWidth="1"/>
    <col min="9987" max="10005" width="16" style="97" customWidth="1"/>
    <col min="10006" max="10240" width="12.33203125" style="97"/>
    <col min="10241" max="10241" width="10.6640625" style="97" customWidth="1"/>
    <col min="10242" max="10242" width="58.6640625" style="97" customWidth="1"/>
    <col min="10243" max="10261" width="16" style="97" customWidth="1"/>
    <col min="10262" max="10496" width="12.33203125" style="97"/>
    <col min="10497" max="10497" width="10.6640625" style="97" customWidth="1"/>
    <col min="10498" max="10498" width="58.6640625" style="97" customWidth="1"/>
    <col min="10499" max="10517" width="16" style="97" customWidth="1"/>
    <col min="10518" max="10752" width="12.33203125" style="97"/>
    <col min="10753" max="10753" width="10.6640625" style="97" customWidth="1"/>
    <col min="10754" max="10754" width="58.6640625" style="97" customWidth="1"/>
    <col min="10755" max="10773" width="16" style="97" customWidth="1"/>
    <col min="10774" max="11008" width="12.33203125" style="97"/>
    <col min="11009" max="11009" width="10.6640625" style="97" customWidth="1"/>
    <col min="11010" max="11010" width="58.6640625" style="97" customWidth="1"/>
    <col min="11011" max="11029" width="16" style="97" customWidth="1"/>
    <col min="11030" max="11264" width="12.33203125" style="97"/>
    <col min="11265" max="11265" width="10.6640625" style="97" customWidth="1"/>
    <col min="11266" max="11266" width="58.6640625" style="97" customWidth="1"/>
    <col min="11267" max="11285" width="16" style="97" customWidth="1"/>
    <col min="11286" max="11520" width="12.33203125" style="97"/>
    <col min="11521" max="11521" width="10.6640625" style="97" customWidth="1"/>
    <col min="11522" max="11522" width="58.6640625" style="97" customWidth="1"/>
    <col min="11523" max="11541" width="16" style="97" customWidth="1"/>
    <col min="11542" max="11776" width="12.33203125" style="97"/>
    <col min="11777" max="11777" width="10.6640625" style="97" customWidth="1"/>
    <col min="11778" max="11778" width="58.6640625" style="97" customWidth="1"/>
    <col min="11779" max="11797" width="16" style="97" customWidth="1"/>
    <col min="11798" max="12032" width="12.33203125" style="97"/>
    <col min="12033" max="12033" width="10.6640625" style="97" customWidth="1"/>
    <col min="12034" max="12034" width="58.6640625" style="97" customWidth="1"/>
    <col min="12035" max="12053" width="16" style="97" customWidth="1"/>
    <col min="12054" max="12288" width="12.33203125" style="97"/>
    <col min="12289" max="12289" width="10.6640625" style="97" customWidth="1"/>
    <col min="12290" max="12290" width="58.6640625" style="97" customWidth="1"/>
    <col min="12291" max="12309" width="16" style="97" customWidth="1"/>
    <col min="12310" max="12544" width="12.33203125" style="97"/>
    <col min="12545" max="12545" width="10.6640625" style="97" customWidth="1"/>
    <col min="12546" max="12546" width="58.6640625" style="97" customWidth="1"/>
    <col min="12547" max="12565" width="16" style="97" customWidth="1"/>
    <col min="12566" max="12800" width="12.33203125" style="97"/>
    <col min="12801" max="12801" width="10.6640625" style="97" customWidth="1"/>
    <col min="12802" max="12802" width="58.6640625" style="97" customWidth="1"/>
    <col min="12803" max="12821" width="16" style="97" customWidth="1"/>
    <col min="12822" max="13056" width="12.33203125" style="97"/>
    <col min="13057" max="13057" width="10.6640625" style="97" customWidth="1"/>
    <col min="13058" max="13058" width="58.6640625" style="97" customWidth="1"/>
    <col min="13059" max="13077" width="16" style="97" customWidth="1"/>
    <col min="13078" max="13312" width="12.33203125" style="97"/>
    <col min="13313" max="13313" width="10.6640625" style="97" customWidth="1"/>
    <col min="13314" max="13314" width="58.6640625" style="97" customWidth="1"/>
    <col min="13315" max="13333" width="16" style="97" customWidth="1"/>
    <col min="13334" max="13568" width="12.33203125" style="97"/>
    <col min="13569" max="13569" width="10.6640625" style="97" customWidth="1"/>
    <col min="13570" max="13570" width="58.6640625" style="97" customWidth="1"/>
    <col min="13571" max="13589" width="16" style="97" customWidth="1"/>
    <col min="13590" max="13824" width="12.33203125" style="97"/>
    <col min="13825" max="13825" width="10.6640625" style="97" customWidth="1"/>
    <col min="13826" max="13826" width="58.6640625" style="97" customWidth="1"/>
    <col min="13827" max="13845" width="16" style="97" customWidth="1"/>
    <col min="13846" max="14080" width="12.33203125" style="97"/>
    <col min="14081" max="14081" width="10.6640625" style="97" customWidth="1"/>
    <col min="14082" max="14082" width="58.6640625" style="97" customWidth="1"/>
    <col min="14083" max="14101" width="16" style="97" customWidth="1"/>
    <col min="14102" max="14336" width="12.33203125" style="97"/>
    <col min="14337" max="14337" width="10.6640625" style="97" customWidth="1"/>
    <col min="14338" max="14338" width="58.6640625" style="97" customWidth="1"/>
    <col min="14339" max="14357" width="16" style="97" customWidth="1"/>
    <col min="14358" max="14592" width="12.33203125" style="97"/>
    <col min="14593" max="14593" width="10.6640625" style="97" customWidth="1"/>
    <col min="14594" max="14594" width="58.6640625" style="97" customWidth="1"/>
    <col min="14595" max="14613" width="16" style="97" customWidth="1"/>
    <col min="14614" max="14848" width="12.33203125" style="97"/>
    <col min="14849" max="14849" width="10.6640625" style="97" customWidth="1"/>
    <col min="14850" max="14850" width="58.6640625" style="97" customWidth="1"/>
    <col min="14851" max="14869" width="16" style="97" customWidth="1"/>
    <col min="14870" max="15104" width="12.33203125" style="97"/>
    <col min="15105" max="15105" width="10.6640625" style="97" customWidth="1"/>
    <col min="15106" max="15106" width="58.6640625" style="97" customWidth="1"/>
    <col min="15107" max="15125" width="16" style="97" customWidth="1"/>
    <col min="15126" max="15360" width="12.33203125" style="97"/>
    <col min="15361" max="15361" width="10.6640625" style="97" customWidth="1"/>
    <col min="15362" max="15362" width="58.6640625" style="97" customWidth="1"/>
    <col min="15363" max="15381" width="16" style="97" customWidth="1"/>
    <col min="15382" max="15616" width="12.33203125" style="97"/>
    <col min="15617" max="15617" width="10.6640625" style="97" customWidth="1"/>
    <col min="15618" max="15618" width="58.6640625" style="97" customWidth="1"/>
    <col min="15619" max="15637" width="16" style="97" customWidth="1"/>
    <col min="15638" max="15872" width="12.33203125" style="97"/>
    <col min="15873" max="15873" width="10.6640625" style="97" customWidth="1"/>
    <col min="15874" max="15874" width="58.6640625" style="97" customWidth="1"/>
    <col min="15875" max="15893" width="16" style="97" customWidth="1"/>
    <col min="15894" max="16128" width="12.33203125" style="97"/>
    <col min="16129" max="16129" width="10.6640625" style="97" customWidth="1"/>
    <col min="16130" max="16130" width="58.6640625" style="97" customWidth="1"/>
    <col min="16131" max="16149" width="16" style="97" customWidth="1"/>
    <col min="16150" max="16384" width="12.33203125" style="97"/>
  </cols>
  <sheetData>
    <row r="1" spans="1:21" s="4" customFormat="1" ht="1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</row>
    <row r="2" spans="1:21" s="4" customFormat="1" ht="12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</row>
    <row r="3" spans="1:21" s="8" customFormat="1" ht="9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P3" s="7"/>
      <c r="Q3" s="7"/>
      <c r="R3" s="7"/>
      <c r="S3" s="7"/>
      <c r="T3" s="7"/>
      <c r="U3" s="7"/>
    </row>
    <row r="4" spans="1:21" s="13" customFormat="1" ht="15" customHeight="1">
      <c r="A4" s="151" t="s">
        <v>2</v>
      </c>
      <c r="B4" s="152"/>
      <c r="C4" s="9" t="s">
        <v>3</v>
      </c>
      <c r="D4" s="10"/>
      <c r="E4" s="10"/>
      <c r="F4" s="10"/>
      <c r="G4" s="10"/>
      <c r="H4" s="10"/>
      <c r="I4" s="10"/>
      <c r="J4" s="10"/>
      <c r="K4" s="10"/>
      <c r="L4" s="10"/>
      <c r="M4" s="11"/>
      <c r="N4" s="12"/>
      <c r="O4" s="12"/>
      <c r="P4" s="12"/>
      <c r="Q4" s="12"/>
      <c r="R4" s="12"/>
      <c r="S4" s="12"/>
      <c r="T4" s="12"/>
      <c r="U4" s="12"/>
    </row>
    <row r="5" spans="1:21" s="13" customFormat="1" ht="15" customHeight="1">
      <c r="A5" s="153"/>
      <c r="B5" s="154"/>
      <c r="C5" s="14">
        <v>2000</v>
      </c>
      <c r="D5" s="15">
        <v>2001</v>
      </c>
      <c r="E5" s="14">
        <v>2002</v>
      </c>
      <c r="F5" s="15">
        <v>2003</v>
      </c>
      <c r="G5" s="14">
        <v>2004</v>
      </c>
      <c r="H5" s="15">
        <v>2005</v>
      </c>
      <c r="I5" s="14">
        <v>2006</v>
      </c>
      <c r="J5" s="15">
        <v>2007</v>
      </c>
      <c r="K5" s="14">
        <v>2008</v>
      </c>
      <c r="L5" s="15">
        <v>2009</v>
      </c>
      <c r="M5" s="14">
        <v>2010</v>
      </c>
      <c r="N5" s="15">
        <v>2011</v>
      </c>
      <c r="O5" s="15">
        <v>2012</v>
      </c>
      <c r="P5" s="15">
        <v>2013</v>
      </c>
      <c r="Q5" s="15">
        <v>2014</v>
      </c>
      <c r="R5" s="15">
        <v>2015</v>
      </c>
      <c r="S5" s="15">
        <v>2016</v>
      </c>
      <c r="T5" s="15">
        <v>2017</v>
      </c>
      <c r="U5" s="15">
        <v>2018</v>
      </c>
    </row>
    <row r="6" spans="1:21" s="19" customFormat="1" ht="15" customHeight="1">
      <c r="A6" s="16" t="s">
        <v>4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7"/>
      <c r="N6" s="17"/>
      <c r="O6" s="17"/>
      <c r="P6" s="17"/>
      <c r="Q6" s="17"/>
      <c r="R6" s="17"/>
      <c r="S6" s="17"/>
      <c r="T6" s="17"/>
      <c r="U6" s="17"/>
    </row>
    <row r="7" spans="1:21" s="23" customFormat="1" ht="13.25" customHeight="1">
      <c r="A7" s="20" t="s">
        <v>5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</row>
    <row r="8" spans="1:21" s="19" customFormat="1" ht="11" customHeight="1">
      <c r="A8" s="24" t="s">
        <v>6</v>
      </c>
      <c r="B8" s="25" t="s">
        <v>7</v>
      </c>
      <c r="C8" s="26">
        <v>388773.12400000007</v>
      </c>
      <c r="D8" s="26">
        <v>411049.85199999996</v>
      </c>
      <c r="E8" s="26">
        <v>457602.58600000018</v>
      </c>
      <c r="F8" s="26">
        <v>511815.89899999998</v>
      </c>
      <c r="G8" s="26">
        <v>551156.25899999985</v>
      </c>
      <c r="H8" s="26">
        <v>596524.97999999963</v>
      </c>
      <c r="I8" s="26">
        <v>634868.51299999864</v>
      </c>
      <c r="J8" s="26">
        <v>719222.33599999954</v>
      </c>
      <c r="K8" s="26">
        <v>795188.90899999987</v>
      </c>
      <c r="L8" s="26">
        <v>836999.33900000004</v>
      </c>
      <c r="M8" s="27">
        <v>931001</v>
      </c>
      <c r="N8" s="27">
        <v>1045334</v>
      </c>
      <c r="O8" s="27">
        <v>1188573</v>
      </c>
      <c r="P8" s="27">
        <v>1343939</v>
      </c>
      <c r="Q8" s="27">
        <v>1456945</v>
      </c>
      <c r="R8" s="27">
        <v>1527220</v>
      </c>
      <c r="S8" s="27">
        <v>1619676</v>
      </c>
      <c r="T8" s="27">
        <v>1695529</v>
      </c>
      <c r="U8" s="27">
        <v>1817051</v>
      </c>
    </row>
    <row r="9" spans="1:21" s="19" customFormat="1" ht="11" customHeight="1">
      <c r="A9" s="28" t="s">
        <v>8</v>
      </c>
      <c r="B9" s="28" t="s">
        <v>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7">
        <v>654790</v>
      </c>
      <c r="N9" s="27">
        <v>728943</v>
      </c>
      <c r="O9" s="27">
        <v>828891</v>
      </c>
      <c r="P9" s="27">
        <v>928086</v>
      </c>
      <c r="Q9" s="27">
        <v>1006352</v>
      </c>
      <c r="R9" s="27">
        <v>1041829</v>
      </c>
      <c r="S9" s="27">
        <v>1107190</v>
      </c>
      <c r="T9" s="27">
        <v>1165085</v>
      </c>
      <c r="U9" s="27">
        <v>1263953</v>
      </c>
    </row>
    <row r="10" spans="1:21" s="19" customFormat="1" ht="11" customHeight="1">
      <c r="A10" s="28" t="s">
        <v>10</v>
      </c>
      <c r="B10" s="28" t="s">
        <v>11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7">
        <v>276211</v>
      </c>
      <c r="N10" s="27">
        <v>316391</v>
      </c>
      <c r="O10" s="27">
        <v>359682</v>
      </c>
      <c r="P10" s="27">
        <v>415853</v>
      </c>
      <c r="Q10" s="27">
        <v>450593</v>
      </c>
      <c r="R10" s="27">
        <v>485391</v>
      </c>
      <c r="S10" s="27">
        <v>512486</v>
      </c>
      <c r="T10" s="27">
        <v>530444</v>
      </c>
      <c r="U10" s="27">
        <v>553098</v>
      </c>
    </row>
    <row r="11" spans="1:21" s="23" customFormat="1" ht="13.25" customHeight="1">
      <c r="A11" s="20" t="s">
        <v>12</v>
      </c>
      <c r="B11" s="21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1"/>
      <c r="N11" s="21"/>
      <c r="O11" s="21"/>
      <c r="P11" s="21"/>
      <c r="Q11" s="21"/>
      <c r="R11" s="21"/>
      <c r="S11" s="21"/>
      <c r="T11" s="21"/>
      <c r="U11" s="21"/>
    </row>
    <row r="12" spans="1:21" s="19" customFormat="1" ht="11" customHeight="1">
      <c r="A12" s="24" t="s">
        <v>13</v>
      </c>
      <c r="B12" s="25" t="s">
        <v>14</v>
      </c>
      <c r="C12" s="30">
        <v>97391.399000000078</v>
      </c>
      <c r="D12" s="30">
        <v>110866.302</v>
      </c>
      <c r="E12" s="30">
        <v>122741.06100000016</v>
      </c>
      <c r="F12" s="30">
        <v>146484.75500000009</v>
      </c>
      <c r="G12" s="30">
        <v>159046.48399999997</v>
      </c>
      <c r="H12" s="30">
        <v>175491.33299999981</v>
      </c>
      <c r="I12" s="30">
        <v>188419.57699999845</v>
      </c>
      <c r="J12" s="30">
        <v>214435.50400000031</v>
      </c>
      <c r="K12" s="30">
        <v>237525.52100000021</v>
      </c>
      <c r="L12" s="30">
        <v>245544.0879999997</v>
      </c>
      <c r="M12" s="31">
        <v>261890</v>
      </c>
      <c r="N12" s="31">
        <v>303700</v>
      </c>
      <c r="O12" s="31">
        <v>350848</v>
      </c>
      <c r="P12" s="31">
        <v>386042</v>
      </c>
      <c r="Q12" s="31">
        <v>424932</v>
      </c>
      <c r="R12" s="31">
        <v>452371</v>
      </c>
      <c r="S12" s="31">
        <v>477453</v>
      </c>
      <c r="T12" s="31">
        <v>502947</v>
      </c>
      <c r="U12" s="31">
        <v>552131</v>
      </c>
    </row>
    <row r="13" spans="1:21" s="23" customFormat="1" ht="13.25" customHeight="1">
      <c r="A13" s="32" t="s">
        <v>15</v>
      </c>
      <c r="B13" s="33" t="s">
        <v>16</v>
      </c>
      <c r="C13" s="34">
        <v>291381.72499999998</v>
      </c>
      <c r="D13" s="34">
        <v>300183.54999999993</v>
      </c>
      <c r="E13" s="34">
        <v>334861.52500000002</v>
      </c>
      <c r="F13" s="34">
        <v>365331.14399999985</v>
      </c>
      <c r="G13" s="34">
        <v>392109.77499999991</v>
      </c>
      <c r="H13" s="34">
        <v>421033.64699999982</v>
      </c>
      <c r="I13" s="34">
        <v>446448.93600000022</v>
      </c>
      <c r="J13" s="34">
        <v>504786.83199999924</v>
      </c>
      <c r="K13" s="34">
        <v>557663.38799999969</v>
      </c>
      <c r="L13" s="34">
        <v>591455.2510000004</v>
      </c>
      <c r="M13" s="35">
        <v>669111</v>
      </c>
      <c r="N13" s="35">
        <v>741634</v>
      </c>
      <c r="O13" s="35">
        <v>837725</v>
      </c>
      <c r="P13" s="35">
        <v>957897</v>
      </c>
      <c r="Q13" s="35">
        <v>1032013</v>
      </c>
      <c r="R13" s="35">
        <v>1074849</v>
      </c>
      <c r="S13" s="35">
        <v>1142223</v>
      </c>
      <c r="T13" s="35">
        <v>1192582</v>
      </c>
      <c r="U13" s="35">
        <v>1264920</v>
      </c>
    </row>
    <row r="14" spans="1:21" s="19" customFormat="1" ht="4.25" customHeight="1">
      <c r="A14" s="36"/>
      <c r="B14" s="37"/>
      <c r="C14" s="38"/>
      <c r="D14" s="38"/>
      <c r="E14" s="39"/>
      <c r="F14" s="39"/>
      <c r="G14" s="39"/>
      <c r="H14" s="39"/>
      <c r="I14" s="39"/>
      <c r="J14" s="39"/>
      <c r="K14" s="39"/>
      <c r="L14" s="39"/>
      <c r="M14" s="40"/>
      <c r="N14" s="40"/>
      <c r="O14" s="40"/>
      <c r="P14" s="40"/>
      <c r="Q14" s="40"/>
      <c r="R14" s="40"/>
      <c r="S14" s="40"/>
      <c r="T14" s="40"/>
      <c r="U14" s="40"/>
    </row>
    <row r="15" spans="1:21" s="19" customFormat="1" ht="10.25" customHeight="1">
      <c r="A15" s="16" t="s">
        <v>17</v>
      </c>
      <c r="B15" s="17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17"/>
      <c r="N15" s="17"/>
      <c r="O15" s="17"/>
      <c r="P15" s="17"/>
      <c r="Q15" s="17"/>
      <c r="R15" s="17"/>
      <c r="S15" s="17"/>
      <c r="T15" s="17"/>
      <c r="U15" s="17"/>
    </row>
    <row r="16" spans="1:21" s="19" customFormat="1" ht="10.25" customHeight="1">
      <c r="A16" s="42" t="s">
        <v>18</v>
      </c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3"/>
      <c r="N16" s="43"/>
      <c r="O16" s="43"/>
      <c r="P16" s="43"/>
      <c r="Q16" s="43"/>
      <c r="R16" s="43"/>
      <c r="S16" s="43"/>
      <c r="T16" s="43"/>
      <c r="U16" s="43"/>
    </row>
    <row r="17" spans="1:21" s="19" customFormat="1" ht="10.25" customHeight="1">
      <c r="A17" s="42" t="s">
        <v>19</v>
      </c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3"/>
      <c r="N17" s="43"/>
      <c r="O17" s="43"/>
      <c r="P17" s="43"/>
      <c r="Q17" s="43"/>
      <c r="R17" s="43"/>
      <c r="S17" s="43"/>
      <c r="T17" s="43"/>
      <c r="U17" s="43"/>
    </row>
    <row r="18" spans="1:21" s="23" customFormat="1" ht="13.25" customHeight="1">
      <c r="A18" s="20" t="s">
        <v>5</v>
      </c>
      <c r="B18" s="21"/>
      <c r="C18" s="22"/>
      <c r="D18" s="22"/>
      <c r="E18" s="39"/>
      <c r="F18" s="39"/>
      <c r="G18" s="39"/>
      <c r="H18" s="39"/>
      <c r="I18" s="39"/>
      <c r="J18" s="39"/>
      <c r="K18" s="39"/>
      <c r="L18" s="39"/>
      <c r="M18" s="21"/>
      <c r="N18" s="21"/>
      <c r="O18" s="21"/>
      <c r="P18" s="21"/>
      <c r="Q18" s="21"/>
      <c r="R18" s="21"/>
      <c r="S18" s="21"/>
      <c r="T18" s="21"/>
      <c r="U18" s="21"/>
    </row>
    <row r="19" spans="1:21" s="23" customFormat="1" ht="13.25" customHeight="1">
      <c r="A19" s="32" t="s">
        <v>15</v>
      </c>
      <c r="B19" s="45" t="s">
        <v>16</v>
      </c>
      <c r="C19" s="46">
        <v>291381.72499999998</v>
      </c>
      <c r="D19" s="46">
        <v>300183.54999999993</v>
      </c>
      <c r="E19" s="46">
        <v>334861.52500000002</v>
      </c>
      <c r="F19" s="46">
        <v>365331.14399999985</v>
      </c>
      <c r="G19" s="46">
        <v>392109.77499999991</v>
      </c>
      <c r="H19" s="46">
        <v>421033.64699999982</v>
      </c>
      <c r="I19" s="46">
        <v>446448.93600000022</v>
      </c>
      <c r="J19" s="46">
        <v>504786.83199999924</v>
      </c>
      <c r="K19" s="46">
        <v>557663.38799999969</v>
      </c>
      <c r="L19" s="46">
        <v>591455.2510000004</v>
      </c>
      <c r="M19" s="47">
        <v>669111</v>
      </c>
      <c r="N19" s="47">
        <v>741634</v>
      </c>
      <c r="O19" s="47">
        <v>837725</v>
      </c>
      <c r="P19" s="47">
        <v>957897</v>
      </c>
      <c r="Q19" s="47">
        <v>1032013</v>
      </c>
      <c r="R19" s="47">
        <v>1074849</v>
      </c>
      <c r="S19" s="47">
        <v>1142223</v>
      </c>
      <c r="T19" s="47">
        <v>1192582</v>
      </c>
      <c r="U19" s="47">
        <v>1264920</v>
      </c>
    </row>
    <row r="20" spans="1:21" s="23" customFormat="1" ht="13.25" customHeight="1">
      <c r="A20" s="20" t="s">
        <v>12</v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1"/>
      <c r="N20" s="21"/>
      <c r="O20" s="21"/>
      <c r="P20" s="21"/>
      <c r="Q20" s="21"/>
      <c r="R20" s="21"/>
      <c r="S20" s="21"/>
      <c r="T20" s="21"/>
      <c r="U20" s="21"/>
    </row>
    <row r="21" spans="1:21" s="19" customFormat="1" ht="11" customHeight="1">
      <c r="A21" s="48" t="s">
        <v>20</v>
      </c>
      <c r="B21" s="49" t="s">
        <v>21</v>
      </c>
      <c r="C21" s="50">
        <v>28608.028000000002</v>
      </c>
      <c r="D21" s="50">
        <v>30382.191000000006</v>
      </c>
      <c r="E21" s="50">
        <v>34392.830999999998</v>
      </c>
      <c r="F21" s="50">
        <v>37852.264999999999</v>
      </c>
      <c r="G21" s="50">
        <v>44380.887999999992</v>
      </c>
      <c r="H21" s="50">
        <v>50145.892</v>
      </c>
      <c r="I21" s="50">
        <v>54669.831000000006</v>
      </c>
      <c r="J21" s="50">
        <v>60780.695999999989</v>
      </c>
      <c r="K21" s="50">
        <v>65928.421000000002</v>
      </c>
      <c r="L21" s="50">
        <v>75149.25900000002</v>
      </c>
      <c r="M21" s="51">
        <v>85299</v>
      </c>
      <c r="N21" s="51">
        <v>94667</v>
      </c>
      <c r="O21" s="51">
        <v>101493</v>
      </c>
      <c r="P21" s="51">
        <v>113286</v>
      </c>
      <c r="Q21" s="51">
        <v>120386</v>
      </c>
      <c r="R21" s="51">
        <v>121732</v>
      </c>
      <c r="S21" s="51">
        <v>133462</v>
      </c>
      <c r="T21" s="51">
        <v>141075</v>
      </c>
      <c r="U21" s="51">
        <v>148861</v>
      </c>
    </row>
    <row r="22" spans="1:21" s="19" customFormat="1" ht="11" customHeight="1">
      <c r="A22" s="48" t="s">
        <v>22</v>
      </c>
      <c r="B22" s="49" t="s">
        <v>23</v>
      </c>
      <c r="C22" s="50">
        <v>24361.696000000004</v>
      </c>
      <c r="D22" s="50">
        <v>25594.364000000001</v>
      </c>
      <c r="E22" s="50">
        <v>28806.852999999996</v>
      </c>
      <c r="F22" s="50">
        <v>31664.968000000001</v>
      </c>
      <c r="G22" s="50">
        <v>37041.481000000007</v>
      </c>
      <c r="H22" s="50">
        <v>41824.540999999997</v>
      </c>
      <c r="I22" s="50">
        <v>46019.221000000012</v>
      </c>
      <c r="J22" s="50">
        <v>50633.153999999995</v>
      </c>
      <c r="K22" s="50">
        <v>55029.778000000006</v>
      </c>
      <c r="L22" s="50">
        <v>66602.114000000001</v>
      </c>
      <c r="M22" s="51">
        <v>82161</v>
      </c>
      <c r="N22" s="51">
        <v>91148</v>
      </c>
      <c r="O22" s="51">
        <v>97846</v>
      </c>
      <c r="P22" s="51">
        <v>108930</v>
      </c>
      <c r="Q22" s="51">
        <v>115731</v>
      </c>
      <c r="R22" s="51">
        <v>116747</v>
      </c>
      <c r="S22" s="51">
        <v>127852</v>
      </c>
      <c r="T22" s="51">
        <v>135102</v>
      </c>
      <c r="U22" s="51">
        <v>143323</v>
      </c>
    </row>
    <row r="23" spans="1:21" s="19" customFormat="1" ht="11" customHeight="1">
      <c r="A23" s="48" t="s">
        <v>24</v>
      </c>
      <c r="B23" s="49" t="s">
        <v>25</v>
      </c>
      <c r="C23" s="50">
        <v>4246.3320000000003</v>
      </c>
      <c r="D23" s="50">
        <v>4787.8270000000011</v>
      </c>
      <c r="E23" s="50">
        <v>5585.978000000001</v>
      </c>
      <c r="F23" s="50">
        <v>6187.2970000000014</v>
      </c>
      <c r="G23" s="50">
        <v>7339.4070000000011</v>
      </c>
      <c r="H23" s="50">
        <v>8321.3510000000006</v>
      </c>
      <c r="I23" s="50">
        <v>8650.6099999999988</v>
      </c>
      <c r="J23" s="50">
        <v>10147.541999999999</v>
      </c>
      <c r="K23" s="50">
        <v>10898.642999999998</v>
      </c>
      <c r="L23" s="50">
        <v>8547.1449999999986</v>
      </c>
      <c r="M23" s="51">
        <v>3138</v>
      </c>
      <c r="N23" s="51">
        <v>3519</v>
      </c>
      <c r="O23" s="51">
        <v>3647</v>
      </c>
      <c r="P23" s="51">
        <v>4356</v>
      </c>
      <c r="Q23" s="51">
        <v>4655</v>
      </c>
      <c r="R23" s="51">
        <v>4985</v>
      </c>
      <c r="S23" s="51">
        <v>5610</v>
      </c>
      <c r="T23" s="51">
        <v>5973</v>
      </c>
      <c r="U23" s="51">
        <v>5538</v>
      </c>
    </row>
    <row r="24" spans="1:21" s="19" customFormat="1" ht="18" customHeight="1">
      <c r="A24" s="52" t="s">
        <v>26</v>
      </c>
      <c r="B24" s="53" t="s">
        <v>27</v>
      </c>
      <c r="C24" s="50">
        <v>-1189.2449999999999</v>
      </c>
      <c r="D24" s="50">
        <v>-1496.3430000000001</v>
      </c>
      <c r="E24" s="50">
        <v>-1020.888</v>
      </c>
      <c r="F24" s="50">
        <v>-1181.761</v>
      </c>
      <c r="G24" s="50">
        <v>-644.61</v>
      </c>
      <c r="H24" s="50">
        <v>-908.255</v>
      </c>
      <c r="I24" s="50">
        <v>-1112.662</v>
      </c>
      <c r="J24" s="50">
        <v>-1535.4780000000001</v>
      </c>
      <c r="K24" s="50">
        <v>-578.43299999999999</v>
      </c>
      <c r="L24" s="50">
        <v>-778.99699999999996</v>
      </c>
      <c r="M24" s="51">
        <v>-592</v>
      </c>
      <c r="N24" s="51">
        <v>-2200</v>
      </c>
      <c r="O24" s="51">
        <v>-2327</v>
      </c>
      <c r="P24" s="51">
        <v>-1630</v>
      </c>
      <c r="Q24" s="51">
        <v>-425</v>
      </c>
      <c r="R24" s="51">
        <v>-527</v>
      </c>
      <c r="S24" s="51">
        <v>-598</v>
      </c>
      <c r="T24" s="51">
        <v>-3978</v>
      </c>
      <c r="U24" s="51">
        <v>-2830</v>
      </c>
    </row>
    <row r="25" spans="1:21" s="23" customFormat="1" ht="13.25" customHeight="1">
      <c r="A25" s="54" t="s">
        <v>28</v>
      </c>
      <c r="B25" s="55" t="s">
        <v>29</v>
      </c>
      <c r="C25" s="46">
        <v>115598.36659999998</v>
      </c>
      <c r="D25" s="46">
        <v>116877.46609999993</v>
      </c>
      <c r="E25" s="46">
        <v>133320.6373</v>
      </c>
      <c r="F25" s="46">
        <v>125256.33049999984</v>
      </c>
      <c r="G25" s="46">
        <v>137765.12379999991</v>
      </c>
      <c r="H25" s="46">
        <v>145037.42959999983</v>
      </c>
      <c r="I25" s="46">
        <v>153017.94520000022</v>
      </c>
      <c r="J25" s="46">
        <v>179614.77489999926</v>
      </c>
      <c r="K25" s="46">
        <v>200066.29939999973</v>
      </c>
      <c r="L25" s="46">
        <v>224889.38580000034</v>
      </c>
      <c r="M25" s="47">
        <v>253532</v>
      </c>
      <c r="N25" s="47">
        <v>285611</v>
      </c>
      <c r="O25" s="47">
        <v>328008</v>
      </c>
      <c r="P25" s="47">
        <v>385410</v>
      </c>
      <c r="Q25" s="47">
        <v>423101</v>
      </c>
      <c r="R25" s="47">
        <v>454227</v>
      </c>
      <c r="S25" s="47">
        <v>480579</v>
      </c>
      <c r="T25" s="47">
        <v>508315</v>
      </c>
      <c r="U25" s="47">
        <v>535321</v>
      </c>
    </row>
    <row r="26" spans="1:21" s="23" customFormat="1" ht="13.25" customHeight="1">
      <c r="A26" s="54" t="s">
        <v>30</v>
      </c>
      <c r="B26" s="55" t="s">
        <v>31</v>
      </c>
      <c r="C26" s="46">
        <v>148364.5754</v>
      </c>
      <c r="D26" s="46">
        <v>154420.2359</v>
      </c>
      <c r="E26" s="46">
        <v>168168.94469999999</v>
      </c>
      <c r="F26" s="46">
        <v>203404.3095</v>
      </c>
      <c r="G26" s="46">
        <v>210608.3732</v>
      </c>
      <c r="H26" s="46">
        <v>226758.58040000001</v>
      </c>
      <c r="I26" s="46">
        <v>239873.82180000001</v>
      </c>
      <c r="J26" s="46">
        <v>265926.83909999998</v>
      </c>
      <c r="K26" s="46">
        <v>292247.10060000001</v>
      </c>
      <c r="L26" s="46">
        <v>292195.60320000001</v>
      </c>
      <c r="M26" s="47">
        <v>330872</v>
      </c>
      <c r="N26" s="47">
        <v>363556</v>
      </c>
      <c r="O26" s="47">
        <v>410551</v>
      </c>
      <c r="P26" s="47">
        <v>460831</v>
      </c>
      <c r="Q26" s="47">
        <v>488951</v>
      </c>
      <c r="R26" s="47">
        <v>499417</v>
      </c>
      <c r="S26" s="47">
        <v>528780</v>
      </c>
      <c r="T26" s="47">
        <v>547170</v>
      </c>
      <c r="U26" s="47">
        <v>583568</v>
      </c>
    </row>
    <row r="27" spans="1:21" s="19" customFormat="1" ht="4.25" customHeight="1">
      <c r="A27" s="56"/>
      <c r="B27" s="57"/>
      <c r="C27" s="58"/>
      <c r="D27" s="58"/>
      <c r="E27" s="39"/>
      <c r="F27" s="39"/>
      <c r="G27" s="39"/>
      <c r="H27" s="39"/>
      <c r="I27" s="39"/>
      <c r="J27" s="39"/>
      <c r="K27" s="39"/>
      <c r="L27" s="39"/>
      <c r="M27" s="59"/>
      <c r="N27" s="59"/>
      <c r="O27" s="59"/>
      <c r="P27" s="59"/>
      <c r="Q27" s="59"/>
      <c r="R27" s="59"/>
      <c r="S27" s="59"/>
      <c r="T27" s="59"/>
      <c r="U27" s="59"/>
    </row>
    <row r="28" spans="1:21" s="23" customFormat="1" ht="15" customHeight="1">
      <c r="A28" s="16" t="s">
        <v>32</v>
      </c>
      <c r="B28" s="16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16"/>
      <c r="N28" s="16"/>
      <c r="O28" s="16"/>
      <c r="P28" s="16"/>
      <c r="Q28" s="16"/>
      <c r="R28" s="16"/>
      <c r="S28" s="16"/>
      <c r="T28" s="16"/>
      <c r="U28" s="16"/>
    </row>
    <row r="29" spans="1:21" s="23" customFormat="1" ht="13.25" customHeight="1">
      <c r="A29" s="20" t="s">
        <v>5</v>
      </c>
      <c r="B29" s="21"/>
      <c r="C29" s="22"/>
      <c r="D29" s="22"/>
      <c r="E29" s="39"/>
      <c r="F29" s="39"/>
      <c r="G29" s="39"/>
      <c r="H29" s="39"/>
      <c r="I29" s="39"/>
      <c r="J29" s="39"/>
      <c r="K29" s="39"/>
      <c r="L29" s="39"/>
      <c r="M29" s="21"/>
      <c r="N29" s="21"/>
      <c r="O29" s="21"/>
      <c r="P29" s="21"/>
      <c r="Q29" s="21"/>
      <c r="R29" s="21"/>
      <c r="S29" s="21"/>
      <c r="T29" s="21"/>
      <c r="U29" s="21"/>
    </row>
    <row r="30" spans="1:21" s="23" customFormat="1" ht="13.25" customHeight="1">
      <c r="A30" s="54" t="s">
        <v>28</v>
      </c>
      <c r="B30" s="55" t="s">
        <v>29</v>
      </c>
      <c r="C30" s="46">
        <v>115598.36659999998</v>
      </c>
      <c r="D30" s="46">
        <v>116877.46609999993</v>
      </c>
      <c r="E30" s="46">
        <v>133320.6373</v>
      </c>
      <c r="F30" s="46">
        <v>125256.33049999984</v>
      </c>
      <c r="G30" s="46">
        <v>137765.12379999991</v>
      </c>
      <c r="H30" s="46">
        <v>145037.42959999983</v>
      </c>
      <c r="I30" s="46">
        <v>153017.94520000022</v>
      </c>
      <c r="J30" s="46">
        <v>179614.77489999926</v>
      </c>
      <c r="K30" s="46">
        <v>200066.29939999973</v>
      </c>
      <c r="L30" s="46">
        <v>224889.38580000034</v>
      </c>
      <c r="M30" s="47">
        <v>253532</v>
      </c>
      <c r="N30" s="47">
        <v>285611</v>
      </c>
      <c r="O30" s="47">
        <v>328008</v>
      </c>
      <c r="P30" s="47">
        <v>385410</v>
      </c>
      <c r="Q30" s="47">
        <v>423101</v>
      </c>
      <c r="R30" s="47">
        <v>454227</v>
      </c>
      <c r="S30" s="47">
        <v>480579</v>
      </c>
      <c r="T30" s="47">
        <v>508315</v>
      </c>
      <c r="U30" s="47">
        <v>535321</v>
      </c>
    </row>
    <row r="31" spans="1:21" s="23" customFormat="1" ht="13.25" customHeight="1">
      <c r="A31" s="54" t="s">
        <v>30</v>
      </c>
      <c r="B31" s="55" t="s">
        <v>31</v>
      </c>
      <c r="C31" s="46">
        <v>148364.5754</v>
      </c>
      <c r="D31" s="46">
        <v>154420.2359</v>
      </c>
      <c r="E31" s="46">
        <v>168168.94469999999</v>
      </c>
      <c r="F31" s="46">
        <v>203404.3095</v>
      </c>
      <c r="G31" s="46">
        <v>210608.3732</v>
      </c>
      <c r="H31" s="46">
        <v>226758.58040000001</v>
      </c>
      <c r="I31" s="46">
        <v>239873.82180000001</v>
      </c>
      <c r="J31" s="46">
        <v>265926.83909999998</v>
      </c>
      <c r="K31" s="46">
        <v>292247.10060000001</v>
      </c>
      <c r="L31" s="46">
        <v>292195.60320000001</v>
      </c>
      <c r="M31" s="47">
        <v>330872</v>
      </c>
      <c r="N31" s="47">
        <v>363556</v>
      </c>
      <c r="O31" s="47">
        <v>410551</v>
      </c>
      <c r="P31" s="47">
        <v>460831</v>
      </c>
      <c r="Q31" s="47">
        <v>488951</v>
      </c>
      <c r="R31" s="47">
        <v>499417</v>
      </c>
      <c r="S31" s="47">
        <v>528780</v>
      </c>
      <c r="T31" s="47">
        <v>547170</v>
      </c>
      <c r="U31" s="47">
        <v>583568</v>
      </c>
    </row>
    <row r="32" spans="1:21" s="19" customFormat="1" ht="11" customHeight="1">
      <c r="A32" s="48" t="s">
        <v>20</v>
      </c>
      <c r="B32" s="49" t="s">
        <v>21</v>
      </c>
      <c r="C32" s="30">
        <v>470094.2260000002</v>
      </c>
      <c r="D32" s="30">
        <v>520719.94000000012</v>
      </c>
      <c r="E32" s="30">
        <v>579637.6819999998</v>
      </c>
      <c r="F32" s="30">
        <v>661885.03299999982</v>
      </c>
      <c r="G32" s="30">
        <v>750708.11399999994</v>
      </c>
      <c r="H32" s="30">
        <v>852230.06099999987</v>
      </c>
      <c r="I32" s="30">
        <v>963672.27599999972</v>
      </c>
      <c r="J32" s="30">
        <v>1095427.6900000002</v>
      </c>
      <c r="K32" s="30">
        <v>1262084.7259999998</v>
      </c>
      <c r="L32" s="30">
        <v>1414391.1850000001</v>
      </c>
      <c r="M32" s="31">
        <v>1619069</v>
      </c>
      <c r="N32" s="31">
        <v>1847729</v>
      </c>
      <c r="O32" s="31">
        <v>2059855</v>
      </c>
      <c r="P32" s="31">
        <v>2306819</v>
      </c>
      <c r="Q32" s="31">
        <v>2516215</v>
      </c>
      <c r="R32" s="31">
        <v>2673177</v>
      </c>
      <c r="S32" s="31">
        <v>2803443</v>
      </c>
      <c r="T32" s="31">
        <v>2921445</v>
      </c>
      <c r="U32" s="31">
        <v>3056677</v>
      </c>
    </row>
    <row r="33" spans="1:21" s="19" customFormat="1" ht="11" customHeight="1">
      <c r="A33" s="48" t="s">
        <v>22</v>
      </c>
      <c r="B33" s="49" t="s">
        <v>23</v>
      </c>
      <c r="C33" s="30">
        <v>380925.23100000009</v>
      </c>
      <c r="D33" s="30">
        <v>418313.94000000012</v>
      </c>
      <c r="E33" s="30">
        <v>467566.68099999992</v>
      </c>
      <c r="F33" s="30">
        <v>531340.58200000005</v>
      </c>
      <c r="G33" s="30">
        <v>600330.97200000018</v>
      </c>
      <c r="H33" s="30">
        <v>684320.56099999999</v>
      </c>
      <c r="I33" s="30">
        <v>776937.17799999996</v>
      </c>
      <c r="J33" s="30">
        <v>878091.53200000012</v>
      </c>
      <c r="K33" s="30">
        <v>1010625.5070000001</v>
      </c>
      <c r="L33" s="30">
        <v>1127724.3509999998</v>
      </c>
      <c r="M33" s="31">
        <v>1278164</v>
      </c>
      <c r="N33" s="31">
        <v>1454603</v>
      </c>
      <c r="O33" s="31">
        <v>1627984</v>
      </c>
      <c r="P33" s="31">
        <v>1823316</v>
      </c>
      <c r="Q33" s="31">
        <v>2001255</v>
      </c>
      <c r="R33" s="31">
        <v>2128005</v>
      </c>
      <c r="S33" s="31">
        <v>2230299</v>
      </c>
      <c r="T33" s="31">
        <v>2313263</v>
      </c>
      <c r="U33" s="31">
        <v>2423202</v>
      </c>
    </row>
    <row r="34" spans="1:21" s="19" customFormat="1" ht="11" customHeight="1">
      <c r="A34" s="48" t="s">
        <v>24</v>
      </c>
      <c r="B34" s="49" t="s">
        <v>25</v>
      </c>
      <c r="C34" s="30">
        <v>89168.99500000001</v>
      </c>
      <c r="D34" s="30">
        <v>102406.00000000003</v>
      </c>
      <c r="E34" s="30">
        <v>112071.00100000003</v>
      </c>
      <c r="F34" s="30">
        <v>130544.451</v>
      </c>
      <c r="G34" s="30">
        <v>150377.14199999999</v>
      </c>
      <c r="H34" s="30">
        <v>167909.5</v>
      </c>
      <c r="I34" s="30">
        <v>186735.098</v>
      </c>
      <c r="J34" s="30">
        <v>217336.158</v>
      </c>
      <c r="K34" s="30">
        <v>251459.21899999992</v>
      </c>
      <c r="L34" s="30">
        <v>286666.83399999997</v>
      </c>
      <c r="M34" s="31">
        <v>340905</v>
      </c>
      <c r="N34" s="31">
        <v>393126</v>
      </c>
      <c r="O34" s="31">
        <v>431871</v>
      </c>
      <c r="P34" s="31">
        <v>483503</v>
      </c>
      <c r="Q34" s="31">
        <v>514960</v>
      </c>
      <c r="R34" s="31">
        <v>545172</v>
      </c>
      <c r="S34" s="31">
        <v>573144</v>
      </c>
      <c r="T34" s="31">
        <v>608182</v>
      </c>
      <c r="U34" s="31">
        <v>633475</v>
      </c>
    </row>
    <row r="35" spans="1:21" s="19" customFormat="1" ht="11" customHeight="1">
      <c r="A35" s="48" t="s">
        <v>33</v>
      </c>
      <c r="B35" s="49" t="s">
        <v>34</v>
      </c>
      <c r="C35" s="50">
        <v>148855.99100000001</v>
      </c>
      <c r="D35" s="50">
        <v>169907.58899999998</v>
      </c>
      <c r="E35" s="50">
        <v>160685.63399999999</v>
      </c>
      <c r="F35" s="50">
        <v>187515.97999999998</v>
      </c>
      <c r="G35" s="50">
        <v>200831.674</v>
      </c>
      <c r="H35" s="50">
        <v>236866.962</v>
      </c>
      <c r="I35" s="50">
        <v>264050.27100000001</v>
      </c>
      <c r="J35" s="50">
        <v>288447.13199999998</v>
      </c>
      <c r="K35" s="50">
        <v>358432.054</v>
      </c>
      <c r="L35" s="50">
        <v>439925.973</v>
      </c>
      <c r="M35" s="31">
        <v>524842</v>
      </c>
      <c r="N35" s="31">
        <v>638757</v>
      </c>
      <c r="O35" s="31">
        <v>684459</v>
      </c>
      <c r="P35" s="31">
        <v>684010</v>
      </c>
      <c r="Q35" s="31">
        <v>775491</v>
      </c>
      <c r="R35" s="31">
        <v>914775</v>
      </c>
      <c r="S35" s="31">
        <v>915269</v>
      </c>
      <c r="T35" s="31">
        <v>880473</v>
      </c>
      <c r="U35" s="31">
        <v>876994</v>
      </c>
    </row>
    <row r="36" spans="1:21" s="19" customFormat="1" ht="11" customHeight="1">
      <c r="A36" s="48" t="s">
        <v>35</v>
      </c>
      <c r="B36" s="49" t="s">
        <v>36</v>
      </c>
      <c r="C36" s="50">
        <v>67148.672000000006</v>
      </c>
      <c r="D36" s="50">
        <v>71317.097999999998</v>
      </c>
      <c r="E36" s="50">
        <v>76966.347999999998</v>
      </c>
      <c r="F36" s="50">
        <v>84780.103000000003</v>
      </c>
      <c r="G36" s="50">
        <v>74279.709000000003</v>
      </c>
      <c r="H36" s="50">
        <v>102452.88099999999</v>
      </c>
      <c r="I36" s="50">
        <v>115636.068</v>
      </c>
      <c r="J36" s="50">
        <v>136773.399</v>
      </c>
      <c r="K36" s="50">
        <v>180921.20800000001</v>
      </c>
      <c r="L36" s="50">
        <v>250244</v>
      </c>
      <c r="M36" s="31">
        <v>265829</v>
      </c>
      <c r="N36" s="31">
        <v>332315</v>
      </c>
      <c r="O36" s="31">
        <v>337723</v>
      </c>
      <c r="P36" s="31">
        <v>319710</v>
      </c>
      <c r="Q36" s="31">
        <v>396713</v>
      </c>
      <c r="R36" s="31">
        <v>481361</v>
      </c>
      <c r="S36" s="31">
        <v>483297</v>
      </c>
      <c r="T36" s="31">
        <v>436148</v>
      </c>
      <c r="U36" s="31">
        <v>379187</v>
      </c>
    </row>
    <row r="37" spans="1:21" s="19" customFormat="1" ht="11" customHeight="1">
      <c r="A37" s="48" t="s">
        <v>37</v>
      </c>
      <c r="B37" s="49" t="s">
        <v>38</v>
      </c>
      <c r="C37" s="50">
        <v>70376.28300000001</v>
      </c>
      <c r="D37" s="50">
        <v>83903.130999999994</v>
      </c>
      <c r="E37" s="50">
        <v>68529.716</v>
      </c>
      <c r="F37" s="50">
        <v>75662.073000000004</v>
      </c>
      <c r="G37" s="50">
        <v>101950.3</v>
      </c>
      <c r="H37" s="50">
        <v>109807.556</v>
      </c>
      <c r="I37" s="50">
        <v>120175.50899999999</v>
      </c>
      <c r="J37" s="50">
        <v>121087.55900000001</v>
      </c>
      <c r="K37" s="50">
        <v>146257.93700000001</v>
      </c>
      <c r="L37" s="50">
        <v>146855</v>
      </c>
      <c r="M37" s="31">
        <v>198464</v>
      </c>
      <c r="N37" s="31">
        <v>253813</v>
      </c>
      <c r="O37" s="31">
        <v>266467</v>
      </c>
      <c r="P37" s="31">
        <v>310092</v>
      </c>
      <c r="Q37" s="31">
        <v>319932</v>
      </c>
      <c r="R37" s="31">
        <v>333980</v>
      </c>
      <c r="S37" s="31">
        <v>344270</v>
      </c>
      <c r="T37" s="31">
        <v>370240</v>
      </c>
      <c r="U37" s="31">
        <v>432789</v>
      </c>
    </row>
    <row r="38" spans="1:21" s="19" customFormat="1" ht="9.75" customHeight="1">
      <c r="A38" s="60" t="s">
        <v>39</v>
      </c>
      <c r="B38" s="49" t="s">
        <v>40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</row>
    <row r="39" spans="1:21" s="19" customFormat="1" ht="11.25" customHeight="1">
      <c r="A39" s="61" t="s">
        <v>41</v>
      </c>
      <c r="B39" s="62" t="s">
        <v>42</v>
      </c>
      <c r="C39" s="50">
        <v>11331.036</v>
      </c>
      <c r="D39" s="50">
        <v>14687.359999999999</v>
      </c>
      <c r="E39" s="50">
        <v>15189.57</v>
      </c>
      <c r="F39" s="50">
        <v>27073.804</v>
      </c>
      <c r="G39" s="50">
        <v>24601.665000000001</v>
      </c>
      <c r="H39" s="50">
        <v>24606.525000000001</v>
      </c>
      <c r="I39" s="50">
        <v>28238.694</v>
      </c>
      <c r="J39" s="50">
        <v>30586.173999999999</v>
      </c>
      <c r="K39" s="50">
        <v>31252.909</v>
      </c>
      <c r="L39" s="50">
        <v>42826.972999999998</v>
      </c>
      <c r="M39" s="51">
        <v>60549</v>
      </c>
      <c r="N39" s="51">
        <v>52629</v>
      </c>
      <c r="O39" s="51">
        <v>80269</v>
      </c>
      <c r="P39" s="51">
        <v>54208</v>
      </c>
      <c r="Q39" s="51">
        <v>58846</v>
      </c>
      <c r="R39" s="51">
        <v>99434</v>
      </c>
      <c r="S39" s="51">
        <v>87702</v>
      </c>
      <c r="T39" s="51">
        <v>74085</v>
      </c>
      <c r="U39" s="51">
        <v>65018</v>
      </c>
    </row>
    <row r="40" spans="1:21" s="19" customFormat="1" ht="9.75" customHeight="1">
      <c r="A40" s="60" t="s">
        <v>43</v>
      </c>
      <c r="B40" s="49" t="s">
        <v>44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</row>
    <row r="41" spans="1:21" s="23" customFormat="1" ht="13.25" customHeight="1">
      <c r="A41" s="20" t="s">
        <v>12</v>
      </c>
      <c r="B41" s="21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21"/>
      <c r="N41" s="21"/>
      <c r="O41" s="21"/>
      <c r="P41" s="21"/>
      <c r="Q41" s="21"/>
      <c r="R41" s="21"/>
      <c r="S41" s="21"/>
      <c r="T41" s="21"/>
      <c r="U41" s="21"/>
    </row>
    <row r="42" spans="1:21" s="19" customFormat="1" ht="11" customHeight="1">
      <c r="A42" s="48" t="s">
        <v>33</v>
      </c>
      <c r="B42" s="49" t="s">
        <v>34</v>
      </c>
      <c r="C42" s="50">
        <v>17092.162</v>
      </c>
      <c r="D42" s="50">
        <v>18341.776000000002</v>
      </c>
      <c r="E42" s="50">
        <v>20001.721000000001</v>
      </c>
      <c r="F42" s="50">
        <v>26266.197</v>
      </c>
      <c r="G42" s="50">
        <v>25761.248</v>
      </c>
      <c r="H42" s="50">
        <v>44854.18</v>
      </c>
      <c r="I42" s="50">
        <v>63111.322</v>
      </c>
      <c r="J42" s="50">
        <v>78216.274999999994</v>
      </c>
      <c r="K42" s="50">
        <v>117952.303</v>
      </c>
      <c r="L42" s="50">
        <v>174775</v>
      </c>
      <c r="M42" s="31">
        <v>181522</v>
      </c>
      <c r="N42" s="31">
        <v>250156</v>
      </c>
      <c r="O42" s="31">
        <v>252869</v>
      </c>
      <c r="P42" s="31">
        <v>244047</v>
      </c>
      <c r="Q42" s="31">
        <v>300551</v>
      </c>
      <c r="R42" s="31">
        <v>362726</v>
      </c>
      <c r="S42" s="31">
        <v>388690</v>
      </c>
      <c r="T42" s="31">
        <v>346347</v>
      </c>
      <c r="U42" s="31">
        <v>278633</v>
      </c>
    </row>
    <row r="43" spans="1:21" s="19" customFormat="1" ht="11" customHeight="1">
      <c r="A43" s="48" t="s">
        <v>35</v>
      </c>
      <c r="B43" s="49" t="s">
        <v>36</v>
      </c>
      <c r="C43" s="50">
        <v>17027.162</v>
      </c>
      <c r="D43" s="50">
        <v>18272.776000000002</v>
      </c>
      <c r="E43" s="50">
        <v>19914.721000000001</v>
      </c>
      <c r="F43" s="50">
        <v>26186.197</v>
      </c>
      <c r="G43" s="50">
        <v>25666.248</v>
      </c>
      <c r="H43" s="50">
        <v>44740.18</v>
      </c>
      <c r="I43" s="50">
        <v>62973.322</v>
      </c>
      <c r="J43" s="50">
        <v>78078.274999999994</v>
      </c>
      <c r="K43" s="50">
        <v>117732.303</v>
      </c>
      <c r="L43" s="50">
        <v>174552</v>
      </c>
      <c r="M43" s="31">
        <v>181183</v>
      </c>
      <c r="N43" s="31">
        <v>249840</v>
      </c>
      <c r="O43" s="31">
        <v>252365</v>
      </c>
      <c r="P43" s="31">
        <v>243020</v>
      </c>
      <c r="Q43" s="31">
        <v>299515</v>
      </c>
      <c r="R43" s="31">
        <v>361884</v>
      </c>
      <c r="S43" s="31">
        <v>387739</v>
      </c>
      <c r="T43" s="31">
        <v>345699</v>
      </c>
      <c r="U43" s="31">
        <v>277997</v>
      </c>
    </row>
    <row r="44" spans="1:21" s="19" customFormat="1" ht="11" customHeight="1">
      <c r="A44" s="48" t="s">
        <v>43</v>
      </c>
      <c r="B44" s="49" t="s">
        <v>44</v>
      </c>
      <c r="C44" s="50">
        <v>65</v>
      </c>
      <c r="D44" s="50">
        <v>69</v>
      </c>
      <c r="E44" s="50">
        <v>87</v>
      </c>
      <c r="F44" s="50">
        <v>80</v>
      </c>
      <c r="G44" s="50">
        <v>95</v>
      </c>
      <c r="H44" s="50">
        <v>114</v>
      </c>
      <c r="I44" s="50">
        <v>138</v>
      </c>
      <c r="J44" s="50">
        <v>138</v>
      </c>
      <c r="K44" s="50">
        <v>220</v>
      </c>
      <c r="L44" s="50">
        <v>223</v>
      </c>
      <c r="M44" s="51">
        <v>339</v>
      </c>
      <c r="N44" s="51">
        <v>316</v>
      </c>
      <c r="O44" s="51">
        <v>504</v>
      </c>
      <c r="P44" s="51">
        <v>1027</v>
      </c>
      <c r="Q44" s="51">
        <v>1036</v>
      </c>
      <c r="R44" s="51">
        <v>842</v>
      </c>
      <c r="S44" s="51">
        <v>951</v>
      </c>
      <c r="T44" s="51">
        <v>648</v>
      </c>
      <c r="U44" s="51">
        <v>636</v>
      </c>
    </row>
    <row r="45" spans="1:21" s="23" customFormat="1" ht="13.25" customHeight="1">
      <c r="A45" s="54" t="s">
        <v>45</v>
      </c>
      <c r="B45" s="55" t="s">
        <v>46</v>
      </c>
      <c r="C45" s="46">
        <v>865820.99700000021</v>
      </c>
      <c r="D45" s="46">
        <v>943583.45499999996</v>
      </c>
      <c r="E45" s="46">
        <v>1021811.1769999997</v>
      </c>
      <c r="F45" s="46">
        <v>1151795.4559999998</v>
      </c>
      <c r="G45" s="46">
        <v>1274152.0369999998</v>
      </c>
      <c r="H45" s="46">
        <v>1416038.8529999999</v>
      </c>
      <c r="I45" s="46">
        <v>1557502.9920000001</v>
      </c>
      <c r="J45" s="46">
        <v>1751200.1609999996</v>
      </c>
      <c r="K45" s="46">
        <v>1994877.8769999996</v>
      </c>
      <c r="L45" s="46">
        <v>2196627.1470000003</v>
      </c>
      <c r="M45" s="47">
        <v>2546793</v>
      </c>
      <c r="N45" s="47">
        <v>2885497</v>
      </c>
      <c r="O45" s="47">
        <v>3230004</v>
      </c>
      <c r="P45" s="47">
        <v>3593023</v>
      </c>
      <c r="Q45" s="47">
        <v>3903207</v>
      </c>
      <c r="R45" s="47">
        <v>4178870</v>
      </c>
      <c r="S45" s="47">
        <v>4339381</v>
      </c>
      <c r="T45" s="47">
        <v>4511056</v>
      </c>
      <c r="U45" s="47">
        <v>4773927</v>
      </c>
    </row>
    <row r="46" spans="1:21" s="19" customFormat="1" ht="3.75" customHeight="1">
      <c r="A46" s="56"/>
      <c r="B46" s="57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59"/>
      <c r="N46" s="59"/>
      <c r="O46" s="59"/>
      <c r="P46" s="59"/>
      <c r="Q46" s="59"/>
      <c r="R46" s="59"/>
      <c r="S46" s="59"/>
      <c r="T46" s="59"/>
      <c r="U46" s="59"/>
    </row>
    <row r="47" spans="1:21" s="64" customFormat="1" ht="15" customHeight="1">
      <c r="A47" s="16" t="s">
        <v>47</v>
      </c>
      <c r="B47" s="16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16"/>
      <c r="N47" s="16"/>
      <c r="O47" s="16"/>
      <c r="P47" s="16"/>
      <c r="Q47" s="16"/>
      <c r="R47" s="16"/>
      <c r="S47" s="16"/>
      <c r="T47" s="16"/>
      <c r="U47" s="16"/>
    </row>
    <row r="48" spans="1:21" s="23" customFormat="1" ht="13.25" customHeight="1">
      <c r="A48" s="20" t="s">
        <v>5</v>
      </c>
      <c r="B48" s="21"/>
      <c r="C48" s="22"/>
      <c r="D48" s="22"/>
      <c r="E48" s="39"/>
      <c r="F48" s="39"/>
      <c r="G48" s="39"/>
      <c r="H48" s="39"/>
      <c r="I48" s="39"/>
      <c r="J48" s="39"/>
      <c r="K48" s="39"/>
      <c r="L48" s="39"/>
      <c r="M48" s="21"/>
      <c r="N48" s="21"/>
      <c r="O48" s="21"/>
      <c r="P48" s="21"/>
      <c r="Q48" s="21"/>
      <c r="R48" s="21"/>
      <c r="S48" s="21"/>
      <c r="T48" s="21"/>
      <c r="U48" s="21"/>
    </row>
    <row r="49" spans="1:21" s="23" customFormat="1" ht="13.25" customHeight="1">
      <c r="A49" s="54" t="s">
        <v>48</v>
      </c>
      <c r="B49" s="55" t="s">
        <v>46</v>
      </c>
      <c r="C49" s="46">
        <v>865820.99700000021</v>
      </c>
      <c r="D49" s="46">
        <v>943583.45499999996</v>
      </c>
      <c r="E49" s="46">
        <v>1021811.1769999997</v>
      </c>
      <c r="F49" s="46">
        <v>1151795.4559999998</v>
      </c>
      <c r="G49" s="46">
        <v>1274152.0369999998</v>
      </c>
      <c r="H49" s="46">
        <v>1416038.8529999999</v>
      </c>
      <c r="I49" s="46">
        <v>1557502.9920000001</v>
      </c>
      <c r="J49" s="46">
        <v>1751200.1609999996</v>
      </c>
      <c r="K49" s="46">
        <v>1994877.8769999996</v>
      </c>
      <c r="L49" s="46">
        <v>2196627.1470000003</v>
      </c>
      <c r="M49" s="47">
        <v>2546793</v>
      </c>
      <c r="N49" s="47">
        <v>2885497</v>
      </c>
      <c r="O49" s="47">
        <v>3230004</v>
      </c>
      <c r="P49" s="47">
        <v>3593023</v>
      </c>
      <c r="Q49" s="47">
        <v>3903207</v>
      </c>
      <c r="R49" s="47">
        <v>4178870</v>
      </c>
      <c r="S49" s="47">
        <v>4339381</v>
      </c>
      <c r="T49" s="47">
        <v>4511056</v>
      </c>
      <c r="U49" s="47">
        <v>4773927</v>
      </c>
    </row>
    <row r="50" spans="1:21" s="19" customFormat="1" ht="18" customHeight="1">
      <c r="A50" s="48" t="s">
        <v>49</v>
      </c>
      <c r="B50" s="49" t="s">
        <v>50</v>
      </c>
      <c r="C50" s="50">
        <v>160298</v>
      </c>
      <c r="D50" s="50">
        <v>183633</v>
      </c>
      <c r="E50" s="50">
        <v>225609</v>
      </c>
      <c r="F50" s="50">
        <v>256543</v>
      </c>
      <c r="G50" s="50">
        <v>283348</v>
      </c>
      <c r="H50" s="50">
        <v>321654</v>
      </c>
      <c r="I50" s="50">
        <v>366398</v>
      </c>
      <c r="J50" s="50">
        <v>406702</v>
      </c>
      <c r="K50" s="50">
        <v>450625</v>
      </c>
      <c r="L50" s="50">
        <v>506919</v>
      </c>
      <c r="M50" s="51">
        <v>568962</v>
      </c>
      <c r="N50" s="51">
        <v>644810</v>
      </c>
      <c r="O50" s="51">
        <v>721459</v>
      </c>
      <c r="P50" s="51">
        <v>809849</v>
      </c>
      <c r="Q50" s="51">
        <v>911277</v>
      </c>
      <c r="R50" s="51">
        <v>994425</v>
      </c>
      <c r="S50" s="51">
        <v>1123676</v>
      </c>
      <c r="T50" s="51">
        <v>1273787</v>
      </c>
      <c r="U50" s="51">
        <v>1293900</v>
      </c>
    </row>
    <row r="51" spans="1:21" s="19" customFormat="1" ht="11" customHeight="1">
      <c r="A51" s="48" t="s">
        <v>51</v>
      </c>
      <c r="B51" s="49" t="s">
        <v>52</v>
      </c>
      <c r="C51" s="50">
        <v>6592</v>
      </c>
      <c r="D51" s="50">
        <v>9167</v>
      </c>
      <c r="E51" s="50">
        <v>9752</v>
      </c>
      <c r="F51" s="50">
        <v>14053</v>
      </c>
      <c r="G51" s="50">
        <v>14120</v>
      </c>
      <c r="H51" s="50">
        <v>14768</v>
      </c>
      <c r="I51" s="50">
        <v>15018</v>
      </c>
      <c r="J51" s="50">
        <v>15551</v>
      </c>
      <c r="K51" s="50">
        <v>17200</v>
      </c>
      <c r="L51" s="50">
        <v>18890</v>
      </c>
      <c r="M51" s="51">
        <v>18824</v>
      </c>
      <c r="N51" s="51">
        <v>15047</v>
      </c>
      <c r="O51" s="51">
        <v>25851</v>
      </c>
      <c r="P51" s="51">
        <v>31160</v>
      </c>
      <c r="Q51" s="51">
        <v>33242</v>
      </c>
      <c r="R51" s="51">
        <v>40563</v>
      </c>
      <c r="S51" s="51">
        <v>45391</v>
      </c>
      <c r="T51" s="51">
        <v>46625</v>
      </c>
      <c r="U51" s="51">
        <v>48319</v>
      </c>
    </row>
    <row r="52" spans="1:21" s="23" customFormat="1" ht="13.25" customHeight="1">
      <c r="A52" s="20" t="s">
        <v>12</v>
      </c>
      <c r="B52" s="21"/>
      <c r="C52" s="159">
        <f>(C54-(C34-C23))/C54</f>
        <v>0.34489427286146224</v>
      </c>
      <c r="D52" s="159">
        <f t="shared" ref="D52:U52" si="0">(D54-(D34-D23))/D54</f>
        <v>0.35614435057407706</v>
      </c>
      <c r="E52" s="159">
        <f t="shared" si="0"/>
        <v>0.37621173706995009</v>
      </c>
      <c r="F52" s="159">
        <f t="shared" si="0"/>
        <v>0.36063965261105979</v>
      </c>
      <c r="G52" s="159">
        <f t="shared" si="0"/>
        <v>0.33503957609217416</v>
      </c>
      <c r="H52" s="159">
        <f t="shared" si="0"/>
        <v>0.354185670402343</v>
      </c>
      <c r="I52" s="159">
        <f t="shared" si="0"/>
        <v>0.36941175747401334</v>
      </c>
      <c r="J52" s="159">
        <f t="shared" si="0"/>
        <v>0.34433185102206193</v>
      </c>
      <c r="K52" s="159">
        <f t="shared" si="0"/>
        <v>0.33784267557293685</v>
      </c>
      <c r="L52" s="159">
        <f t="shared" si="0"/>
        <v>0.29370524251628505</v>
      </c>
      <c r="M52" s="159">
        <f t="shared" si="0"/>
        <v>0.28789514296195412</v>
      </c>
      <c r="N52" s="159">
        <f t="shared" si="0"/>
        <v>0.26442473799378097</v>
      </c>
      <c r="O52" s="159">
        <f t="shared" si="0"/>
        <v>0.28622671449335269</v>
      </c>
      <c r="P52" s="159">
        <f t="shared" si="0"/>
        <v>0.25289239961580201</v>
      </c>
      <c r="Q52" s="159">
        <f t="shared" si="0"/>
        <v>0.26054863478879547</v>
      </c>
      <c r="R52" s="159">
        <f t="shared" si="0"/>
        <v>0.29665532156463453</v>
      </c>
      <c r="S52" s="159">
        <f t="shared" si="0"/>
        <v>0.2789483313259441</v>
      </c>
      <c r="T52" s="159">
        <f t="shared" si="0"/>
        <v>0.2545811259097886</v>
      </c>
      <c r="U52" s="159">
        <f t="shared" si="0"/>
        <v>0.25548894859275667</v>
      </c>
    </row>
    <row r="53" spans="1:21" s="19" customFormat="1" ht="11" customHeight="1">
      <c r="A53" s="48" t="s">
        <v>53</v>
      </c>
      <c r="B53" s="49" t="s">
        <v>54</v>
      </c>
      <c r="C53" s="50">
        <v>38568</v>
      </c>
      <c r="D53" s="50">
        <v>44219</v>
      </c>
      <c r="E53" s="50">
        <v>55542</v>
      </c>
      <c r="F53" s="50">
        <v>55113</v>
      </c>
      <c r="G53" s="50">
        <v>59706</v>
      </c>
      <c r="H53" s="50">
        <v>74500</v>
      </c>
      <c r="I53" s="50">
        <v>81950</v>
      </c>
      <c r="J53" s="50">
        <v>86752</v>
      </c>
      <c r="K53" s="50">
        <v>92932</v>
      </c>
      <c r="L53" s="50">
        <v>95523</v>
      </c>
      <c r="M53" s="31">
        <v>113236</v>
      </c>
      <c r="N53" s="31">
        <v>134117</v>
      </c>
      <c r="O53" s="31">
        <v>149388</v>
      </c>
      <c r="P53" s="31">
        <v>165821</v>
      </c>
      <c r="Q53" s="31">
        <v>181055</v>
      </c>
      <c r="R53" s="31">
        <v>195924</v>
      </c>
      <c r="S53" s="31">
        <v>207418</v>
      </c>
      <c r="T53" s="31">
        <v>217613</v>
      </c>
      <c r="U53" s="31">
        <v>249550</v>
      </c>
    </row>
    <row r="54" spans="1:21" s="19" customFormat="1" ht="11" customHeight="1">
      <c r="A54" s="48" t="s">
        <v>55</v>
      </c>
      <c r="B54" s="49" t="s">
        <v>56</v>
      </c>
      <c r="C54" s="50">
        <v>129631.996</v>
      </c>
      <c r="D54" s="50">
        <v>151614.99800000002</v>
      </c>
      <c r="E54" s="50">
        <v>170707</v>
      </c>
      <c r="F54" s="50">
        <v>194502.45000000004</v>
      </c>
      <c r="G54" s="50">
        <v>215107.13999999993</v>
      </c>
      <c r="H54" s="50">
        <v>247111.50199999989</v>
      </c>
      <c r="I54" s="50">
        <v>282410.09900000016</v>
      </c>
      <c r="J54" s="50">
        <v>315996.15799999994</v>
      </c>
      <c r="K54" s="50">
        <v>363298.21799999999</v>
      </c>
      <c r="L54" s="50">
        <v>393772.83500000008</v>
      </c>
      <c r="M54" s="31">
        <v>474322</v>
      </c>
      <c r="N54" s="31">
        <v>529663</v>
      </c>
      <c r="O54" s="31">
        <v>599944</v>
      </c>
      <c r="P54" s="31">
        <v>641336</v>
      </c>
      <c r="Q54" s="31">
        <v>690113</v>
      </c>
      <c r="R54" s="31">
        <v>768026</v>
      </c>
      <c r="S54" s="31">
        <v>787092</v>
      </c>
      <c r="T54" s="31">
        <v>807880</v>
      </c>
      <c r="U54" s="31">
        <v>843422</v>
      </c>
    </row>
    <row r="55" spans="1:21" s="19" customFormat="1" ht="11" customHeight="1">
      <c r="A55" s="48" t="s">
        <v>51</v>
      </c>
      <c r="B55" s="49" t="s">
        <v>52</v>
      </c>
      <c r="C55" s="50">
        <v>15189.886</v>
      </c>
      <c r="D55" s="50">
        <v>18577.061000000002</v>
      </c>
      <c r="E55" s="50">
        <v>19448.114000000001</v>
      </c>
      <c r="F55" s="50">
        <v>18413.871999999999</v>
      </c>
      <c r="G55" s="50">
        <v>20108.827000000001</v>
      </c>
      <c r="H55" s="50">
        <v>24339.523000000001</v>
      </c>
      <c r="I55" s="50">
        <v>28374.891</v>
      </c>
      <c r="J55" s="50">
        <v>32746.633000000002</v>
      </c>
      <c r="K55" s="50">
        <v>37438.322999999997</v>
      </c>
      <c r="L55" s="50">
        <v>30752.561000000002</v>
      </c>
      <c r="M55" s="31">
        <v>54719</v>
      </c>
      <c r="N55" s="31">
        <v>52635</v>
      </c>
      <c r="O55" s="31">
        <v>66769</v>
      </c>
      <c r="P55" s="31">
        <v>76459</v>
      </c>
      <c r="Q55" s="31">
        <v>78162</v>
      </c>
      <c r="R55" s="31">
        <v>101688</v>
      </c>
      <c r="S55" s="31">
        <v>109541</v>
      </c>
      <c r="T55" s="31">
        <v>101744</v>
      </c>
      <c r="U55" s="31">
        <v>104994</v>
      </c>
    </row>
    <row r="56" spans="1:21" s="23" customFormat="1" ht="13.25" customHeight="1">
      <c r="A56" s="54" t="s">
        <v>57</v>
      </c>
      <c r="B56" s="55" t="s">
        <v>58</v>
      </c>
      <c r="C56" s="46">
        <v>849321.11500000011</v>
      </c>
      <c r="D56" s="46">
        <v>921972.39600000007</v>
      </c>
      <c r="E56" s="46">
        <v>1011475.0629999996</v>
      </c>
      <c r="F56" s="46">
        <v>1154362.1339999998</v>
      </c>
      <c r="G56" s="46">
        <v>1276698.0699999998</v>
      </c>
      <c r="H56" s="46">
        <v>1406509.828</v>
      </c>
      <c r="I56" s="46">
        <v>1546184.0019999999</v>
      </c>
      <c r="J56" s="46">
        <v>1737958.3699999996</v>
      </c>
      <c r="K56" s="46">
        <v>1969034.3359999994</v>
      </c>
      <c r="L56" s="46">
        <v>2202387.7510000002</v>
      </c>
      <c r="M56" s="47">
        <v>2492302</v>
      </c>
      <c r="N56" s="47">
        <v>2828939</v>
      </c>
      <c r="O56" s="47">
        <v>3161213</v>
      </c>
      <c r="P56" s="47">
        <v>3550416</v>
      </c>
      <c r="Q56" s="47">
        <v>3898396</v>
      </c>
      <c r="R56" s="47">
        <v>4148220</v>
      </c>
      <c r="S56" s="47">
        <v>4404397</v>
      </c>
      <c r="T56" s="47">
        <v>4704231</v>
      </c>
      <c r="U56" s="47">
        <v>4918180</v>
      </c>
    </row>
    <row r="57" spans="1:21" s="19" customFormat="1" ht="3.75" customHeight="1">
      <c r="A57" s="56"/>
      <c r="B57" s="57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59"/>
      <c r="N57" s="59"/>
    </row>
    <row r="58" spans="1:21" s="23" customFormat="1" ht="15" customHeight="1">
      <c r="A58" s="16" t="s">
        <v>59</v>
      </c>
      <c r="B58" s="16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16"/>
      <c r="N58" s="16"/>
      <c r="O58" s="16"/>
      <c r="P58" s="16"/>
      <c r="Q58" s="16"/>
      <c r="R58" s="16"/>
      <c r="S58" s="16"/>
      <c r="T58" s="16"/>
      <c r="U58" s="16"/>
    </row>
    <row r="59" spans="1:21" s="23" customFormat="1" ht="18" customHeight="1">
      <c r="A59" s="20" t="s">
        <v>5</v>
      </c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1"/>
      <c r="N59" s="21"/>
      <c r="O59" s="21"/>
      <c r="P59" s="21"/>
      <c r="Q59" s="21"/>
      <c r="R59" s="21"/>
      <c r="S59" s="21"/>
      <c r="T59" s="21"/>
      <c r="U59" s="21"/>
    </row>
    <row r="60" spans="1:21" s="23" customFormat="1" ht="18" customHeight="1">
      <c r="A60" s="54" t="s">
        <v>57</v>
      </c>
      <c r="B60" s="55" t="s">
        <v>58</v>
      </c>
      <c r="C60" s="46">
        <v>849321.11500000011</v>
      </c>
      <c r="D60" s="46">
        <v>921972.39600000007</v>
      </c>
      <c r="E60" s="46">
        <v>1011475.0629999996</v>
      </c>
      <c r="F60" s="46">
        <v>1154362.1339999998</v>
      </c>
      <c r="G60" s="46">
        <v>1276698.0699999998</v>
      </c>
      <c r="H60" s="46">
        <v>1406509.828</v>
      </c>
      <c r="I60" s="46">
        <v>1546184.0019999999</v>
      </c>
      <c r="J60" s="46">
        <v>1737958.3699999996</v>
      </c>
      <c r="K60" s="46">
        <v>1969034.3359999994</v>
      </c>
      <c r="L60" s="46">
        <v>2202387.7510000002</v>
      </c>
      <c r="M60" s="47">
        <v>2492302</v>
      </c>
      <c r="N60" s="47">
        <v>2828939</v>
      </c>
      <c r="O60" s="47">
        <v>3161213</v>
      </c>
      <c r="P60" s="47">
        <v>3550416</v>
      </c>
      <c r="Q60" s="47">
        <v>3898396</v>
      </c>
      <c r="R60" s="47">
        <v>4148220</v>
      </c>
      <c r="S60" s="47">
        <v>4404397</v>
      </c>
      <c r="T60" s="47">
        <v>4704231</v>
      </c>
      <c r="U60" s="47">
        <v>4918180</v>
      </c>
    </row>
    <row r="61" spans="1:21" s="19" customFormat="1" ht="22.5" customHeight="1">
      <c r="A61" s="48" t="s">
        <v>60</v>
      </c>
      <c r="B61" s="49" t="s">
        <v>61</v>
      </c>
      <c r="C61" s="50">
        <v>107798.55100000004</v>
      </c>
      <c r="D61" s="50">
        <v>115532.83600000001</v>
      </c>
      <c r="E61" s="50">
        <v>138143.16700000004</v>
      </c>
      <c r="F61" s="50">
        <v>150925.92900000003</v>
      </c>
      <c r="G61" s="50">
        <v>165425.41899999994</v>
      </c>
      <c r="H61" s="50">
        <v>184332.37600000002</v>
      </c>
      <c r="I61" s="50">
        <v>216238.92199999999</v>
      </c>
      <c r="J61" s="50">
        <v>238125.83900000001</v>
      </c>
      <c r="K61" s="50">
        <v>275309.31099999999</v>
      </c>
      <c r="L61" s="50">
        <v>311598.03100000002</v>
      </c>
      <c r="M61" s="51">
        <v>353863</v>
      </c>
      <c r="N61" s="51">
        <v>401770</v>
      </c>
      <c r="O61" s="51">
        <v>436501</v>
      </c>
      <c r="P61" s="51">
        <v>507505</v>
      </c>
      <c r="Q61" s="51">
        <v>569313</v>
      </c>
      <c r="R61" s="51">
        <v>612035</v>
      </c>
      <c r="S61" s="51">
        <v>650568</v>
      </c>
      <c r="T61" s="51">
        <v>667553</v>
      </c>
      <c r="U61" s="51">
        <v>703281</v>
      </c>
    </row>
    <row r="62" spans="1:21" s="23" customFormat="1" ht="18" customHeight="1">
      <c r="A62" s="20" t="s">
        <v>12</v>
      </c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1"/>
      <c r="N62" s="21"/>
      <c r="O62" s="21"/>
      <c r="P62" s="21"/>
      <c r="Q62" s="21"/>
      <c r="R62" s="21"/>
      <c r="S62" s="21"/>
      <c r="T62" s="21"/>
      <c r="U62" s="21"/>
    </row>
    <row r="63" spans="1:21" s="23" customFormat="1" ht="18" customHeight="1">
      <c r="A63" s="65" t="s">
        <v>62</v>
      </c>
      <c r="B63" s="55" t="s">
        <v>63</v>
      </c>
      <c r="C63" s="46">
        <v>957119.6660000002</v>
      </c>
      <c r="D63" s="46">
        <v>1037505.2320000001</v>
      </c>
      <c r="E63" s="46">
        <v>1149618.2299999997</v>
      </c>
      <c r="F63" s="46">
        <v>1305288.0629999998</v>
      </c>
      <c r="G63" s="46">
        <v>1442123.4889999998</v>
      </c>
      <c r="H63" s="46">
        <v>1590842.2039999999</v>
      </c>
      <c r="I63" s="46">
        <v>1762422.9239999999</v>
      </c>
      <c r="J63" s="46">
        <v>1976084.2089999996</v>
      </c>
      <c r="K63" s="46">
        <v>2244343.6469999994</v>
      </c>
      <c r="L63" s="46">
        <v>2513985.7820000001</v>
      </c>
      <c r="M63" s="47">
        <v>2846165</v>
      </c>
      <c r="N63" s="47">
        <v>3230709</v>
      </c>
      <c r="O63" s="47">
        <v>3597714</v>
      </c>
      <c r="P63" s="47">
        <v>4057921</v>
      </c>
      <c r="Q63" s="47">
        <v>4467709</v>
      </c>
      <c r="R63" s="47">
        <v>4760255</v>
      </c>
      <c r="S63" s="47">
        <v>5054965</v>
      </c>
      <c r="T63" s="47">
        <v>5371784</v>
      </c>
      <c r="U63" s="47">
        <v>5621461</v>
      </c>
    </row>
    <row r="64" spans="1:21" s="19" customFormat="1" ht="3.75" customHeight="1">
      <c r="A64" s="66"/>
      <c r="B64" s="57"/>
      <c r="C64" s="58"/>
      <c r="D64" s="58"/>
      <c r="E64" s="39"/>
      <c r="F64" s="39"/>
      <c r="G64" s="39"/>
      <c r="H64" s="39"/>
      <c r="I64" s="39"/>
      <c r="J64" s="39"/>
      <c r="K64" s="39"/>
      <c r="L64" s="39"/>
      <c r="M64" s="59"/>
      <c r="N64" s="59"/>
      <c r="O64" s="59"/>
      <c r="P64" s="59"/>
      <c r="Q64" s="59"/>
      <c r="R64" s="59"/>
      <c r="S64" s="59"/>
      <c r="T64" s="59"/>
      <c r="U64" s="59"/>
    </row>
    <row r="65" spans="1:21" s="23" customFormat="1" ht="10.25" customHeight="1">
      <c r="A65" s="16" t="s">
        <v>64</v>
      </c>
      <c r="B65" s="16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16"/>
      <c r="N65" s="16"/>
      <c r="O65" s="16"/>
      <c r="P65" s="16"/>
      <c r="Q65" s="16"/>
      <c r="R65" s="16"/>
      <c r="S65" s="16"/>
      <c r="T65" s="16"/>
      <c r="U65" s="16"/>
    </row>
    <row r="66" spans="1:21" s="23" customFormat="1" ht="10.25" customHeight="1">
      <c r="A66" s="67" t="s">
        <v>65</v>
      </c>
      <c r="B66" s="67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7"/>
      <c r="N66" s="67"/>
      <c r="O66" s="67"/>
      <c r="P66" s="67"/>
      <c r="Q66" s="67"/>
      <c r="R66" s="67"/>
      <c r="S66" s="67"/>
      <c r="T66" s="67"/>
      <c r="U66" s="67"/>
    </row>
    <row r="67" spans="1:21" s="23" customFormat="1" ht="18" customHeight="1">
      <c r="A67" s="20" t="s">
        <v>5</v>
      </c>
      <c r="B67" s="21"/>
      <c r="C67" s="22"/>
      <c r="D67" s="22"/>
      <c r="E67" s="39"/>
      <c r="F67" s="39"/>
      <c r="G67" s="39"/>
      <c r="H67" s="39"/>
      <c r="I67" s="39"/>
      <c r="J67" s="39"/>
      <c r="K67" s="39"/>
      <c r="L67" s="39"/>
      <c r="M67" s="21"/>
      <c r="N67" s="21"/>
      <c r="O67" s="21"/>
      <c r="P67" s="21"/>
      <c r="Q67" s="21"/>
      <c r="R67" s="21"/>
      <c r="S67" s="21"/>
      <c r="T67" s="21"/>
      <c r="U67" s="21"/>
    </row>
    <row r="68" spans="1:21" s="23" customFormat="1" ht="18" customHeight="1">
      <c r="A68" s="69" t="s">
        <v>57</v>
      </c>
      <c r="B68" s="69" t="s">
        <v>58</v>
      </c>
      <c r="C68" s="70">
        <v>849321.11500000011</v>
      </c>
      <c r="D68" s="70">
        <v>921972.39600000007</v>
      </c>
      <c r="E68" s="70">
        <v>1011475.0629999996</v>
      </c>
      <c r="F68" s="70">
        <v>1154362.1339999998</v>
      </c>
      <c r="G68" s="70">
        <v>1276698.0699999998</v>
      </c>
      <c r="H68" s="70">
        <v>1406509.828</v>
      </c>
      <c r="I68" s="70">
        <v>1546184.0019999999</v>
      </c>
      <c r="J68" s="70">
        <v>1737958.3699999996</v>
      </c>
      <c r="K68" s="70">
        <v>1969034.3359999994</v>
      </c>
      <c r="L68" s="70">
        <v>2202387.7510000002</v>
      </c>
      <c r="M68" s="71">
        <v>2492302</v>
      </c>
      <c r="N68" s="71">
        <v>2828939</v>
      </c>
      <c r="O68" s="71">
        <v>3161213</v>
      </c>
      <c r="P68" s="71">
        <v>3550416</v>
      </c>
      <c r="Q68" s="71">
        <v>3898396</v>
      </c>
      <c r="R68" s="71">
        <v>4148220</v>
      </c>
      <c r="S68" s="71">
        <v>4404397</v>
      </c>
      <c r="T68" s="71">
        <v>4704231</v>
      </c>
      <c r="U68" s="71">
        <v>4918180</v>
      </c>
    </row>
    <row r="69" spans="1:21" s="19" customFormat="1" ht="19.5" customHeight="1">
      <c r="A69" s="72" t="s">
        <v>66</v>
      </c>
      <c r="B69" s="73" t="s">
        <v>67</v>
      </c>
      <c r="C69" s="26">
        <v>12561</v>
      </c>
      <c r="D69" s="26">
        <v>17532</v>
      </c>
      <c r="E69" s="26">
        <v>20392</v>
      </c>
      <c r="F69" s="26">
        <v>29065</v>
      </c>
      <c r="G69" s="26">
        <v>31691</v>
      </c>
      <c r="H69" s="26">
        <v>34489</v>
      </c>
      <c r="I69" s="26">
        <v>40716</v>
      </c>
      <c r="J69" s="26">
        <v>37250</v>
      </c>
      <c r="K69" s="26">
        <v>49434</v>
      </c>
      <c r="L69" s="26">
        <v>40594</v>
      </c>
      <c r="M69" s="27">
        <v>54217</v>
      </c>
      <c r="N69" s="27">
        <v>41271</v>
      </c>
      <c r="O69" s="27">
        <v>66362</v>
      </c>
      <c r="P69" s="27">
        <v>48941</v>
      </c>
      <c r="Q69" s="27">
        <v>51246</v>
      </c>
      <c r="R69" s="27">
        <v>93160</v>
      </c>
      <c r="S69" s="27">
        <v>65899</v>
      </c>
      <c r="T69" s="27">
        <v>14980</v>
      </c>
      <c r="U69" s="27">
        <v>37222</v>
      </c>
    </row>
    <row r="70" spans="1:21" s="23" customFormat="1" ht="18" customHeight="1">
      <c r="A70" s="20" t="s">
        <v>12</v>
      </c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1"/>
      <c r="N70" s="21"/>
      <c r="O70" s="21"/>
      <c r="P70" s="21"/>
      <c r="Q70" s="21"/>
      <c r="R70" s="21"/>
      <c r="S70" s="21"/>
      <c r="T70" s="21"/>
      <c r="U70" s="21"/>
    </row>
    <row r="71" spans="1:21" s="19" customFormat="1" ht="22.5" customHeight="1">
      <c r="A71" s="74" t="s">
        <v>68</v>
      </c>
      <c r="B71" s="75" t="s">
        <v>69</v>
      </c>
      <c r="C71" s="76">
        <v>754332.70900000003</v>
      </c>
      <c r="D71" s="76">
        <v>822655.85600000015</v>
      </c>
      <c r="E71" s="76">
        <v>895614.43400000012</v>
      </c>
      <c r="F71" s="76">
        <v>1035030.1689999999</v>
      </c>
      <c r="G71" s="76">
        <v>1147361.7729999996</v>
      </c>
      <c r="H71" s="76">
        <v>1277026.9819999998</v>
      </c>
      <c r="I71" s="76">
        <v>1411686.2829999998</v>
      </c>
      <c r="J71" s="76">
        <v>1585632.3039999998</v>
      </c>
      <c r="K71" s="76">
        <v>1809793.9709999997</v>
      </c>
      <c r="L71" s="76">
        <v>2011763.0590000004</v>
      </c>
      <c r="M71" s="77">
        <v>2278735</v>
      </c>
      <c r="N71" s="77">
        <v>2573419</v>
      </c>
      <c r="O71" s="77">
        <v>2883929</v>
      </c>
      <c r="P71" s="77">
        <v>3213817</v>
      </c>
      <c r="Q71" s="77">
        <v>3555352</v>
      </c>
      <c r="R71" s="77">
        <v>3747870</v>
      </c>
      <c r="S71" s="77">
        <v>3939208</v>
      </c>
      <c r="T71" s="77">
        <v>4156152</v>
      </c>
      <c r="U71" s="77">
        <v>4423548</v>
      </c>
    </row>
    <row r="72" spans="1:21" s="23" customFormat="1" ht="18" customHeight="1">
      <c r="A72" s="78" t="s">
        <v>70</v>
      </c>
      <c r="B72" s="79" t="s">
        <v>71</v>
      </c>
      <c r="C72" s="80">
        <v>107549.40600000008</v>
      </c>
      <c r="D72" s="80">
        <v>116848.53999999992</v>
      </c>
      <c r="E72" s="80">
        <v>136252.62899999949</v>
      </c>
      <c r="F72" s="80">
        <v>148396.96499999997</v>
      </c>
      <c r="G72" s="80">
        <v>161027.29700000025</v>
      </c>
      <c r="H72" s="80">
        <v>163971.84600000014</v>
      </c>
      <c r="I72" s="80">
        <v>175213.71900000004</v>
      </c>
      <c r="J72" s="80">
        <v>189576.06599999988</v>
      </c>
      <c r="K72" s="80">
        <v>208674.36499999976</v>
      </c>
      <c r="L72" s="80">
        <v>231218.69199999981</v>
      </c>
      <c r="M72" s="81">
        <v>267784</v>
      </c>
      <c r="N72" s="81">
        <v>296791</v>
      </c>
      <c r="O72" s="81">
        <v>343646</v>
      </c>
      <c r="P72" s="81">
        <v>385540</v>
      </c>
      <c r="Q72" s="81">
        <v>394290</v>
      </c>
      <c r="R72" s="81">
        <v>493510</v>
      </c>
      <c r="S72" s="81">
        <v>531088</v>
      </c>
      <c r="T72" s="81">
        <v>563059</v>
      </c>
      <c r="U72" s="81">
        <v>531854</v>
      </c>
    </row>
    <row r="73" spans="1:21" s="19" customFormat="1" ht="3.75" customHeight="1">
      <c r="A73" s="82"/>
      <c r="B73" s="82"/>
      <c r="C73" s="83"/>
      <c r="D73" s="83"/>
      <c r="E73" s="39"/>
      <c r="F73" s="39"/>
      <c r="G73" s="39"/>
      <c r="H73" s="39"/>
      <c r="I73" s="39"/>
      <c r="J73" s="39"/>
      <c r="K73" s="39"/>
      <c r="L73" s="39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>
      <c r="A74" s="16" t="s">
        <v>72</v>
      </c>
      <c r="B74" s="16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16"/>
      <c r="N74" s="16"/>
      <c r="O74" s="16"/>
      <c r="P74" s="16"/>
      <c r="Q74" s="16"/>
      <c r="R74" s="16"/>
      <c r="S74" s="16"/>
      <c r="T74" s="16"/>
      <c r="U74" s="16"/>
    </row>
    <row r="75" spans="1:21" s="23" customFormat="1" ht="18" customHeight="1">
      <c r="A75" s="85" t="s">
        <v>73</v>
      </c>
      <c r="B75" s="21"/>
      <c r="C75" s="22"/>
      <c r="D75" s="22"/>
      <c r="E75" s="39"/>
      <c r="F75" s="39"/>
      <c r="G75" s="39"/>
      <c r="H75" s="39"/>
      <c r="I75" s="39"/>
      <c r="J75" s="39"/>
      <c r="K75" s="39"/>
      <c r="L75" s="39"/>
      <c r="M75" s="21"/>
      <c r="N75" s="21"/>
      <c r="O75" s="21"/>
      <c r="P75" s="21"/>
      <c r="Q75" s="21"/>
      <c r="R75" s="21"/>
      <c r="S75" s="21"/>
      <c r="T75" s="21"/>
      <c r="U75" s="21"/>
    </row>
    <row r="76" spans="1:21" s="23" customFormat="1" ht="18" customHeight="1">
      <c r="A76" s="69" t="s">
        <v>62</v>
      </c>
      <c r="B76" s="69" t="s">
        <v>74</v>
      </c>
      <c r="C76" s="34">
        <v>957119.6660000002</v>
      </c>
      <c r="D76" s="34">
        <v>1037505.2320000001</v>
      </c>
      <c r="E76" s="34">
        <v>1149618.2299999997</v>
      </c>
      <c r="F76" s="34">
        <v>1305288.0629999998</v>
      </c>
      <c r="G76" s="34">
        <v>1442123.4889999998</v>
      </c>
      <c r="H76" s="34">
        <v>1590842.2039999999</v>
      </c>
      <c r="I76" s="34">
        <v>1762422.9239999999</v>
      </c>
      <c r="J76" s="34">
        <v>1976084.2089999996</v>
      </c>
      <c r="K76" s="34">
        <v>2244343.6469999994</v>
      </c>
      <c r="L76" s="34">
        <v>2513985.7820000001</v>
      </c>
      <c r="M76" s="71">
        <v>2846165</v>
      </c>
      <c r="N76" s="71">
        <v>3230709</v>
      </c>
      <c r="O76" s="71">
        <v>3597714</v>
      </c>
      <c r="P76" s="71">
        <v>4057921</v>
      </c>
      <c r="Q76" s="71">
        <v>4467709</v>
      </c>
      <c r="R76" s="71">
        <v>4760255</v>
      </c>
      <c r="S76" s="71">
        <v>5054965</v>
      </c>
      <c r="T76" s="71">
        <v>5371784</v>
      </c>
      <c r="U76" s="71">
        <v>5621461</v>
      </c>
    </row>
    <row r="77" spans="1:21" s="19" customFormat="1" ht="19.5" customHeight="1">
      <c r="A77" s="72" t="s">
        <v>66</v>
      </c>
      <c r="B77" s="73" t="s">
        <v>67</v>
      </c>
      <c r="C77" s="26">
        <v>12561</v>
      </c>
      <c r="D77" s="26">
        <v>17532</v>
      </c>
      <c r="E77" s="26">
        <v>20392</v>
      </c>
      <c r="F77" s="26">
        <v>29065</v>
      </c>
      <c r="G77" s="26">
        <v>31691</v>
      </c>
      <c r="H77" s="26">
        <v>34489</v>
      </c>
      <c r="I77" s="26">
        <v>40716</v>
      </c>
      <c r="J77" s="26">
        <v>37250</v>
      </c>
      <c r="K77" s="26">
        <v>49434</v>
      </c>
      <c r="L77" s="26">
        <v>40594</v>
      </c>
      <c r="M77" s="27">
        <v>54217</v>
      </c>
      <c r="N77" s="27">
        <v>41271</v>
      </c>
      <c r="O77" s="27">
        <v>66362</v>
      </c>
      <c r="P77" s="27">
        <v>48941</v>
      </c>
      <c r="Q77" s="27">
        <v>51246</v>
      </c>
      <c r="R77" s="27">
        <v>93160</v>
      </c>
      <c r="S77" s="27">
        <v>65899</v>
      </c>
      <c r="T77" s="27">
        <v>14980</v>
      </c>
      <c r="U77" s="27">
        <v>37222</v>
      </c>
    </row>
    <row r="78" spans="1:21" s="23" customFormat="1" ht="18" customHeight="1">
      <c r="A78" s="20" t="s">
        <v>12</v>
      </c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1"/>
      <c r="N78" s="21"/>
      <c r="O78" s="21"/>
      <c r="P78" s="21"/>
      <c r="Q78" s="21"/>
      <c r="R78" s="21"/>
      <c r="S78" s="21"/>
      <c r="T78" s="21"/>
      <c r="U78" s="21"/>
    </row>
    <row r="79" spans="1:21" s="19" customFormat="1" ht="22.5" customHeight="1">
      <c r="A79" s="74" t="s">
        <v>75</v>
      </c>
      <c r="B79" s="75" t="s">
        <v>76</v>
      </c>
      <c r="C79" s="76">
        <v>862131.26000000024</v>
      </c>
      <c r="D79" s="76">
        <v>938188.69200000016</v>
      </c>
      <c r="E79" s="76">
        <v>1033757.6009999999</v>
      </c>
      <c r="F79" s="76">
        <v>1185956.0979999998</v>
      </c>
      <c r="G79" s="76">
        <v>1312787.1919999996</v>
      </c>
      <c r="H79" s="76">
        <v>1461359.358</v>
      </c>
      <c r="I79" s="76">
        <v>1627925.2049999996</v>
      </c>
      <c r="J79" s="76">
        <v>1823758.1429999999</v>
      </c>
      <c r="K79" s="76">
        <v>2085103.2819999999</v>
      </c>
      <c r="L79" s="76">
        <v>2323361.09</v>
      </c>
      <c r="M79" s="77">
        <v>2632598</v>
      </c>
      <c r="N79" s="77">
        <v>2975189</v>
      </c>
      <c r="O79" s="77">
        <v>3320430</v>
      </c>
      <c r="P79" s="77">
        <v>3721322</v>
      </c>
      <c r="Q79" s="77">
        <v>4124665</v>
      </c>
      <c r="R79" s="77">
        <v>4359905</v>
      </c>
      <c r="S79" s="77">
        <v>4589776</v>
      </c>
      <c r="T79" s="77">
        <v>4823705</v>
      </c>
      <c r="U79" s="77">
        <v>5126829</v>
      </c>
    </row>
    <row r="80" spans="1:21" s="23" customFormat="1" ht="18" customHeight="1">
      <c r="A80" s="78" t="s">
        <v>70</v>
      </c>
      <c r="B80" s="79" t="s">
        <v>71</v>
      </c>
      <c r="C80" s="80">
        <v>107549.40600000008</v>
      </c>
      <c r="D80" s="80">
        <v>116848.53999999992</v>
      </c>
      <c r="E80" s="80">
        <v>136252.62899999949</v>
      </c>
      <c r="F80" s="80">
        <v>148396.96499999997</v>
      </c>
      <c r="G80" s="80">
        <v>161027.29700000025</v>
      </c>
      <c r="H80" s="80">
        <v>163971.84600000014</v>
      </c>
      <c r="I80" s="80">
        <v>175213.71900000004</v>
      </c>
      <c r="J80" s="80">
        <v>189576.06599999988</v>
      </c>
      <c r="K80" s="80">
        <v>208674.36499999976</v>
      </c>
      <c r="L80" s="80">
        <v>231218.69199999981</v>
      </c>
      <c r="M80" s="81">
        <v>267784</v>
      </c>
      <c r="N80" s="81">
        <v>296791</v>
      </c>
      <c r="O80" s="81">
        <v>343646</v>
      </c>
      <c r="P80" s="81">
        <v>385540</v>
      </c>
      <c r="Q80" s="81">
        <v>394290</v>
      </c>
      <c r="R80" s="81">
        <v>493510</v>
      </c>
      <c r="S80" s="81">
        <v>531088</v>
      </c>
      <c r="T80" s="81">
        <v>563059</v>
      </c>
      <c r="U80" s="81">
        <v>531854</v>
      </c>
    </row>
    <row r="81" spans="1:21" s="19" customFormat="1" ht="3.75" customHeight="1">
      <c r="A81" s="82"/>
      <c r="B81" s="82"/>
      <c r="C81" s="86"/>
      <c r="D81" s="86"/>
      <c r="E81" s="39"/>
      <c r="F81" s="39"/>
      <c r="G81" s="39"/>
      <c r="H81" s="39"/>
      <c r="I81" s="39"/>
      <c r="J81" s="39"/>
      <c r="K81" s="39"/>
      <c r="L81" s="39"/>
      <c r="M81" s="84"/>
      <c r="N81" s="84"/>
      <c r="O81" s="84"/>
      <c r="P81" s="84"/>
      <c r="Q81" s="84"/>
      <c r="R81" s="84"/>
      <c r="S81" s="84"/>
      <c r="T81" s="84"/>
      <c r="U81" s="84"/>
    </row>
    <row r="82" spans="1:21" s="23" customFormat="1" ht="10.25" customHeight="1">
      <c r="A82" s="16" t="s">
        <v>77</v>
      </c>
      <c r="B82" s="16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16"/>
      <c r="N82" s="16"/>
      <c r="O82" s="16"/>
      <c r="P82" s="16"/>
      <c r="Q82" s="16"/>
      <c r="R82" s="16"/>
      <c r="S82" s="16"/>
      <c r="T82" s="16"/>
      <c r="U82" s="16"/>
    </row>
    <row r="83" spans="1:21" s="23" customFormat="1" ht="10.25" customHeight="1">
      <c r="A83" s="87" t="s">
        <v>78</v>
      </c>
      <c r="B83" s="87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7"/>
      <c r="N83" s="87"/>
      <c r="O83" s="87"/>
      <c r="P83" s="87"/>
      <c r="Q83" s="87"/>
      <c r="R83" s="87"/>
      <c r="S83" s="87"/>
      <c r="T83" s="87"/>
      <c r="U83" s="87"/>
    </row>
    <row r="84" spans="1:21" s="23" customFormat="1" ht="18" customHeight="1">
      <c r="A84" s="20" t="s">
        <v>79</v>
      </c>
      <c r="B84" s="21"/>
      <c r="C84" s="22"/>
      <c r="D84" s="22"/>
      <c r="E84" s="39"/>
      <c r="F84" s="39"/>
      <c r="G84" s="39"/>
      <c r="H84" s="39"/>
      <c r="I84" s="39"/>
      <c r="J84" s="39"/>
      <c r="K84" s="39"/>
      <c r="L84" s="39"/>
      <c r="M84" s="21"/>
      <c r="N84" s="21"/>
      <c r="O84" s="21"/>
      <c r="P84" s="21"/>
      <c r="Q84" s="21"/>
      <c r="R84" s="21"/>
      <c r="S84" s="21"/>
      <c r="T84" s="21"/>
      <c r="U84" s="21"/>
    </row>
    <row r="85" spans="1:21" s="23" customFormat="1" ht="18" customHeight="1">
      <c r="A85" s="89" t="s">
        <v>70</v>
      </c>
      <c r="B85" s="89" t="s">
        <v>71</v>
      </c>
      <c r="C85" s="90">
        <v>107549.40600000008</v>
      </c>
      <c r="D85" s="90">
        <v>116848.53999999992</v>
      </c>
      <c r="E85" s="90">
        <v>136252.62899999949</v>
      </c>
      <c r="F85" s="90">
        <v>148396.96499999997</v>
      </c>
      <c r="G85" s="90">
        <v>161027.29700000025</v>
      </c>
      <c r="H85" s="90">
        <v>163971.84600000014</v>
      </c>
      <c r="I85" s="90">
        <v>175213.71900000004</v>
      </c>
      <c r="J85" s="90">
        <v>189576.06599999988</v>
      </c>
      <c r="K85" s="90">
        <v>208674.36499999976</v>
      </c>
      <c r="L85" s="90">
        <v>231218.69199999981</v>
      </c>
      <c r="M85" s="91">
        <v>267784</v>
      </c>
      <c r="N85" s="91">
        <v>296791</v>
      </c>
      <c r="O85" s="91">
        <v>343646</v>
      </c>
      <c r="P85" s="91">
        <v>385540</v>
      </c>
      <c r="Q85" s="91">
        <v>394290</v>
      </c>
      <c r="R85" s="91">
        <v>493510</v>
      </c>
      <c r="S85" s="91">
        <v>531088</v>
      </c>
      <c r="T85" s="91">
        <v>563059</v>
      </c>
      <c r="U85" s="91">
        <v>531854</v>
      </c>
    </row>
    <row r="86" spans="1:21" s="19" customFormat="1" ht="22.5" customHeight="1">
      <c r="A86" s="48" t="s">
        <v>80</v>
      </c>
      <c r="B86" s="49" t="s">
        <v>81</v>
      </c>
      <c r="C86" s="50">
        <v>5.0170000000000003</v>
      </c>
      <c r="D86" s="50">
        <v>6.2160000000000002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5316.6509999999998</v>
      </c>
      <c r="M86" s="51">
        <v>986</v>
      </c>
      <c r="N86" s="51">
        <v>7387</v>
      </c>
      <c r="O86" s="51">
        <v>11528</v>
      </c>
      <c r="P86" s="51">
        <v>12437</v>
      </c>
      <c r="Q86" s="51">
        <v>17427</v>
      </c>
      <c r="R86" s="51">
        <v>8588</v>
      </c>
      <c r="S86" s="51">
        <v>7046</v>
      </c>
      <c r="T86" s="51">
        <v>2246</v>
      </c>
      <c r="U86" s="51">
        <v>6028</v>
      </c>
    </row>
    <row r="87" spans="1:21" s="19" customFormat="1" ht="22.5" customHeight="1">
      <c r="A87" s="48" t="s">
        <v>80</v>
      </c>
      <c r="B87" s="49" t="s">
        <v>82</v>
      </c>
      <c r="C87" s="50">
        <v>-1334.0309999999999</v>
      </c>
      <c r="D87" s="50">
        <v>-1493.7090000000001</v>
      </c>
      <c r="E87" s="50">
        <v>-1738.953</v>
      </c>
      <c r="F87" s="50">
        <v>-1868.37</v>
      </c>
      <c r="G87" s="50">
        <v>-1867.864</v>
      </c>
      <c r="H87" s="50">
        <v>-2032.221</v>
      </c>
      <c r="I87" s="50">
        <v>-2644.7979999999998</v>
      </c>
      <c r="J87" s="50">
        <v>-2478.0500000000002</v>
      </c>
      <c r="K87" s="50">
        <v>-4228.1930000000002</v>
      </c>
      <c r="L87" s="50">
        <v>-1007.6950000000001</v>
      </c>
      <c r="M87" s="51">
        <v>-2802</v>
      </c>
      <c r="N87" s="51">
        <v>-3079</v>
      </c>
      <c r="O87" s="51">
        <v>-3713</v>
      </c>
      <c r="P87" s="51">
        <v>-4406</v>
      </c>
      <c r="Q87" s="51">
        <v>-5010</v>
      </c>
      <c r="R87" s="51">
        <v>-7018</v>
      </c>
      <c r="S87" s="51">
        <v>-7759</v>
      </c>
      <c r="T87" s="51">
        <v>-7647</v>
      </c>
      <c r="U87" s="51">
        <v>-7852</v>
      </c>
    </row>
    <row r="88" spans="1:21" s="23" customFormat="1" ht="18" customHeight="1">
      <c r="A88" s="20" t="s">
        <v>83</v>
      </c>
      <c r="B88" s="21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21"/>
      <c r="N88" s="21"/>
      <c r="O88" s="21"/>
      <c r="P88" s="21"/>
      <c r="Q88" s="21"/>
      <c r="R88" s="21"/>
      <c r="S88" s="21"/>
      <c r="T88" s="21"/>
      <c r="U88" s="21"/>
    </row>
    <row r="89" spans="1:21" s="19" customFormat="1" ht="22.5" customHeight="1">
      <c r="A89" s="48" t="s">
        <v>84</v>
      </c>
      <c r="B89" s="49" t="s">
        <v>85</v>
      </c>
      <c r="C89" s="76">
        <v>81408.538000000015</v>
      </c>
      <c r="D89" s="76">
        <v>81411.256999999983</v>
      </c>
      <c r="E89" s="76">
        <v>94471.812000000064</v>
      </c>
      <c r="F89" s="76">
        <v>102163.88400000003</v>
      </c>
      <c r="G89" s="76">
        <v>113119.69699999999</v>
      </c>
      <c r="H89" s="76">
        <v>116177.94299999998</v>
      </c>
      <c r="I89" s="76">
        <v>125113.29100000004</v>
      </c>
      <c r="J89" s="76">
        <v>140586.73399999997</v>
      </c>
      <c r="K89" s="76">
        <v>156287.31599999999</v>
      </c>
      <c r="L89" s="76">
        <v>188950.413</v>
      </c>
      <c r="M89" s="51">
        <v>232612</v>
      </c>
      <c r="N89" s="51">
        <v>266481</v>
      </c>
      <c r="O89" s="51">
        <v>316948</v>
      </c>
      <c r="P89" s="51">
        <v>358359</v>
      </c>
      <c r="Q89" s="51">
        <v>371432</v>
      </c>
      <c r="R89" s="51">
        <v>372116</v>
      </c>
      <c r="S89" s="51">
        <v>361645</v>
      </c>
      <c r="T89" s="51">
        <v>355517</v>
      </c>
      <c r="U89" s="51">
        <v>367493</v>
      </c>
    </row>
    <row r="90" spans="1:21" s="19" customFormat="1" ht="22.5" customHeight="1">
      <c r="A90" s="48" t="s">
        <v>86</v>
      </c>
      <c r="B90" s="49" t="s">
        <v>87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</row>
    <row r="91" spans="1:21" s="23" customFormat="1" ht="18" customHeight="1">
      <c r="A91" s="65" t="s">
        <v>88</v>
      </c>
      <c r="B91" s="55" t="s">
        <v>89</v>
      </c>
      <c r="C91" s="46">
        <v>24811.854000000061</v>
      </c>
      <c r="D91" s="46">
        <v>33949.789999999935</v>
      </c>
      <c r="E91" s="46">
        <v>40041.863999999427</v>
      </c>
      <c r="F91" s="46">
        <v>44364.71099999993</v>
      </c>
      <c r="G91" s="46">
        <v>46039.736000000266</v>
      </c>
      <c r="H91" s="46">
        <v>45761.682000000153</v>
      </c>
      <c r="I91" s="46">
        <v>47455.63</v>
      </c>
      <c r="J91" s="46">
        <v>46511.281999999905</v>
      </c>
      <c r="K91" s="46">
        <v>48158.855999999767</v>
      </c>
      <c r="L91" s="46">
        <v>46577.234999999804</v>
      </c>
      <c r="M91" s="47">
        <v>33356</v>
      </c>
      <c r="N91" s="47">
        <v>34618</v>
      </c>
      <c r="O91" s="47">
        <v>34513</v>
      </c>
      <c r="P91" s="47">
        <v>35212</v>
      </c>
      <c r="Q91" s="47">
        <v>35275</v>
      </c>
      <c r="R91" s="47">
        <v>122964</v>
      </c>
      <c r="S91" s="47">
        <v>168730</v>
      </c>
      <c r="T91" s="47">
        <v>202141</v>
      </c>
      <c r="U91" s="47">
        <v>162537</v>
      </c>
    </row>
    <row r="92" spans="1:21" s="19" customFormat="1" ht="6" customHeight="1">
      <c r="A92" s="92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4"/>
      <c r="N92" s="94"/>
      <c r="O92" s="94"/>
      <c r="P92" s="94"/>
      <c r="Q92" s="94"/>
      <c r="R92" s="94"/>
      <c r="S92" s="94"/>
      <c r="T92" s="94"/>
      <c r="U92" s="94"/>
    </row>
    <row r="93" spans="1:21" s="19" customFormat="1" ht="14" customHeight="1">
      <c r="A93" s="8" t="s">
        <v>90</v>
      </c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</row>
    <row r="94" spans="1:21">
      <c r="A94" s="96" t="s">
        <v>91</v>
      </c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</row>
  </sheetData>
  <mergeCells count="1">
    <mergeCell ref="A4:B5"/>
  </mergeCells>
  <printOptions horizontalCentered="1"/>
  <pageMargins left="0.59055118110236227" right="0.59055118110236227" top="1.1811023622047245" bottom="1.1811023622047245" header="0.31496062992125984" footer="0.19685039370078741"/>
  <pageSetup paperSize="9" fitToHeight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29A8-1385-BB4E-8391-275FAD9E8095}">
  <dimension ref="A1:K127"/>
  <sheetViews>
    <sheetView showGridLines="0" showZeros="0" workbookViewId="0"/>
  </sheetViews>
  <sheetFormatPr baseColWidth="10" defaultColWidth="9.6640625" defaultRowHeight="10"/>
  <cols>
    <col min="1" max="1" width="10.6640625" style="102" customWidth="1"/>
    <col min="2" max="2" width="58.6640625" style="102" customWidth="1"/>
    <col min="3" max="11" width="16" style="102" customWidth="1"/>
    <col min="12" max="256" width="9.6640625" style="102"/>
    <col min="257" max="257" width="10.6640625" style="102" customWidth="1"/>
    <col min="258" max="258" width="58.6640625" style="102" customWidth="1"/>
    <col min="259" max="267" width="16" style="102" customWidth="1"/>
    <col min="268" max="512" width="9.6640625" style="102"/>
    <col min="513" max="513" width="10.6640625" style="102" customWidth="1"/>
    <col min="514" max="514" width="58.6640625" style="102" customWidth="1"/>
    <col min="515" max="523" width="16" style="102" customWidth="1"/>
    <col min="524" max="768" width="9.6640625" style="102"/>
    <col min="769" max="769" width="10.6640625" style="102" customWidth="1"/>
    <col min="770" max="770" width="58.6640625" style="102" customWidth="1"/>
    <col min="771" max="779" width="16" style="102" customWidth="1"/>
    <col min="780" max="1024" width="9.6640625" style="102"/>
    <col min="1025" max="1025" width="10.6640625" style="102" customWidth="1"/>
    <col min="1026" max="1026" width="58.6640625" style="102" customWidth="1"/>
    <col min="1027" max="1035" width="16" style="102" customWidth="1"/>
    <col min="1036" max="1280" width="9.6640625" style="102"/>
    <col min="1281" max="1281" width="10.6640625" style="102" customWidth="1"/>
    <col min="1282" max="1282" width="58.6640625" style="102" customWidth="1"/>
    <col min="1283" max="1291" width="16" style="102" customWidth="1"/>
    <col min="1292" max="1536" width="9.6640625" style="102"/>
    <col min="1537" max="1537" width="10.6640625" style="102" customWidth="1"/>
    <col min="1538" max="1538" width="58.6640625" style="102" customWidth="1"/>
    <col min="1539" max="1547" width="16" style="102" customWidth="1"/>
    <col min="1548" max="1792" width="9.6640625" style="102"/>
    <col min="1793" max="1793" width="10.6640625" style="102" customWidth="1"/>
    <col min="1794" max="1794" width="58.6640625" style="102" customWidth="1"/>
    <col min="1795" max="1803" width="16" style="102" customWidth="1"/>
    <col min="1804" max="2048" width="9.6640625" style="102"/>
    <col min="2049" max="2049" width="10.6640625" style="102" customWidth="1"/>
    <col min="2050" max="2050" width="58.6640625" style="102" customWidth="1"/>
    <col min="2051" max="2059" width="16" style="102" customWidth="1"/>
    <col min="2060" max="2304" width="9.6640625" style="102"/>
    <col min="2305" max="2305" width="10.6640625" style="102" customWidth="1"/>
    <col min="2306" max="2306" width="58.6640625" style="102" customWidth="1"/>
    <col min="2307" max="2315" width="16" style="102" customWidth="1"/>
    <col min="2316" max="2560" width="9.6640625" style="102"/>
    <col min="2561" max="2561" width="10.6640625" style="102" customWidth="1"/>
    <col min="2562" max="2562" width="58.6640625" style="102" customWidth="1"/>
    <col min="2563" max="2571" width="16" style="102" customWidth="1"/>
    <col min="2572" max="2816" width="9.6640625" style="102"/>
    <col min="2817" max="2817" width="10.6640625" style="102" customWidth="1"/>
    <col min="2818" max="2818" width="58.6640625" style="102" customWidth="1"/>
    <col min="2819" max="2827" width="16" style="102" customWidth="1"/>
    <col min="2828" max="3072" width="9.6640625" style="102"/>
    <col min="3073" max="3073" width="10.6640625" style="102" customWidth="1"/>
    <col min="3074" max="3074" width="58.6640625" style="102" customWidth="1"/>
    <col min="3075" max="3083" width="16" style="102" customWidth="1"/>
    <col min="3084" max="3328" width="9.6640625" style="102"/>
    <col min="3329" max="3329" width="10.6640625" style="102" customWidth="1"/>
    <col min="3330" max="3330" width="58.6640625" style="102" customWidth="1"/>
    <col min="3331" max="3339" width="16" style="102" customWidth="1"/>
    <col min="3340" max="3584" width="9.6640625" style="102"/>
    <col min="3585" max="3585" width="10.6640625" style="102" customWidth="1"/>
    <col min="3586" max="3586" width="58.6640625" style="102" customWidth="1"/>
    <col min="3587" max="3595" width="16" style="102" customWidth="1"/>
    <col min="3596" max="3840" width="9.6640625" style="102"/>
    <col min="3841" max="3841" width="10.6640625" style="102" customWidth="1"/>
    <col min="3842" max="3842" width="58.6640625" style="102" customWidth="1"/>
    <col min="3843" max="3851" width="16" style="102" customWidth="1"/>
    <col min="3852" max="4096" width="9.6640625" style="102"/>
    <col min="4097" max="4097" width="10.6640625" style="102" customWidth="1"/>
    <col min="4098" max="4098" width="58.6640625" style="102" customWidth="1"/>
    <col min="4099" max="4107" width="16" style="102" customWidth="1"/>
    <col min="4108" max="4352" width="9.6640625" style="102"/>
    <col min="4353" max="4353" width="10.6640625" style="102" customWidth="1"/>
    <col min="4354" max="4354" width="58.6640625" style="102" customWidth="1"/>
    <col min="4355" max="4363" width="16" style="102" customWidth="1"/>
    <col min="4364" max="4608" width="9.6640625" style="102"/>
    <col min="4609" max="4609" width="10.6640625" style="102" customWidth="1"/>
    <col min="4610" max="4610" width="58.6640625" style="102" customWidth="1"/>
    <col min="4611" max="4619" width="16" style="102" customWidth="1"/>
    <col min="4620" max="4864" width="9.6640625" style="102"/>
    <col min="4865" max="4865" width="10.6640625" style="102" customWidth="1"/>
    <col min="4866" max="4866" width="58.6640625" style="102" customWidth="1"/>
    <col min="4867" max="4875" width="16" style="102" customWidth="1"/>
    <col min="4876" max="5120" width="9.6640625" style="102"/>
    <col min="5121" max="5121" width="10.6640625" style="102" customWidth="1"/>
    <col min="5122" max="5122" width="58.6640625" style="102" customWidth="1"/>
    <col min="5123" max="5131" width="16" style="102" customWidth="1"/>
    <col min="5132" max="5376" width="9.6640625" style="102"/>
    <col min="5377" max="5377" width="10.6640625" style="102" customWidth="1"/>
    <col min="5378" max="5378" width="58.6640625" style="102" customWidth="1"/>
    <col min="5379" max="5387" width="16" style="102" customWidth="1"/>
    <col min="5388" max="5632" width="9.6640625" style="102"/>
    <col min="5633" max="5633" width="10.6640625" style="102" customWidth="1"/>
    <col min="5634" max="5634" width="58.6640625" style="102" customWidth="1"/>
    <col min="5635" max="5643" width="16" style="102" customWidth="1"/>
    <col min="5644" max="5888" width="9.6640625" style="102"/>
    <col min="5889" max="5889" width="10.6640625" style="102" customWidth="1"/>
    <col min="5890" max="5890" width="58.6640625" style="102" customWidth="1"/>
    <col min="5891" max="5899" width="16" style="102" customWidth="1"/>
    <col min="5900" max="6144" width="9.6640625" style="102"/>
    <col min="6145" max="6145" width="10.6640625" style="102" customWidth="1"/>
    <col min="6146" max="6146" width="58.6640625" style="102" customWidth="1"/>
    <col min="6147" max="6155" width="16" style="102" customWidth="1"/>
    <col min="6156" max="6400" width="9.6640625" style="102"/>
    <col min="6401" max="6401" width="10.6640625" style="102" customWidth="1"/>
    <col min="6402" max="6402" width="58.6640625" style="102" customWidth="1"/>
    <col min="6403" max="6411" width="16" style="102" customWidth="1"/>
    <col min="6412" max="6656" width="9.6640625" style="102"/>
    <col min="6657" max="6657" width="10.6640625" style="102" customWidth="1"/>
    <col min="6658" max="6658" width="58.6640625" style="102" customWidth="1"/>
    <col min="6659" max="6667" width="16" style="102" customWidth="1"/>
    <col min="6668" max="6912" width="9.6640625" style="102"/>
    <col min="6913" max="6913" width="10.6640625" style="102" customWidth="1"/>
    <col min="6914" max="6914" width="58.6640625" style="102" customWidth="1"/>
    <col min="6915" max="6923" width="16" style="102" customWidth="1"/>
    <col min="6924" max="7168" width="9.6640625" style="102"/>
    <col min="7169" max="7169" width="10.6640625" style="102" customWidth="1"/>
    <col min="7170" max="7170" width="58.6640625" style="102" customWidth="1"/>
    <col min="7171" max="7179" width="16" style="102" customWidth="1"/>
    <col min="7180" max="7424" width="9.6640625" style="102"/>
    <col min="7425" max="7425" width="10.6640625" style="102" customWidth="1"/>
    <col min="7426" max="7426" width="58.6640625" style="102" customWidth="1"/>
    <col min="7427" max="7435" width="16" style="102" customWidth="1"/>
    <col min="7436" max="7680" width="9.6640625" style="102"/>
    <col min="7681" max="7681" width="10.6640625" style="102" customWidth="1"/>
    <col min="7682" max="7682" width="58.6640625" style="102" customWidth="1"/>
    <col min="7683" max="7691" width="16" style="102" customWidth="1"/>
    <col min="7692" max="7936" width="9.6640625" style="102"/>
    <col min="7937" max="7937" width="10.6640625" style="102" customWidth="1"/>
    <col min="7938" max="7938" width="58.6640625" style="102" customWidth="1"/>
    <col min="7939" max="7947" width="16" style="102" customWidth="1"/>
    <col min="7948" max="8192" width="9.6640625" style="102"/>
    <col min="8193" max="8193" width="10.6640625" style="102" customWidth="1"/>
    <col min="8194" max="8194" width="58.6640625" style="102" customWidth="1"/>
    <col min="8195" max="8203" width="16" style="102" customWidth="1"/>
    <col min="8204" max="8448" width="9.6640625" style="102"/>
    <col min="8449" max="8449" width="10.6640625" style="102" customWidth="1"/>
    <col min="8450" max="8450" width="58.6640625" style="102" customWidth="1"/>
    <col min="8451" max="8459" width="16" style="102" customWidth="1"/>
    <col min="8460" max="8704" width="9.6640625" style="102"/>
    <col min="8705" max="8705" width="10.6640625" style="102" customWidth="1"/>
    <col min="8706" max="8706" width="58.6640625" style="102" customWidth="1"/>
    <col min="8707" max="8715" width="16" style="102" customWidth="1"/>
    <col min="8716" max="8960" width="9.6640625" style="102"/>
    <col min="8961" max="8961" width="10.6640625" style="102" customWidth="1"/>
    <col min="8962" max="8962" width="58.6640625" style="102" customWidth="1"/>
    <col min="8963" max="8971" width="16" style="102" customWidth="1"/>
    <col min="8972" max="9216" width="9.6640625" style="102"/>
    <col min="9217" max="9217" width="10.6640625" style="102" customWidth="1"/>
    <col min="9218" max="9218" width="58.6640625" style="102" customWidth="1"/>
    <col min="9219" max="9227" width="16" style="102" customWidth="1"/>
    <col min="9228" max="9472" width="9.6640625" style="102"/>
    <col min="9473" max="9473" width="10.6640625" style="102" customWidth="1"/>
    <col min="9474" max="9474" width="58.6640625" style="102" customWidth="1"/>
    <col min="9475" max="9483" width="16" style="102" customWidth="1"/>
    <col min="9484" max="9728" width="9.6640625" style="102"/>
    <col min="9729" max="9729" width="10.6640625" style="102" customWidth="1"/>
    <col min="9730" max="9730" width="58.6640625" style="102" customWidth="1"/>
    <col min="9731" max="9739" width="16" style="102" customWidth="1"/>
    <col min="9740" max="9984" width="9.6640625" style="102"/>
    <col min="9985" max="9985" width="10.6640625" style="102" customWidth="1"/>
    <col min="9986" max="9986" width="58.6640625" style="102" customWidth="1"/>
    <col min="9987" max="9995" width="16" style="102" customWidth="1"/>
    <col min="9996" max="10240" width="9.6640625" style="102"/>
    <col min="10241" max="10241" width="10.6640625" style="102" customWidth="1"/>
    <col min="10242" max="10242" width="58.6640625" style="102" customWidth="1"/>
    <col min="10243" max="10251" width="16" style="102" customWidth="1"/>
    <col min="10252" max="10496" width="9.6640625" style="102"/>
    <col min="10497" max="10497" width="10.6640625" style="102" customWidth="1"/>
    <col min="10498" max="10498" width="58.6640625" style="102" customWidth="1"/>
    <col min="10499" max="10507" width="16" style="102" customWidth="1"/>
    <col min="10508" max="10752" width="9.6640625" style="102"/>
    <col min="10753" max="10753" width="10.6640625" style="102" customWidth="1"/>
    <col min="10754" max="10754" width="58.6640625" style="102" customWidth="1"/>
    <col min="10755" max="10763" width="16" style="102" customWidth="1"/>
    <col min="10764" max="11008" width="9.6640625" style="102"/>
    <col min="11009" max="11009" width="10.6640625" style="102" customWidth="1"/>
    <col min="11010" max="11010" width="58.6640625" style="102" customWidth="1"/>
    <col min="11011" max="11019" width="16" style="102" customWidth="1"/>
    <col min="11020" max="11264" width="9.6640625" style="102"/>
    <col min="11265" max="11265" width="10.6640625" style="102" customWidth="1"/>
    <col min="11266" max="11266" width="58.6640625" style="102" customWidth="1"/>
    <col min="11267" max="11275" width="16" style="102" customWidth="1"/>
    <col min="11276" max="11520" width="9.6640625" style="102"/>
    <col min="11521" max="11521" width="10.6640625" style="102" customWidth="1"/>
    <col min="11522" max="11522" width="58.6640625" style="102" customWidth="1"/>
    <col min="11523" max="11531" width="16" style="102" customWidth="1"/>
    <col min="11532" max="11776" width="9.6640625" style="102"/>
    <col min="11777" max="11777" width="10.6640625" style="102" customWidth="1"/>
    <col min="11778" max="11778" width="58.6640625" style="102" customWidth="1"/>
    <col min="11779" max="11787" width="16" style="102" customWidth="1"/>
    <col min="11788" max="12032" width="9.6640625" style="102"/>
    <col min="12033" max="12033" width="10.6640625" style="102" customWidth="1"/>
    <col min="12034" max="12034" width="58.6640625" style="102" customWidth="1"/>
    <col min="12035" max="12043" width="16" style="102" customWidth="1"/>
    <col min="12044" max="12288" width="9.6640625" style="102"/>
    <col min="12289" max="12289" width="10.6640625" style="102" customWidth="1"/>
    <col min="12290" max="12290" width="58.6640625" style="102" customWidth="1"/>
    <col min="12291" max="12299" width="16" style="102" customWidth="1"/>
    <col min="12300" max="12544" width="9.6640625" style="102"/>
    <col min="12545" max="12545" width="10.6640625" style="102" customWidth="1"/>
    <col min="12546" max="12546" width="58.6640625" style="102" customWidth="1"/>
    <col min="12547" max="12555" width="16" style="102" customWidth="1"/>
    <col min="12556" max="12800" width="9.6640625" style="102"/>
    <col min="12801" max="12801" width="10.6640625" style="102" customWidth="1"/>
    <col min="12802" max="12802" width="58.6640625" style="102" customWidth="1"/>
    <col min="12803" max="12811" width="16" style="102" customWidth="1"/>
    <col min="12812" max="13056" width="9.6640625" style="102"/>
    <col min="13057" max="13057" width="10.6640625" style="102" customWidth="1"/>
    <col min="13058" max="13058" width="58.6640625" style="102" customWidth="1"/>
    <col min="13059" max="13067" width="16" style="102" customWidth="1"/>
    <col min="13068" max="13312" width="9.6640625" style="102"/>
    <col min="13313" max="13313" width="10.6640625" style="102" customWidth="1"/>
    <col min="13314" max="13314" width="58.6640625" style="102" customWidth="1"/>
    <col min="13315" max="13323" width="16" style="102" customWidth="1"/>
    <col min="13324" max="13568" width="9.6640625" style="102"/>
    <col min="13569" max="13569" width="10.6640625" style="102" customWidth="1"/>
    <col min="13570" max="13570" width="58.6640625" style="102" customWidth="1"/>
    <col min="13571" max="13579" width="16" style="102" customWidth="1"/>
    <col min="13580" max="13824" width="9.6640625" style="102"/>
    <col min="13825" max="13825" width="10.6640625" style="102" customWidth="1"/>
    <col min="13826" max="13826" width="58.6640625" style="102" customWidth="1"/>
    <col min="13827" max="13835" width="16" style="102" customWidth="1"/>
    <col min="13836" max="14080" width="9.6640625" style="102"/>
    <col min="14081" max="14081" width="10.6640625" style="102" customWidth="1"/>
    <col min="14082" max="14082" width="58.6640625" style="102" customWidth="1"/>
    <col min="14083" max="14091" width="16" style="102" customWidth="1"/>
    <col min="14092" max="14336" width="9.6640625" style="102"/>
    <col min="14337" max="14337" width="10.6640625" style="102" customWidth="1"/>
    <col min="14338" max="14338" width="58.6640625" style="102" customWidth="1"/>
    <col min="14339" max="14347" width="16" style="102" customWidth="1"/>
    <col min="14348" max="14592" width="9.6640625" style="102"/>
    <col min="14593" max="14593" width="10.6640625" style="102" customWidth="1"/>
    <col min="14594" max="14594" width="58.6640625" style="102" customWidth="1"/>
    <col min="14595" max="14603" width="16" style="102" customWidth="1"/>
    <col min="14604" max="14848" width="9.6640625" style="102"/>
    <col min="14849" max="14849" width="10.6640625" style="102" customWidth="1"/>
    <col min="14850" max="14850" width="58.6640625" style="102" customWidth="1"/>
    <col min="14851" max="14859" width="16" style="102" customWidth="1"/>
    <col min="14860" max="15104" width="9.6640625" style="102"/>
    <col min="15105" max="15105" width="10.6640625" style="102" customWidth="1"/>
    <col min="15106" max="15106" width="58.6640625" style="102" customWidth="1"/>
    <col min="15107" max="15115" width="16" style="102" customWidth="1"/>
    <col min="15116" max="15360" width="9.6640625" style="102"/>
    <col min="15361" max="15361" width="10.6640625" style="102" customWidth="1"/>
    <col min="15362" max="15362" width="58.6640625" style="102" customWidth="1"/>
    <col min="15363" max="15371" width="16" style="102" customWidth="1"/>
    <col min="15372" max="15616" width="9.6640625" style="102"/>
    <col min="15617" max="15617" width="10.6640625" style="102" customWidth="1"/>
    <col min="15618" max="15618" width="58.6640625" style="102" customWidth="1"/>
    <col min="15619" max="15627" width="16" style="102" customWidth="1"/>
    <col min="15628" max="15872" width="9.6640625" style="102"/>
    <col min="15873" max="15873" width="10.6640625" style="102" customWidth="1"/>
    <col min="15874" max="15874" width="58.6640625" style="102" customWidth="1"/>
    <col min="15875" max="15883" width="16" style="102" customWidth="1"/>
    <col min="15884" max="16128" width="9.6640625" style="102"/>
    <col min="16129" max="16129" width="10.6640625" style="102" customWidth="1"/>
    <col min="16130" max="16130" width="58.6640625" style="102" customWidth="1"/>
    <col min="16131" max="16139" width="16" style="102" customWidth="1"/>
    <col min="16140" max="16384" width="9.6640625" style="102"/>
  </cols>
  <sheetData>
    <row r="1" spans="1:11" s="101" customFormat="1" ht="12" customHeight="1">
      <c r="A1" s="99" t="s">
        <v>92</v>
      </c>
      <c r="B1" s="99"/>
      <c r="C1" s="99"/>
      <c r="D1" s="99"/>
      <c r="E1" s="100"/>
      <c r="F1" s="100"/>
      <c r="G1" s="100"/>
      <c r="H1" s="100"/>
      <c r="I1" s="100"/>
      <c r="J1" s="100"/>
      <c r="K1" s="100"/>
    </row>
    <row r="2" spans="1:11" s="101" customFormat="1" ht="12" customHeight="1">
      <c r="A2" s="99" t="s">
        <v>93</v>
      </c>
      <c r="B2" s="99"/>
      <c r="C2" s="99"/>
      <c r="D2" s="99"/>
      <c r="E2" s="100"/>
      <c r="F2" s="100"/>
      <c r="G2" s="100"/>
      <c r="H2" s="100"/>
      <c r="I2" s="100"/>
      <c r="J2" s="100"/>
      <c r="K2" s="100"/>
    </row>
    <row r="3" spans="1:11" ht="9" customHeight="1"/>
    <row r="4" spans="1:11" ht="15" customHeight="1">
      <c r="A4" s="155" t="s">
        <v>94</v>
      </c>
      <c r="B4" s="156"/>
      <c r="C4" s="103" t="s">
        <v>3</v>
      </c>
      <c r="D4" s="104"/>
      <c r="E4" s="103"/>
      <c r="F4" s="104"/>
      <c r="G4" s="104"/>
      <c r="H4" s="104"/>
      <c r="I4" s="104"/>
      <c r="J4" s="104"/>
      <c r="K4" s="104"/>
    </row>
    <row r="5" spans="1:11" ht="15" customHeight="1">
      <c r="A5" s="157"/>
      <c r="B5" s="158"/>
      <c r="C5" s="105">
        <v>2010</v>
      </c>
      <c r="D5" s="106">
        <v>2011</v>
      </c>
      <c r="E5" s="105">
        <v>2012</v>
      </c>
      <c r="F5" s="106">
        <v>2013</v>
      </c>
      <c r="G5" s="106">
        <v>2014</v>
      </c>
      <c r="H5" s="106">
        <v>2015</v>
      </c>
      <c r="I5" s="106">
        <v>2016</v>
      </c>
      <c r="J5" s="106">
        <v>2017</v>
      </c>
      <c r="K5" s="106">
        <v>2018</v>
      </c>
    </row>
    <row r="6" spans="1:11" s="109" customFormat="1" ht="15" customHeight="1">
      <c r="A6" s="107" t="s">
        <v>95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11" s="101" customFormat="1" ht="3.75" customHeight="1">
      <c r="A7" s="110"/>
      <c r="B7" s="111"/>
      <c r="C7" s="110"/>
      <c r="D7" s="110"/>
      <c r="E7" s="110"/>
      <c r="F7" s="110"/>
      <c r="G7" s="110"/>
      <c r="H7" s="110"/>
      <c r="I7" s="110"/>
      <c r="J7" s="110"/>
      <c r="K7" s="110"/>
    </row>
    <row r="8" spans="1:11" s="109" customFormat="1" ht="15" customHeight="1">
      <c r="A8" s="112" t="s">
        <v>96</v>
      </c>
      <c r="B8" s="113" t="s">
        <v>97</v>
      </c>
      <c r="C8" s="114">
        <v>259661.53096186696</v>
      </c>
      <c r="D8" s="114">
        <v>279630.91003789497</v>
      </c>
      <c r="E8" s="114">
        <v>342138.66827250348</v>
      </c>
      <c r="F8" s="114">
        <v>313429.94208044308</v>
      </c>
      <c r="G8" s="114">
        <v>425962.47234495997</v>
      </c>
      <c r="H8" s="114">
        <v>358356.86634937028</v>
      </c>
      <c r="I8" s="114">
        <v>339506.72794250271</v>
      </c>
      <c r="J8" s="114">
        <v>393794.63999999996</v>
      </c>
      <c r="K8" s="114">
        <v>425220.50999999989</v>
      </c>
    </row>
    <row r="9" spans="1:11" s="118" customFormat="1" ht="9.75" customHeight="1">
      <c r="A9" s="115" t="s">
        <v>98</v>
      </c>
      <c r="B9" s="116" t="s">
        <v>99</v>
      </c>
      <c r="C9" s="117">
        <v>0</v>
      </c>
      <c r="D9" s="117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</row>
    <row r="10" spans="1:11" s="118" customFormat="1" ht="9.75" customHeight="1">
      <c r="A10" s="116" t="s">
        <v>100</v>
      </c>
      <c r="B10" s="116" t="s">
        <v>101</v>
      </c>
      <c r="C10" s="117">
        <v>106997.23448697217</v>
      </c>
      <c r="D10" s="117">
        <v>73521.855199628393</v>
      </c>
      <c r="E10" s="117">
        <v>132520.26217288032</v>
      </c>
      <c r="F10" s="117">
        <v>165729.56110558216</v>
      </c>
      <c r="G10" s="117">
        <v>145434.7073297707</v>
      </c>
      <c r="H10" s="117">
        <v>48593.73139113115</v>
      </c>
      <c r="I10" s="117">
        <v>78385.736433204933</v>
      </c>
      <c r="J10" s="117">
        <v>20474.89</v>
      </c>
      <c r="K10" s="117">
        <v>102311.26999999999</v>
      </c>
    </row>
    <row r="11" spans="1:11" s="118" customFormat="1" ht="9.75" customHeight="1">
      <c r="A11" s="116" t="s">
        <v>102</v>
      </c>
      <c r="B11" s="116" t="s">
        <v>103</v>
      </c>
      <c r="C11" s="117">
        <v>3546.6178048645702</v>
      </c>
      <c r="D11" s="117">
        <v>-7488.6973931483999</v>
      </c>
      <c r="E11" s="117">
        <v>9907.8049444059197</v>
      </c>
      <c r="F11" s="117">
        <v>7289.1029744054604</v>
      </c>
      <c r="G11" s="117">
        <v>-3427.0843145659001</v>
      </c>
      <c r="H11" s="117">
        <v>6003.02530869575</v>
      </c>
      <c r="I11" s="117">
        <v>-738.77591797687001</v>
      </c>
      <c r="J11" s="117">
        <v>2431.9699999999998</v>
      </c>
      <c r="K11" s="117">
        <v>14157.65</v>
      </c>
    </row>
    <row r="12" spans="1:11" s="118" customFormat="1" ht="9.75" customHeight="1">
      <c r="A12" s="116" t="s">
        <v>104</v>
      </c>
      <c r="B12" s="116" t="s">
        <v>105</v>
      </c>
      <c r="C12" s="117">
        <v>15463.8139042946</v>
      </c>
      <c r="D12" s="117">
        <v>2725.1054894278</v>
      </c>
      <c r="E12" s="117">
        <v>16009.3662304144</v>
      </c>
      <c r="F12" s="117">
        <v>23754.045443262701</v>
      </c>
      <c r="G12" s="117">
        <v>41367.797972666602</v>
      </c>
      <c r="H12" s="117">
        <v>11912.232526739201</v>
      </c>
      <c r="I12" s="117">
        <v>-5282.3928709039001</v>
      </c>
      <c r="J12" s="117">
        <v>19253.46</v>
      </c>
      <c r="K12" s="117">
        <v>22600.84</v>
      </c>
    </row>
    <row r="13" spans="1:11" s="118" customFormat="1" ht="9.75" customHeight="1">
      <c r="A13" s="116" t="s">
        <v>106</v>
      </c>
      <c r="B13" s="116" t="s">
        <v>107</v>
      </c>
      <c r="C13" s="117">
        <v>87986.802777813005</v>
      </c>
      <c r="D13" s="117">
        <v>78285.447103348997</v>
      </c>
      <c r="E13" s="117">
        <v>106603.09099806</v>
      </c>
      <c r="F13" s="117">
        <v>134686.41268791401</v>
      </c>
      <c r="G13" s="117">
        <v>107493.99367167</v>
      </c>
      <c r="H13" s="117">
        <v>30678.4735556962</v>
      </c>
      <c r="I13" s="117">
        <v>84406.905222085697</v>
      </c>
      <c r="J13" s="117">
        <v>-1210.54</v>
      </c>
      <c r="K13" s="117">
        <v>65552.78</v>
      </c>
    </row>
    <row r="14" spans="1:11" s="118" customFormat="1" ht="9.75" customHeight="1">
      <c r="A14" s="119" t="s">
        <v>108</v>
      </c>
      <c r="B14" s="116" t="s">
        <v>109</v>
      </c>
      <c r="C14" s="117">
        <v>44573.783828042433</v>
      </c>
      <c r="D14" s="117">
        <v>70204.200516356606</v>
      </c>
      <c r="E14" s="117">
        <v>39095.437004837644</v>
      </c>
      <c r="F14" s="117">
        <v>65842.642083432656</v>
      </c>
      <c r="G14" s="117">
        <v>93884.181061279742</v>
      </c>
      <c r="H14" s="117">
        <v>129119.21106056115</v>
      </c>
      <c r="I14" s="117">
        <v>37594.260431634757</v>
      </c>
      <c r="J14" s="117">
        <v>30607.350000000002</v>
      </c>
      <c r="K14" s="117">
        <v>49916.12</v>
      </c>
    </row>
    <row r="15" spans="1:11" s="118" customFormat="1" ht="9.75" customHeight="1">
      <c r="A15" s="116" t="s">
        <v>110</v>
      </c>
      <c r="B15" s="116" t="s">
        <v>111</v>
      </c>
      <c r="C15" s="117">
        <v>11963.469973239993</v>
      </c>
      <c r="D15" s="117">
        <v>16848.466852340931</v>
      </c>
      <c r="E15" s="117">
        <v>15286.706810108824</v>
      </c>
      <c r="F15" s="117">
        <v>-22758.192127418984</v>
      </c>
      <c r="G15" s="117">
        <v>20221.331731205133</v>
      </c>
      <c r="H15" s="117">
        <v>-23209.622808759268</v>
      </c>
      <c r="I15" s="117">
        <v>-1909.8777688819555</v>
      </c>
      <c r="J15" s="117">
        <v>-27219.31</v>
      </c>
      <c r="K15" s="117">
        <v>-9279.0300000000007</v>
      </c>
    </row>
    <row r="16" spans="1:11" s="118" customFormat="1" ht="9.75" customHeight="1">
      <c r="A16" s="119" t="s">
        <v>112</v>
      </c>
      <c r="B16" s="119" t="s">
        <v>113</v>
      </c>
      <c r="C16" s="117">
        <v>32610.313854802444</v>
      </c>
      <c r="D16" s="117">
        <v>53355.733664015672</v>
      </c>
      <c r="E16" s="117">
        <v>23808.730194728822</v>
      </c>
      <c r="F16" s="117">
        <v>88600.834210851637</v>
      </c>
      <c r="G16" s="117">
        <v>73662.849330074605</v>
      </c>
      <c r="H16" s="117">
        <v>152328.83386932043</v>
      </c>
      <c r="I16" s="117">
        <v>39504.138200516711</v>
      </c>
      <c r="J16" s="117">
        <v>57826.66</v>
      </c>
      <c r="K16" s="117">
        <v>59195.15</v>
      </c>
    </row>
    <row r="17" spans="1:11" s="118" customFormat="1" ht="9.75" customHeight="1">
      <c r="A17" s="120" t="s">
        <v>114</v>
      </c>
      <c r="B17" s="120" t="s">
        <v>115</v>
      </c>
      <c r="C17" s="117">
        <v>3666.1327290210202</v>
      </c>
      <c r="D17" s="117">
        <v>6295.7641301615904</v>
      </c>
      <c r="E17" s="117">
        <v>11242.802422314671</v>
      </c>
      <c r="F17" s="117">
        <v>-23181.360577916897</v>
      </c>
      <c r="G17" s="117">
        <v>44451.300088508702</v>
      </c>
      <c r="H17" s="117">
        <v>6308.8100939977803</v>
      </c>
      <c r="I17" s="117">
        <v>26423.069983242931</v>
      </c>
      <c r="J17" s="117">
        <v>28485.59</v>
      </c>
      <c r="K17" s="117">
        <v>29684.05</v>
      </c>
    </row>
    <row r="18" spans="1:11" s="118" customFormat="1" ht="9.75" customHeight="1">
      <c r="A18" s="120" t="s">
        <v>116</v>
      </c>
      <c r="B18" s="120" t="s">
        <v>111</v>
      </c>
      <c r="C18" s="117">
        <v>1128.1809312124101</v>
      </c>
      <c r="D18" s="117">
        <v>1596.0359788891001</v>
      </c>
      <c r="E18" s="117">
        <v>2558.2746775927999</v>
      </c>
      <c r="F18" s="117">
        <v>-6075.8108305128999</v>
      </c>
      <c r="G18" s="117">
        <v>10983.9260749027</v>
      </c>
      <c r="H18" s="117">
        <v>1364.4234282985999</v>
      </c>
      <c r="I18" s="117">
        <v>6457.3787329325296</v>
      </c>
      <c r="J18" s="117">
        <v>1042.79</v>
      </c>
      <c r="K18" s="117">
        <v>7735.3</v>
      </c>
    </row>
    <row r="19" spans="1:11" s="118" customFormat="1" ht="9.75" customHeight="1">
      <c r="A19" s="120" t="s">
        <v>117</v>
      </c>
      <c r="B19" s="120" t="s">
        <v>113</v>
      </c>
      <c r="C19" s="117">
        <v>2537.9517978086101</v>
      </c>
      <c r="D19" s="117">
        <v>4699.7281512724903</v>
      </c>
      <c r="E19" s="117">
        <v>8684.5277447218705</v>
      </c>
      <c r="F19" s="117">
        <v>-17105.549747403998</v>
      </c>
      <c r="G19" s="117">
        <v>33467.374013606001</v>
      </c>
      <c r="H19" s="117">
        <v>4944.3866656991804</v>
      </c>
      <c r="I19" s="117">
        <v>19965.691250310399</v>
      </c>
      <c r="J19" s="117">
        <v>27442.799999999999</v>
      </c>
      <c r="K19" s="117">
        <v>21948.75</v>
      </c>
    </row>
    <row r="20" spans="1:11" s="118" customFormat="1" ht="9.75" customHeight="1">
      <c r="A20" s="120" t="s">
        <v>118</v>
      </c>
      <c r="B20" s="120" t="s">
        <v>119</v>
      </c>
      <c r="C20" s="117">
        <v>38598.660335098102</v>
      </c>
      <c r="D20" s="117">
        <v>69548.758860503964</v>
      </c>
      <c r="E20" s="117">
        <v>90819.983210255392</v>
      </c>
      <c r="F20" s="117">
        <v>58873.810526121059</v>
      </c>
      <c r="G20" s="117">
        <v>82795.013728612772</v>
      </c>
      <c r="H20" s="117">
        <v>45123.69942097798</v>
      </c>
      <c r="I20" s="117">
        <v>131510.11649705938</v>
      </c>
      <c r="J20" s="117">
        <v>232786.68</v>
      </c>
      <c r="K20" s="117">
        <v>124589.48999999999</v>
      </c>
    </row>
    <row r="21" spans="1:11" s="118" customFormat="1" ht="9.75" customHeight="1">
      <c r="A21" s="120" t="s">
        <v>120</v>
      </c>
      <c r="B21" s="120" t="s">
        <v>121</v>
      </c>
      <c r="C21" s="117">
        <v>19589.498851262313</v>
      </c>
      <c r="D21" s="117">
        <v>13809.9289225559</v>
      </c>
      <c r="E21" s="117">
        <v>3982.741981384399</v>
      </c>
      <c r="F21" s="117">
        <v>29289.43981412175</v>
      </c>
      <c r="G21" s="117">
        <v>24727.80874793751</v>
      </c>
      <c r="H21" s="117">
        <v>-40788.918310295325</v>
      </c>
      <c r="I21" s="117">
        <v>13911.638566349191</v>
      </c>
      <c r="J21" s="117">
        <v>44828.060000000005</v>
      </c>
      <c r="K21" s="117">
        <v>35990.839999999997</v>
      </c>
    </row>
    <row r="22" spans="1:11" s="118" customFormat="1" ht="9.75" customHeight="1">
      <c r="A22" s="120" t="s">
        <v>122</v>
      </c>
      <c r="B22" s="121" t="s">
        <v>123</v>
      </c>
      <c r="C22" s="117">
        <v>702.08815745101401</v>
      </c>
      <c r="D22" s="117">
        <v>-7749.0410655200003</v>
      </c>
      <c r="E22" s="117">
        <v>-6066.6944040091003</v>
      </c>
      <c r="F22" s="117">
        <v>2264.91294065275</v>
      </c>
      <c r="G22" s="117">
        <v>2769.1400725099102</v>
      </c>
      <c r="H22" s="117">
        <v>6443.5075132526799</v>
      </c>
      <c r="I22" s="117">
        <v>1483.1568485911901</v>
      </c>
      <c r="J22" s="117">
        <v>3918.05</v>
      </c>
      <c r="K22" s="117">
        <v>7519.67</v>
      </c>
    </row>
    <row r="23" spans="1:11" s="118" customFormat="1" ht="9.75" customHeight="1">
      <c r="A23" s="120" t="s">
        <v>124</v>
      </c>
      <c r="B23" s="121" t="s">
        <v>125</v>
      </c>
      <c r="C23" s="117">
        <v>18887.4106938113</v>
      </c>
      <c r="D23" s="117">
        <v>21558.9699880759</v>
      </c>
      <c r="E23" s="117">
        <v>10049.436385393499</v>
      </c>
      <c r="F23" s="117">
        <v>27024.526873469</v>
      </c>
      <c r="G23" s="117">
        <v>21958.668675427602</v>
      </c>
      <c r="H23" s="117">
        <v>-47232.425823548001</v>
      </c>
      <c r="I23" s="117">
        <v>12428.481717758001</v>
      </c>
      <c r="J23" s="117">
        <v>40910.01</v>
      </c>
      <c r="K23" s="117">
        <v>28471.17</v>
      </c>
    </row>
    <row r="24" spans="1:11" s="118" customFormat="1" ht="9.75" customHeight="1">
      <c r="A24" s="120" t="s">
        <v>126</v>
      </c>
      <c r="B24" s="121" t="s">
        <v>127</v>
      </c>
      <c r="C24" s="117">
        <v>19009.161483835789</v>
      </c>
      <c r="D24" s="117">
        <v>55738.82993794806</v>
      </c>
      <c r="E24" s="117">
        <v>86837.241228870989</v>
      </c>
      <c r="F24" s="117">
        <v>29584.370711999305</v>
      </c>
      <c r="G24" s="117">
        <v>58067.204980675262</v>
      </c>
      <c r="H24" s="117">
        <v>85912.617731273305</v>
      </c>
      <c r="I24" s="117">
        <v>117598.4779307102</v>
      </c>
      <c r="J24" s="117">
        <v>187958.62</v>
      </c>
      <c r="K24" s="117">
        <v>88598.65</v>
      </c>
    </row>
    <row r="25" spans="1:11" s="118" customFormat="1" ht="9.75" customHeight="1">
      <c r="A25" s="121" t="s">
        <v>128</v>
      </c>
      <c r="B25" s="121" t="s">
        <v>129</v>
      </c>
      <c r="C25" s="117">
        <v>58664.214780454873</v>
      </c>
      <c r="D25" s="117">
        <v>49168.080195602393</v>
      </c>
      <c r="E25" s="117">
        <v>62863.897128180812</v>
      </c>
      <c r="F25" s="117">
        <v>48294.321104565002</v>
      </c>
      <c r="G25" s="117">
        <v>61270.103523203506</v>
      </c>
      <c r="H25" s="117">
        <v>141384.92884796171</v>
      </c>
      <c r="I25" s="117">
        <v>101037.99845508041</v>
      </c>
      <c r="J25" s="117">
        <v>103331.38</v>
      </c>
      <c r="K25" s="117">
        <v>108608.42</v>
      </c>
    </row>
    <row r="26" spans="1:11" s="118" customFormat="1" ht="9.75" customHeight="1">
      <c r="A26" s="121" t="s">
        <v>130</v>
      </c>
      <c r="B26" s="121" t="s">
        <v>131</v>
      </c>
      <c r="C26" s="117">
        <v>12916.569154454868</v>
      </c>
      <c r="D26" s="117">
        <v>10325.2462817218</v>
      </c>
      <c r="E26" s="117">
        <v>11320.170823510811</v>
      </c>
      <c r="F26" s="117">
        <v>16596.005974535001</v>
      </c>
      <c r="G26" s="117">
        <v>12370.26865323351</v>
      </c>
      <c r="H26" s="117">
        <v>7999.47884796171</v>
      </c>
      <c r="I26" s="117">
        <v>3896.4142400102996</v>
      </c>
      <c r="J26" s="117">
        <v>9467.86</v>
      </c>
      <c r="K26" s="117">
        <v>9911.66</v>
      </c>
    </row>
    <row r="27" spans="1:11" s="118" customFormat="1" ht="9.75" customHeight="1">
      <c r="A27" s="121" t="s">
        <v>132</v>
      </c>
      <c r="B27" s="121" t="s">
        <v>133</v>
      </c>
      <c r="C27" s="117">
        <v>20730.645626000001</v>
      </c>
      <c r="D27" s="117">
        <v>22211.978252330598</v>
      </c>
      <c r="E27" s="117">
        <v>28618.720000000001</v>
      </c>
      <c r="F27" s="117">
        <v>17370.77</v>
      </c>
      <c r="G27" s="117">
        <v>31272.38</v>
      </c>
      <c r="H27" s="117">
        <v>74644.45</v>
      </c>
      <c r="I27" s="117">
        <v>65261.4200000001</v>
      </c>
      <c r="J27" s="117">
        <v>97242.3</v>
      </c>
      <c r="K27" s="117">
        <v>65895.95</v>
      </c>
    </row>
    <row r="28" spans="1:11" s="118" customFormat="1" ht="9.75" customHeight="1">
      <c r="A28" s="121" t="s">
        <v>134</v>
      </c>
      <c r="B28" s="121" t="s">
        <v>135</v>
      </c>
      <c r="C28" s="117">
        <v>25017</v>
      </c>
      <c r="D28" s="117">
        <v>16630.855661549998</v>
      </c>
      <c r="E28" s="117">
        <v>22925.006304670002</v>
      </c>
      <c r="F28" s="117">
        <v>14327.545130029999</v>
      </c>
      <c r="G28" s="117">
        <v>17627.454869969999</v>
      </c>
      <c r="H28" s="117">
        <v>58741</v>
      </c>
      <c r="I28" s="117">
        <v>31880.164215069999</v>
      </c>
      <c r="J28" s="117">
        <v>-3378.78</v>
      </c>
      <c r="K28" s="117">
        <v>32800.81</v>
      </c>
    </row>
    <row r="29" spans="1:11" s="118" customFormat="1" ht="9.75" customHeight="1">
      <c r="A29" s="121" t="s">
        <v>136</v>
      </c>
      <c r="B29" s="121" t="s">
        <v>137</v>
      </c>
      <c r="C29" s="117">
        <v>30.302328640000798</v>
      </c>
      <c r="D29" s="117">
        <v>-14.3638330459</v>
      </c>
      <c r="E29" s="117">
        <v>82.223274951328804</v>
      </c>
      <c r="F29" s="117">
        <v>7.45695364732134</v>
      </c>
      <c r="G29" s="117">
        <v>64.569051782246007</v>
      </c>
      <c r="H29" s="117">
        <v>320.26815786435998</v>
      </c>
      <c r="I29" s="117">
        <v>-233.36454557133999</v>
      </c>
      <c r="J29" s="117">
        <v>-65.069999999999993</v>
      </c>
      <c r="K29" s="117">
        <v>2.57</v>
      </c>
    </row>
    <row r="30" spans="1:11" s="118" customFormat="1" ht="9.75" customHeight="1">
      <c r="A30" s="121" t="s">
        <v>138</v>
      </c>
      <c r="B30" s="121" t="s">
        <v>139</v>
      </c>
      <c r="C30" s="117">
        <v>7131.2024736383382</v>
      </c>
      <c r="D30" s="117">
        <v>10906.6149686879</v>
      </c>
      <c r="E30" s="117">
        <v>5514.0630590831997</v>
      </c>
      <c r="F30" s="117">
        <v>-2136.489114988271</v>
      </c>
      <c r="G30" s="117">
        <v>-1937.4024381977438</v>
      </c>
      <c r="H30" s="117">
        <v>-12493.782623123927</v>
      </c>
      <c r="I30" s="117">
        <v>-35211.089312148433</v>
      </c>
      <c r="J30" s="117">
        <v>-21826.18</v>
      </c>
      <c r="K30" s="117">
        <v>10108.59</v>
      </c>
    </row>
    <row r="31" spans="1:11" s="118" customFormat="1" ht="9.75" customHeight="1">
      <c r="A31" s="121" t="s">
        <v>140</v>
      </c>
      <c r="B31" s="120" t="s">
        <v>141</v>
      </c>
      <c r="C31" s="117">
        <v>442.55680432009802</v>
      </c>
      <c r="D31" s="117">
        <v>6720.7411026011696</v>
      </c>
      <c r="E31" s="117">
        <v>-5915.0265015510004</v>
      </c>
      <c r="F31" s="117">
        <v>259.09781868252901</v>
      </c>
      <c r="G31" s="117">
        <v>334.96682917655602</v>
      </c>
      <c r="H31" s="117">
        <v>296.93076983807299</v>
      </c>
      <c r="I31" s="117">
        <v>267.59676441257</v>
      </c>
      <c r="J31" s="117">
        <v>577.4</v>
      </c>
      <c r="K31" s="117">
        <v>421.8</v>
      </c>
    </row>
    <row r="32" spans="1:11" s="118" customFormat="1" ht="9.75" customHeight="1">
      <c r="A32" s="121" t="s">
        <v>142</v>
      </c>
      <c r="B32" s="120" t="s">
        <v>143</v>
      </c>
      <c r="C32" s="117">
        <v>6688.6456693182399</v>
      </c>
      <c r="D32" s="117">
        <v>4185.8738660867302</v>
      </c>
      <c r="E32" s="117">
        <v>11429.0895606342</v>
      </c>
      <c r="F32" s="117">
        <v>-2395.5869336708001</v>
      </c>
      <c r="G32" s="117">
        <v>-2272.3692673742999</v>
      </c>
      <c r="H32" s="117">
        <v>-12790.713392961999</v>
      </c>
      <c r="I32" s="117">
        <v>-35478.686076561004</v>
      </c>
      <c r="J32" s="117">
        <v>-22403.58</v>
      </c>
      <c r="K32" s="117">
        <v>9686.7900000000009</v>
      </c>
    </row>
    <row r="33" spans="1:11" s="109" customFormat="1" ht="15" customHeight="1">
      <c r="A33" s="122" t="s">
        <v>96</v>
      </c>
      <c r="B33" s="113" t="s">
        <v>144</v>
      </c>
      <c r="C33" s="114">
        <v>259661.53096186696</v>
      </c>
      <c r="D33" s="114">
        <v>279630.91003789497</v>
      </c>
      <c r="E33" s="114">
        <v>342138.66827250348</v>
      </c>
      <c r="F33" s="114">
        <v>313429.94208044308</v>
      </c>
      <c r="G33" s="114">
        <v>425962.47234495997</v>
      </c>
      <c r="H33" s="114">
        <v>358356.86634937028</v>
      </c>
      <c r="I33" s="114">
        <v>339506.72794250271</v>
      </c>
      <c r="J33" s="114">
        <v>393794.63999999996</v>
      </c>
      <c r="K33" s="114">
        <v>425220.50999999989</v>
      </c>
    </row>
    <row r="34" spans="1:11" s="118" customFormat="1" ht="3" customHeight="1">
      <c r="A34" s="102"/>
      <c r="B34" s="123"/>
      <c r="C34" s="124"/>
      <c r="D34" s="124"/>
      <c r="E34" s="124"/>
      <c r="F34" s="124"/>
      <c r="G34" s="124"/>
      <c r="H34" s="124"/>
      <c r="I34" s="124"/>
      <c r="J34" s="124"/>
      <c r="K34" s="124"/>
    </row>
    <row r="35" spans="1:11" s="109" customFormat="1" ht="15" customHeight="1">
      <c r="A35" s="122" t="s">
        <v>96</v>
      </c>
      <c r="B35" s="113" t="s">
        <v>145</v>
      </c>
      <c r="C35" s="114">
        <v>226287.53096186652</v>
      </c>
      <c r="D35" s="114">
        <v>244977.91003789479</v>
      </c>
      <c r="E35" s="114">
        <v>307594.6682725033</v>
      </c>
      <c r="F35" s="114">
        <v>278143.94208044268</v>
      </c>
      <c r="G35" s="114">
        <v>390438.47234495904</v>
      </c>
      <c r="H35" s="114">
        <v>235168.86634937039</v>
      </c>
      <c r="I35" s="114">
        <v>168730.72794250178</v>
      </c>
      <c r="J35" s="114">
        <v>190988.63</v>
      </c>
      <c r="K35" s="114">
        <v>262480.52</v>
      </c>
    </row>
    <row r="36" spans="1:11" s="118" customFormat="1" ht="9.75" customHeight="1">
      <c r="A36" s="115" t="s">
        <v>98</v>
      </c>
      <c r="B36" s="116" t="s">
        <v>99</v>
      </c>
      <c r="C36" s="125">
        <v>0</v>
      </c>
      <c r="D36" s="125">
        <v>0</v>
      </c>
      <c r="E36" s="125">
        <v>0</v>
      </c>
      <c r="F36" s="125">
        <v>0</v>
      </c>
      <c r="G36" s="125">
        <v>0</v>
      </c>
      <c r="H36" s="125">
        <v>0</v>
      </c>
      <c r="I36" s="125">
        <v>0</v>
      </c>
      <c r="J36" s="125">
        <v>0</v>
      </c>
      <c r="K36" s="125">
        <v>0</v>
      </c>
    </row>
    <row r="37" spans="1:11" s="118" customFormat="1" ht="9.75" customHeight="1">
      <c r="A37" s="116" t="s">
        <v>100</v>
      </c>
      <c r="B37" s="116" t="s">
        <v>101</v>
      </c>
      <c r="C37" s="117">
        <v>0</v>
      </c>
      <c r="D37" s="117">
        <v>0</v>
      </c>
      <c r="E37" s="117">
        <v>0</v>
      </c>
      <c r="F37" s="117">
        <v>0</v>
      </c>
      <c r="G37" s="117">
        <v>-6.03751111161E-2</v>
      </c>
      <c r="H37" s="117">
        <v>0.142344459654</v>
      </c>
      <c r="I37" s="117">
        <v>0.1223286705</v>
      </c>
      <c r="J37" s="117">
        <v>0</v>
      </c>
      <c r="K37" s="117">
        <v>0</v>
      </c>
    </row>
    <row r="38" spans="1:11" s="118" customFormat="1" ht="9.75" customHeight="1">
      <c r="A38" s="116" t="s">
        <v>102</v>
      </c>
      <c r="B38" s="116" t="s">
        <v>103</v>
      </c>
      <c r="C38" s="117">
        <v>0</v>
      </c>
      <c r="D38" s="117">
        <v>0</v>
      </c>
      <c r="E38" s="117">
        <v>0</v>
      </c>
      <c r="F38" s="117">
        <v>0</v>
      </c>
      <c r="G38" s="117">
        <v>0</v>
      </c>
      <c r="H38" s="117">
        <v>0</v>
      </c>
      <c r="I38" s="117">
        <v>0</v>
      </c>
      <c r="J38" s="117">
        <v>0</v>
      </c>
      <c r="K38" s="117">
        <v>0</v>
      </c>
    </row>
    <row r="39" spans="1:11" s="118" customFormat="1" ht="9.75" customHeight="1">
      <c r="A39" s="116" t="s">
        <v>104</v>
      </c>
      <c r="B39" s="116" t="s">
        <v>105</v>
      </c>
      <c r="C39" s="117">
        <v>0</v>
      </c>
      <c r="D39" s="117">
        <v>0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17">
        <v>0</v>
      </c>
      <c r="K39" s="117">
        <v>0</v>
      </c>
    </row>
    <row r="40" spans="1:11" s="118" customFormat="1" ht="9.75" customHeight="1">
      <c r="A40" s="116" t="s">
        <v>106</v>
      </c>
      <c r="B40" s="116" t="s">
        <v>107</v>
      </c>
      <c r="C40" s="117">
        <v>0</v>
      </c>
      <c r="D40" s="117">
        <v>0</v>
      </c>
      <c r="E40" s="117">
        <v>0</v>
      </c>
      <c r="F40" s="117">
        <v>0</v>
      </c>
      <c r="G40" s="117">
        <v>-6.03751111161E-2</v>
      </c>
      <c r="H40" s="117">
        <v>0.142344459654</v>
      </c>
      <c r="I40" s="117">
        <v>0.1223286705</v>
      </c>
      <c r="J40" s="117">
        <v>0</v>
      </c>
      <c r="K40" s="117">
        <v>0</v>
      </c>
    </row>
    <row r="41" spans="1:11" s="118" customFormat="1" ht="9.75" customHeight="1">
      <c r="A41" s="119" t="s">
        <v>108</v>
      </c>
      <c r="B41" s="116" t="s">
        <v>109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</row>
    <row r="42" spans="1:11" s="118" customFormat="1" ht="9.75" customHeight="1">
      <c r="A42" s="116" t="s">
        <v>110</v>
      </c>
      <c r="B42" s="116" t="s">
        <v>111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</row>
    <row r="43" spans="1:11" s="118" customFormat="1" ht="9.75" customHeight="1">
      <c r="A43" s="119" t="s">
        <v>112</v>
      </c>
      <c r="B43" s="119" t="s">
        <v>113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</row>
    <row r="44" spans="1:11" s="118" customFormat="1" ht="9.75" customHeight="1">
      <c r="A44" s="120" t="s">
        <v>114</v>
      </c>
      <c r="B44" s="120" t="s">
        <v>115</v>
      </c>
      <c r="C44" s="117">
        <v>184148.4667474957</v>
      </c>
      <c r="D44" s="117">
        <v>168852.81307730539</v>
      </c>
      <c r="E44" s="117">
        <v>192241.9288548067</v>
      </c>
      <c r="F44" s="117">
        <v>217834.35955154058</v>
      </c>
      <c r="G44" s="117">
        <v>216921.74879733549</v>
      </c>
      <c r="H44" s="117">
        <v>121336.8048160391</v>
      </c>
      <c r="I44" s="117">
        <v>93901.454754391307</v>
      </c>
      <c r="J44" s="117">
        <v>157135.46000000002</v>
      </c>
      <c r="K44" s="117">
        <v>162939.14000000001</v>
      </c>
    </row>
    <row r="45" spans="1:11" s="118" customFormat="1" ht="9.75" customHeight="1">
      <c r="A45" s="120" t="s">
        <v>116</v>
      </c>
      <c r="B45" s="120" t="s">
        <v>111</v>
      </c>
      <c r="C45" s="117">
        <v>7322.3181832207001</v>
      </c>
      <c r="D45" s="117">
        <v>21763.7719012384</v>
      </c>
      <c r="E45" s="117">
        <v>20051.9778393837</v>
      </c>
      <c r="F45" s="117">
        <v>27468.720619931599</v>
      </c>
      <c r="G45" s="117">
        <v>29284.228100181499</v>
      </c>
      <c r="H45" s="117">
        <v>14717.6191162211</v>
      </c>
      <c r="I45" s="117">
        <v>26654.643366281402</v>
      </c>
      <c r="J45" s="117">
        <v>5055.54</v>
      </c>
      <c r="K45" s="117">
        <v>9426.6</v>
      </c>
    </row>
    <row r="46" spans="1:11" s="118" customFormat="1" ht="9.75" customHeight="1">
      <c r="A46" s="120" t="s">
        <v>117</v>
      </c>
      <c r="B46" s="120" t="s">
        <v>113</v>
      </c>
      <c r="C46" s="117">
        <v>176826.148564275</v>
      </c>
      <c r="D46" s="117">
        <v>147089.041176067</v>
      </c>
      <c r="E46" s="117">
        <v>172189.95101542299</v>
      </c>
      <c r="F46" s="117">
        <v>190365.63893160899</v>
      </c>
      <c r="G46" s="117">
        <v>187637.52069715399</v>
      </c>
      <c r="H46" s="117">
        <v>106619.185699818</v>
      </c>
      <c r="I46" s="117">
        <v>67246.811388109898</v>
      </c>
      <c r="J46" s="117">
        <v>152079.92000000001</v>
      </c>
      <c r="K46" s="117">
        <v>153512.54</v>
      </c>
    </row>
    <row r="47" spans="1:11" s="118" customFormat="1" ht="9.75" customHeight="1">
      <c r="A47" s="120" t="s">
        <v>118</v>
      </c>
      <c r="B47" s="120" t="s">
        <v>119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</row>
    <row r="48" spans="1:11" s="118" customFormat="1" ht="9.75" customHeight="1">
      <c r="A48" s="120" t="s">
        <v>120</v>
      </c>
      <c r="B48" s="120" t="s">
        <v>121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</row>
    <row r="49" spans="1:11" s="118" customFormat="1" ht="9.75" customHeight="1">
      <c r="A49" s="120" t="s">
        <v>122</v>
      </c>
      <c r="B49" s="121" t="s">
        <v>123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</row>
    <row r="50" spans="1:11" s="118" customFormat="1" ht="9.75" customHeight="1">
      <c r="A50" s="120" t="s">
        <v>124</v>
      </c>
      <c r="B50" s="121" t="s">
        <v>125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</row>
    <row r="51" spans="1:11" s="118" customFormat="1" ht="9.75" customHeight="1">
      <c r="A51" s="120" t="s">
        <v>126</v>
      </c>
      <c r="B51" s="121" t="s">
        <v>127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</row>
    <row r="52" spans="1:11" s="118" customFormat="1" ht="9.75" customHeight="1">
      <c r="A52" s="121" t="s">
        <v>128</v>
      </c>
      <c r="B52" s="121" t="s">
        <v>129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</row>
    <row r="53" spans="1:11" s="118" customFormat="1" ht="9.75" customHeight="1">
      <c r="A53" s="121" t="s">
        <v>130</v>
      </c>
      <c r="B53" s="121" t="s">
        <v>131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</row>
    <row r="54" spans="1:11" s="118" customFormat="1" ht="9.75" customHeight="1">
      <c r="A54" s="121" t="s">
        <v>132</v>
      </c>
      <c r="B54" s="121" t="s">
        <v>133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</row>
    <row r="55" spans="1:11" s="118" customFormat="1" ht="9.75" customHeight="1">
      <c r="A55" s="121" t="s">
        <v>134</v>
      </c>
      <c r="B55" s="121" t="s">
        <v>135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</row>
    <row r="56" spans="1:11" s="118" customFormat="1" ht="9.75" customHeight="1">
      <c r="A56" s="121" t="s">
        <v>136</v>
      </c>
      <c r="B56" s="121" t="s">
        <v>137</v>
      </c>
      <c r="C56" s="117">
        <v>83.414084020845394</v>
      </c>
      <c r="D56" s="117">
        <v>-269.73578368437001</v>
      </c>
      <c r="E56" s="117">
        <v>624.52465882100205</v>
      </c>
      <c r="F56" s="117">
        <v>272.57492468253599</v>
      </c>
      <c r="G56" s="117">
        <v>273.298057280232</v>
      </c>
      <c r="H56" s="117">
        <v>4778.3180214384502</v>
      </c>
      <c r="I56" s="117">
        <v>-2359.3785704930001</v>
      </c>
      <c r="J56" s="117">
        <v>365.79</v>
      </c>
      <c r="K56" s="117">
        <v>-1438.85</v>
      </c>
    </row>
    <row r="57" spans="1:11" s="118" customFormat="1" ht="9.75" customHeight="1">
      <c r="A57" s="121" t="s">
        <v>138</v>
      </c>
      <c r="B57" s="121" t="s">
        <v>139</v>
      </c>
      <c r="C57" s="117">
        <v>42055.650130349975</v>
      </c>
      <c r="D57" s="117">
        <v>76394.832744273765</v>
      </c>
      <c r="E57" s="117">
        <v>114728.21475887562</v>
      </c>
      <c r="F57" s="117">
        <v>60037.007604219572</v>
      </c>
      <c r="G57" s="117">
        <v>173243.48586545442</v>
      </c>
      <c r="H57" s="117">
        <v>109053.60116743318</v>
      </c>
      <c r="I57" s="117">
        <v>77188.529429932998</v>
      </c>
      <c r="J57" s="117">
        <v>33487.379999999997</v>
      </c>
      <c r="K57" s="117">
        <v>100980.23</v>
      </c>
    </row>
    <row r="58" spans="1:11" s="118" customFormat="1" ht="9.75" customHeight="1">
      <c r="A58" s="121" t="s">
        <v>140</v>
      </c>
      <c r="B58" s="120" t="s">
        <v>141</v>
      </c>
      <c r="C58" s="117">
        <v>1534.7395564450801</v>
      </c>
      <c r="D58" s="117">
        <v>3143.6782566120601</v>
      </c>
      <c r="E58" s="117">
        <v>4196.2917846626196</v>
      </c>
      <c r="F58" s="117">
        <v>932.46344206377705</v>
      </c>
      <c r="G58" s="117">
        <v>-803.38535151958001</v>
      </c>
      <c r="H58" s="117">
        <v>2951.4608804271802</v>
      </c>
      <c r="I58" s="117">
        <v>-1063.1093656848</v>
      </c>
      <c r="J58" s="117">
        <v>3221.74</v>
      </c>
      <c r="K58" s="117">
        <v>3069.78</v>
      </c>
    </row>
    <row r="59" spans="1:11" s="118" customFormat="1" ht="9.75" customHeight="1">
      <c r="A59" s="121" t="s">
        <v>142</v>
      </c>
      <c r="B59" s="120" t="s">
        <v>143</v>
      </c>
      <c r="C59" s="117">
        <v>40520.910573904897</v>
      </c>
      <c r="D59" s="117">
        <v>73251.154487661697</v>
      </c>
      <c r="E59" s="117">
        <v>110531.922974213</v>
      </c>
      <c r="F59" s="117">
        <v>59104.544162155798</v>
      </c>
      <c r="G59" s="117">
        <v>174046.87121697399</v>
      </c>
      <c r="H59" s="117">
        <v>106102.140287006</v>
      </c>
      <c r="I59" s="117">
        <v>78251.638795617793</v>
      </c>
      <c r="J59" s="117">
        <v>30265.64</v>
      </c>
      <c r="K59" s="117">
        <v>97910.45</v>
      </c>
    </row>
    <row r="60" spans="1:11" s="109" customFormat="1" ht="15" customHeight="1">
      <c r="A60" s="112" t="s">
        <v>96</v>
      </c>
      <c r="B60" s="113" t="s">
        <v>146</v>
      </c>
      <c r="C60" s="114">
        <v>226287.53096186652</v>
      </c>
      <c r="D60" s="114">
        <v>244977.91003789479</v>
      </c>
      <c r="E60" s="114">
        <v>307594.6682725033</v>
      </c>
      <c r="F60" s="114">
        <v>278143.94208044268</v>
      </c>
      <c r="G60" s="114">
        <v>390438.47234495904</v>
      </c>
      <c r="H60" s="114">
        <v>235168.86634937039</v>
      </c>
      <c r="I60" s="114">
        <v>168730.72794250178</v>
      </c>
      <c r="J60" s="114">
        <v>190988.63</v>
      </c>
      <c r="K60" s="114">
        <v>262480.52</v>
      </c>
    </row>
    <row r="61" spans="1:11" s="109" customFormat="1" ht="15" customHeight="1">
      <c r="A61" s="126" t="s">
        <v>88</v>
      </c>
      <c r="B61" s="126" t="s">
        <v>89</v>
      </c>
      <c r="C61" s="127">
        <f t="shared" ref="C61:H61" si="0">C33-C60</f>
        <v>33374.000000000437</v>
      </c>
      <c r="D61" s="127">
        <f t="shared" si="0"/>
        <v>34653.000000000175</v>
      </c>
      <c r="E61" s="127">
        <f t="shared" si="0"/>
        <v>34544.000000000175</v>
      </c>
      <c r="F61" s="127">
        <f t="shared" si="0"/>
        <v>35286.000000000407</v>
      </c>
      <c r="G61" s="127">
        <f t="shared" si="0"/>
        <v>35524.000000000931</v>
      </c>
      <c r="H61" s="127">
        <f t="shared" si="0"/>
        <v>123187.99999999988</v>
      </c>
      <c r="I61" s="127">
        <f>I33-I60</f>
        <v>170776.00000000093</v>
      </c>
      <c r="J61" s="127">
        <f>J33-J60</f>
        <v>202806.00999999995</v>
      </c>
      <c r="K61" s="127">
        <f>K33-K60</f>
        <v>162739.98999999987</v>
      </c>
    </row>
    <row r="62" spans="1:11" s="131" customFormat="1" ht="6" customHeight="1">
      <c r="A62" s="128"/>
      <c r="B62" s="129"/>
      <c r="C62" s="130"/>
      <c r="D62" s="130"/>
      <c r="E62" s="130"/>
      <c r="F62" s="130"/>
      <c r="G62" s="130"/>
      <c r="H62" s="130"/>
      <c r="I62" s="130"/>
      <c r="J62" s="130"/>
      <c r="K62" s="130"/>
    </row>
    <row r="63" spans="1:11" s="132" customFormat="1" ht="11" customHeight="1">
      <c r="A63" s="8" t="s">
        <v>90</v>
      </c>
      <c r="B63" s="95"/>
    </row>
    <row r="64" spans="1:11" s="118" customFormat="1"/>
    <row r="65" spans="1:11" s="118" customFormat="1" ht="12" customHeight="1">
      <c r="A65" s="133" t="s">
        <v>147</v>
      </c>
      <c r="B65" s="133"/>
      <c r="C65" s="133"/>
      <c r="D65" s="133"/>
      <c r="E65" s="134"/>
      <c r="F65" s="134"/>
      <c r="G65" s="134"/>
      <c r="H65" s="134"/>
      <c r="I65" s="134"/>
      <c r="J65" s="134"/>
      <c r="K65" s="134"/>
    </row>
    <row r="66" spans="1:11" s="118" customFormat="1" ht="12" customHeight="1">
      <c r="A66" s="133" t="s">
        <v>148</v>
      </c>
      <c r="B66" s="133"/>
      <c r="C66" s="133"/>
      <c r="D66" s="133"/>
      <c r="E66" s="134"/>
      <c r="F66" s="134"/>
      <c r="G66" s="134"/>
      <c r="H66" s="134"/>
      <c r="I66" s="134"/>
      <c r="J66" s="134"/>
      <c r="K66" s="134"/>
    </row>
    <row r="67" spans="1:11" s="118" customFormat="1" ht="9" customHeight="1"/>
    <row r="68" spans="1:11" s="118" customFormat="1" ht="15" customHeight="1">
      <c r="A68" s="155" t="s">
        <v>94</v>
      </c>
      <c r="B68" s="156"/>
      <c r="C68" s="103" t="s">
        <v>3</v>
      </c>
      <c r="D68" s="104"/>
      <c r="E68" s="103"/>
      <c r="F68" s="104"/>
      <c r="G68" s="104"/>
      <c r="H68" s="104"/>
      <c r="I68" s="104"/>
      <c r="J68" s="104"/>
      <c r="K68" s="104"/>
    </row>
    <row r="69" spans="1:11" s="118" customFormat="1" ht="15" customHeight="1">
      <c r="A69" s="157"/>
      <c r="B69" s="158"/>
      <c r="C69" s="105">
        <v>2010</v>
      </c>
      <c r="D69" s="106">
        <v>2011</v>
      </c>
      <c r="E69" s="105">
        <v>2012</v>
      </c>
      <c r="F69" s="106">
        <v>2013</v>
      </c>
      <c r="G69" s="106">
        <v>2014</v>
      </c>
      <c r="H69" s="106">
        <v>2015</v>
      </c>
      <c r="I69" s="106">
        <v>2016</v>
      </c>
      <c r="J69" s="106">
        <v>2017</v>
      </c>
      <c r="K69" s="106">
        <v>2018</v>
      </c>
    </row>
    <row r="70" spans="1:11" s="118" customFormat="1" ht="15" customHeight="1">
      <c r="A70" s="107" t="s">
        <v>149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</row>
    <row r="71" spans="1:11" s="118" customFormat="1" ht="3.75" customHeight="1">
      <c r="A71" s="110"/>
      <c r="B71" s="111"/>
      <c r="C71" s="110"/>
      <c r="D71" s="110"/>
      <c r="E71" s="110"/>
      <c r="F71" s="110"/>
      <c r="G71" s="110"/>
      <c r="H71" s="110"/>
      <c r="I71" s="110"/>
      <c r="J71" s="110"/>
      <c r="K71" s="110"/>
    </row>
    <row r="72" spans="1:11" s="118" customFormat="1" ht="15" customHeight="1">
      <c r="A72" s="112" t="s">
        <v>150</v>
      </c>
      <c r="B72" s="113" t="s">
        <v>151</v>
      </c>
      <c r="C72" s="114">
        <v>2876162.4256120371</v>
      </c>
      <c r="D72" s="114">
        <v>3271156.8152086781</v>
      </c>
      <c r="E72" s="114">
        <v>3824062.8513131058</v>
      </c>
      <c r="F72" s="114">
        <v>4259587.0576226832</v>
      </c>
      <c r="G72" s="114">
        <v>4966831.974718417</v>
      </c>
      <c r="H72" s="114">
        <v>5710261.3730011433</v>
      </c>
      <c r="I72" s="114">
        <v>6316189.5035543768</v>
      </c>
      <c r="J72" s="114">
        <v>7246521</v>
      </c>
      <c r="K72" s="114">
        <v>7803609</v>
      </c>
    </row>
    <row r="73" spans="1:11" s="118" customFormat="1" ht="9.75" customHeight="1">
      <c r="A73" s="135" t="s">
        <v>152</v>
      </c>
      <c r="B73" s="116" t="s">
        <v>99</v>
      </c>
      <c r="C73" s="117">
        <v>0</v>
      </c>
      <c r="D73" s="117">
        <v>0</v>
      </c>
      <c r="E73" s="118">
        <v>0</v>
      </c>
      <c r="F73" s="118">
        <v>0</v>
      </c>
      <c r="G73" s="118">
        <v>0</v>
      </c>
      <c r="H73" s="118">
        <v>0</v>
      </c>
      <c r="I73" s="118">
        <v>0</v>
      </c>
      <c r="J73" s="118">
        <v>0</v>
      </c>
      <c r="K73" s="118">
        <v>0</v>
      </c>
    </row>
    <row r="74" spans="1:11" s="118" customFormat="1" ht="9.75" customHeight="1">
      <c r="A74" s="135" t="s">
        <v>153</v>
      </c>
      <c r="B74" s="116" t="s">
        <v>101</v>
      </c>
      <c r="C74" s="117">
        <v>771348.87060722045</v>
      </c>
      <c r="D74" s="117">
        <v>846474.49395533558</v>
      </c>
      <c r="E74" s="117">
        <v>974386.93592973752</v>
      </c>
      <c r="F74" s="117">
        <v>1126801.9333587629</v>
      </c>
      <c r="G74" s="117">
        <v>1257712.111260822</v>
      </c>
      <c r="H74" s="117">
        <v>1304763.764635341</v>
      </c>
      <c r="I74" s="117">
        <v>1391280.8591312852</v>
      </c>
      <c r="J74" s="117">
        <v>1464168</v>
      </c>
      <c r="K74" s="117">
        <v>1548023</v>
      </c>
    </row>
    <row r="75" spans="1:11" s="118" customFormat="1" ht="9.75" customHeight="1">
      <c r="A75" s="136" t="s">
        <v>154</v>
      </c>
      <c r="B75" s="116" t="s">
        <v>103</v>
      </c>
      <c r="C75" s="117">
        <v>41412.214958462202</v>
      </c>
      <c r="D75" s="117">
        <v>33923.517565313698</v>
      </c>
      <c r="E75" s="117">
        <v>43831.322509719597</v>
      </c>
      <c r="F75" s="117">
        <v>51120.425484125102</v>
      </c>
      <c r="G75" s="117">
        <v>47693.3411695592</v>
      </c>
      <c r="H75" s="117">
        <v>53696.366478254997</v>
      </c>
      <c r="I75" s="117">
        <v>52957.590560278099</v>
      </c>
      <c r="J75" s="117">
        <v>143921</v>
      </c>
      <c r="K75" s="117">
        <v>158082</v>
      </c>
    </row>
    <row r="76" spans="1:11" s="118" customFormat="1" ht="9.75" customHeight="1">
      <c r="A76" s="136" t="s">
        <v>155</v>
      </c>
      <c r="B76" s="116" t="s">
        <v>105</v>
      </c>
      <c r="C76" s="117">
        <v>71581.720759207194</v>
      </c>
      <c r="D76" s="117">
        <v>75910.144894536803</v>
      </c>
      <c r="E76" s="117">
        <v>87311.348714239895</v>
      </c>
      <c r="F76" s="117">
        <v>97750.212202234907</v>
      </c>
      <c r="G76" s="117">
        <v>124592.773650213</v>
      </c>
      <c r="H76" s="117">
        <v>134960.08110153599</v>
      </c>
      <c r="I76" s="117">
        <v>137810.498383367</v>
      </c>
      <c r="J76" s="117">
        <v>126494</v>
      </c>
      <c r="K76" s="117">
        <v>130634</v>
      </c>
    </row>
    <row r="77" spans="1:11" s="118" customFormat="1" ht="9.75" customHeight="1">
      <c r="A77" s="137" t="s">
        <v>156</v>
      </c>
      <c r="B77" s="116" t="s">
        <v>107</v>
      </c>
      <c r="C77" s="117">
        <v>658354.93488955102</v>
      </c>
      <c r="D77" s="117">
        <v>736640.83149548504</v>
      </c>
      <c r="E77" s="117">
        <v>843244.26470577798</v>
      </c>
      <c r="F77" s="117">
        <v>977931.29567240295</v>
      </c>
      <c r="G77" s="117">
        <v>1085425.99644105</v>
      </c>
      <c r="H77" s="117">
        <v>1116107.3170555499</v>
      </c>
      <c r="I77" s="117">
        <v>1200512.7701876401</v>
      </c>
      <c r="J77" s="117">
        <v>1193753</v>
      </c>
      <c r="K77" s="117">
        <v>1259307</v>
      </c>
    </row>
    <row r="78" spans="1:11" s="118" customFormat="1" ht="9.75" customHeight="1">
      <c r="A78" s="138" t="s">
        <v>157</v>
      </c>
      <c r="B78" s="116" t="s">
        <v>109</v>
      </c>
      <c r="C78" s="117">
        <v>267161.46360845206</v>
      </c>
      <c r="D78" s="117">
        <v>337296.15663244622</v>
      </c>
      <c r="E78" s="117">
        <v>376554.75409628544</v>
      </c>
      <c r="F78" s="117">
        <v>439884.13591176539</v>
      </c>
      <c r="G78" s="117">
        <v>539886.72736529785</v>
      </c>
      <c r="H78" s="117">
        <v>670026.11570489476</v>
      </c>
      <c r="I78" s="117">
        <v>706893.71174806182</v>
      </c>
      <c r="J78" s="117">
        <v>747052</v>
      </c>
      <c r="K78" s="117">
        <v>798695</v>
      </c>
    </row>
    <row r="79" spans="1:11" s="118" customFormat="1" ht="9.75" customHeight="1">
      <c r="A79" s="136" t="s">
        <v>158</v>
      </c>
      <c r="B79" s="116" t="s">
        <v>111</v>
      </c>
      <c r="C79" s="117">
        <v>35719.439791533026</v>
      </c>
      <c r="D79" s="117">
        <v>52205.054149059826</v>
      </c>
      <c r="E79" s="117">
        <v>67481.925708260285</v>
      </c>
      <c r="F79" s="117">
        <v>44771.390603918611</v>
      </c>
      <c r="G79" s="117">
        <v>65917.845601668974</v>
      </c>
      <c r="H79" s="117">
        <v>43105.222930624368</v>
      </c>
      <c r="I79" s="117">
        <v>41012.962912410214</v>
      </c>
      <c r="J79" s="117">
        <v>113323</v>
      </c>
      <c r="K79" s="117">
        <v>104092</v>
      </c>
    </row>
    <row r="80" spans="1:11" s="118" customFormat="1" ht="9.75" customHeight="1">
      <c r="A80" s="136" t="s">
        <v>159</v>
      </c>
      <c r="B80" s="119" t="s">
        <v>113</v>
      </c>
      <c r="C80" s="117">
        <v>231442.02381691901</v>
      </c>
      <c r="D80" s="117">
        <v>285091.10248338641</v>
      </c>
      <c r="E80" s="117">
        <v>309072.82838802517</v>
      </c>
      <c r="F80" s="117">
        <v>395112.74530784675</v>
      </c>
      <c r="G80" s="117">
        <v>473968.88176362886</v>
      </c>
      <c r="H80" s="117">
        <v>626920.89277427038</v>
      </c>
      <c r="I80" s="117">
        <v>665880.74883565155</v>
      </c>
      <c r="J80" s="117">
        <v>633729</v>
      </c>
      <c r="K80" s="117">
        <v>694603</v>
      </c>
    </row>
    <row r="81" spans="1:11" s="118" customFormat="1" ht="9.75" customHeight="1">
      <c r="A81" s="139" t="s">
        <v>160</v>
      </c>
      <c r="B81" s="120" t="s">
        <v>115</v>
      </c>
      <c r="C81" s="117">
        <v>33657.216873749989</v>
      </c>
      <c r="D81" s="117">
        <v>39955.555287121701</v>
      </c>
      <c r="E81" s="117">
        <v>50783.030602038598</v>
      </c>
      <c r="F81" s="117">
        <v>26803.326436134379</v>
      </c>
      <c r="G81" s="117">
        <v>76190.347498939707</v>
      </c>
      <c r="H81" s="117">
        <v>86898.009331741399</v>
      </c>
      <c r="I81" s="117">
        <v>111015.29551205109</v>
      </c>
      <c r="J81" s="117">
        <v>287090</v>
      </c>
      <c r="K81" s="117">
        <v>317519</v>
      </c>
    </row>
    <row r="82" spans="1:11" s="118" customFormat="1" ht="9.75" customHeight="1">
      <c r="A82" s="140" t="s">
        <v>161</v>
      </c>
      <c r="B82" s="120" t="s">
        <v>111</v>
      </c>
      <c r="C82" s="117">
        <v>8175.6205818004901</v>
      </c>
      <c r="D82" s="117">
        <v>9760.1601666980005</v>
      </c>
      <c r="E82" s="117">
        <v>12316.535805519299</v>
      </c>
      <c r="F82" s="117">
        <v>6291.9585959025799</v>
      </c>
      <c r="G82" s="117">
        <v>16947.5682614379</v>
      </c>
      <c r="H82" s="117">
        <v>18318.976252488701</v>
      </c>
      <c r="I82" s="117">
        <v>24770.583259093099</v>
      </c>
      <c r="J82" s="117">
        <v>25969</v>
      </c>
      <c r="K82" s="117">
        <v>33849</v>
      </c>
    </row>
    <row r="83" spans="1:11" s="118" customFormat="1" ht="9.75" customHeight="1">
      <c r="A83" s="141" t="s">
        <v>162</v>
      </c>
      <c r="B83" s="120" t="s">
        <v>113</v>
      </c>
      <c r="C83" s="117">
        <v>25481.5962919495</v>
      </c>
      <c r="D83" s="117">
        <v>30195.395120423698</v>
      </c>
      <c r="E83" s="117">
        <v>38466.494796519299</v>
      </c>
      <c r="F83" s="117">
        <v>20511.3678402318</v>
      </c>
      <c r="G83" s="117">
        <v>59242.779237501803</v>
      </c>
      <c r="H83" s="117">
        <v>68579.033079252695</v>
      </c>
      <c r="I83" s="117">
        <v>86244.712252957994</v>
      </c>
      <c r="J83" s="117">
        <v>261121</v>
      </c>
      <c r="K83" s="117">
        <v>283670</v>
      </c>
    </row>
    <row r="84" spans="1:11" s="118" customFormat="1" ht="9.75" customHeight="1">
      <c r="A84" s="142" t="s">
        <v>163</v>
      </c>
      <c r="B84" s="120" t="s">
        <v>119</v>
      </c>
      <c r="C84" s="117">
        <v>1018146.3798281653</v>
      </c>
      <c r="D84" s="117">
        <v>1149441.7016176016</v>
      </c>
      <c r="E84" s="117">
        <v>1377510.2612894673</v>
      </c>
      <c r="F84" s="117">
        <v>1525212.4575536137</v>
      </c>
      <c r="G84" s="117">
        <v>1803469.5401412882</v>
      </c>
      <c r="H84" s="117">
        <v>2183434.5918558128</v>
      </c>
      <c r="I84" s="117">
        <v>2459125.7524152631</v>
      </c>
      <c r="J84" s="117">
        <v>2903592</v>
      </c>
      <c r="K84" s="117">
        <v>3147964</v>
      </c>
    </row>
    <row r="85" spans="1:11" s="118" customFormat="1" ht="9.75" customHeight="1">
      <c r="A85" s="140" t="s">
        <v>164</v>
      </c>
      <c r="B85" s="120" t="s">
        <v>121</v>
      </c>
      <c r="C85" s="117">
        <v>675626.23417566693</v>
      </c>
      <c r="D85" s="117">
        <v>754109.60908303398</v>
      </c>
      <c r="E85" s="117">
        <v>879800.22245825909</v>
      </c>
      <c r="F85" s="117">
        <v>1008524.673687582</v>
      </c>
      <c r="G85" s="117">
        <v>1233493.370141288</v>
      </c>
      <c r="H85" s="117">
        <v>1542202.3818558131</v>
      </c>
      <c r="I85" s="117">
        <v>1684750.4674731449</v>
      </c>
      <c r="J85" s="117">
        <v>1805839</v>
      </c>
      <c r="K85" s="117">
        <v>1916459</v>
      </c>
    </row>
    <row r="86" spans="1:11" s="118" customFormat="1" ht="9.75" customHeight="1">
      <c r="A86" s="140" t="s">
        <v>165</v>
      </c>
      <c r="B86" s="121" t="s">
        <v>123</v>
      </c>
      <c r="C86" s="117">
        <v>198384.96899476799</v>
      </c>
      <c r="D86" s="117">
        <v>170706.160145111</v>
      </c>
      <c r="E86" s="117">
        <v>173117.221267938</v>
      </c>
      <c r="F86" s="117">
        <v>165375.34617517199</v>
      </c>
      <c r="G86" s="117">
        <v>161915.303729078</v>
      </c>
      <c r="H86" s="117">
        <v>183443.226340583</v>
      </c>
      <c r="I86" s="117">
        <v>185601.706437805</v>
      </c>
      <c r="J86" s="117">
        <v>202374</v>
      </c>
      <c r="K86" s="117">
        <v>230231</v>
      </c>
    </row>
    <row r="87" spans="1:11" s="118" customFormat="1" ht="9.75" customHeight="1">
      <c r="A87" s="140" t="s">
        <v>166</v>
      </c>
      <c r="B87" s="121" t="s">
        <v>125</v>
      </c>
      <c r="C87" s="117">
        <v>477241.265180899</v>
      </c>
      <c r="D87" s="117">
        <v>583403.44893792295</v>
      </c>
      <c r="E87" s="117">
        <v>706683.00119032105</v>
      </c>
      <c r="F87" s="117">
        <v>843149.32751241</v>
      </c>
      <c r="G87" s="117">
        <v>1071578.06641221</v>
      </c>
      <c r="H87" s="117">
        <v>1358759.15551523</v>
      </c>
      <c r="I87" s="117">
        <v>1499148.7610353399</v>
      </c>
      <c r="J87" s="117">
        <v>1603465</v>
      </c>
      <c r="K87" s="117">
        <v>1686228</v>
      </c>
    </row>
    <row r="88" spans="1:11" s="118" customFormat="1" ht="9.75" customHeight="1">
      <c r="A88" s="140" t="s">
        <v>167</v>
      </c>
      <c r="B88" s="121" t="s">
        <v>127</v>
      </c>
      <c r="C88" s="117">
        <v>342520.14565249841</v>
      </c>
      <c r="D88" s="117">
        <v>395332.09253456752</v>
      </c>
      <c r="E88" s="117">
        <v>497710.03883120819</v>
      </c>
      <c r="F88" s="117">
        <v>516687.78386603168</v>
      </c>
      <c r="G88" s="117">
        <v>569976.17000000004</v>
      </c>
      <c r="H88" s="117">
        <v>641232.21</v>
      </c>
      <c r="I88" s="117">
        <v>774375.2849421181</v>
      </c>
      <c r="J88" s="117">
        <v>1097753</v>
      </c>
      <c r="K88" s="117">
        <v>1231505</v>
      </c>
    </row>
    <row r="89" spans="1:11" s="118" customFormat="1" ht="9.75" customHeight="1">
      <c r="A89" s="142" t="s">
        <v>168</v>
      </c>
      <c r="B89" s="121" t="s">
        <v>129</v>
      </c>
      <c r="C89" s="117">
        <v>717181.87898465642</v>
      </c>
      <c r="D89" s="117">
        <v>816523.33279980836</v>
      </c>
      <c r="E89" s="117">
        <v>954537.88866432896</v>
      </c>
      <c r="F89" s="117">
        <v>1047955.1789509042</v>
      </c>
      <c r="G89" s="117">
        <v>1169767.2495127276</v>
      </c>
      <c r="H89" s="117">
        <v>1350479.7006842894</v>
      </c>
      <c r="I89" s="117">
        <v>1543861.2097771496</v>
      </c>
      <c r="J89" s="117">
        <v>1703411</v>
      </c>
      <c r="K89" s="117">
        <v>1838867</v>
      </c>
    </row>
    <row r="90" spans="1:11" s="118" customFormat="1" ht="9.75" customHeight="1">
      <c r="A90" s="140" t="s">
        <v>169</v>
      </c>
      <c r="B90" s="121" t="s">
        <v>131</v>
      </c>
      <c r="C90" s="117">
        <v>54424.840741106498</v>
      </c>
      <c r="D90" s="117">
        <v>64750.087022828295</v>
      </c>
      <c r="E90" s="117">
        <v>76070.257846339096</v>
      </c>
      <c r="F90" s="117">
        <v>92666.263820874097</v>
      </c>
      <c r="G90" s="117">
        <v>105036.53247410759</v>
      </c>
      <c r="H90" s="117">
        <v>113036.0113220693</v>
      </c>
      <c r="I90" s="117">
        <v>116932.4255620796</v>
      </c>
      <c r="J90" s="117">
        <v>159598</v>
      </c>
      <c r="K90" s="117">
        <v>169510</v>
      </c>
    </row>
    <row r="91" spans="1:11" s="118" customFormat="1" ht="9.75" customHeight="1">
      <c r="A91" s="141" t="s">
        <v>170</v>
      </c>
      <c r="B91" s="121" t="s">
        <v>133</v>
      </c>
      <c r="C91" s="117">
        <v>218518.64</v>
      </c>
      <c r="D91" s="117">
        <v>265596.88</v>
      </c>
      <c r="E91" s="117">
        <v>329715.59999999998</v>
      </c>
      <c r="F91" s="117">
        <v>369486.37</v>
      </c>
      <c r="G91" s="117">
        <v>438333.75</v>
      </c>
      <c r="H91" s="117">
        <v>534986.19999999995</v>
      </c>
      <c r="I91" s="117">
        <v>662285.62</v>
      </c>
      <c r="J91" s="117">
        <v>584865</v>
      </c>
      <c r="K91" s="117">
        <v>650761</v>
      </c>
    </row>
    <row r="92" spans="1:11" s="118" customFormat="1" ht="9.75" customHeight="1">
      <c r="A92" s="140" t="s">
        <v>171</v>
      </c>
      <c r="B92" s="121" t="s">
        <v>135</v>
      </c>
      <c r="C92" s="117">
        <v>444238.39824354998</v>
      </c>
      <c r="D92" s="117">
        <v>486176.36577698</v>
      </c>
      <c r="E92" s="117">
        <v>548752.03081798996</v>
      </c>
      <c r="F92" s="117">
        <v>585802.54513003002</v>
      </c>
      <c r="G92" s="117">
        <v>626396.96703862003</v>
      </c>
      <c r="H92" s="117">
        <v>702457.48936222005</v>
      </c>
      <c r="I92" s="117">
        <v>764643.16421506996</v>
      </c>
      <c r="J92" s="117">
        <v>958948</v>
      </c>
      <c r="K92" s="117">
        <v>1018596</v>
      </c>
    </row>
    <row r="93" spans="1:11" s="118" customFormat="1" ht="9.75" customHeight="1">
      <c r="A93" s="142" t="s">
        <v>172</v>
      </c>
      <c r="B93" s="121" t="s">
        <v>137</v>
      </c>
      <c r="C93" s="117">
        <v>320.06640359785598</v>
      </c>
      <c r="D93" s="117">
        <v>210.73222986074001</v>
      </c>
      <c r="E93" s="117">
        <v>378.31457450139101</v>
      </c>
      <c r="F93" s="117">
        <v>435.90085231191802</v>
      </c>
      <c r="G93" s="117">
        <v>529.07591087228298</v>
      </c>
      <c r="H93" s="117">
        <v>903.63099446663205</v>
      </c>
      <c r="I93" s="117">
        <v>629.87933335624803</v>
      </c>
      <c r="J93" s="117">
        <v>911</v>
      </c>
      <c r="K93" s="117">
        <v>1080</v>
      </c>
    </row>
    <row r="94" spans="1:11" s="118" customFormat="1" ht="9.75" customHeight="1">
      <c r="A94" s="142" t="s">
        <v>173</v>
      </c>
      <c r="B94" s="121" t="s">
        <v>139</v>
      </c>
      <c r="C94" s="117">
        <v>68346.549306194502</v>
      </c>
      <c r="D94" s="117">
        <v>81254.842686504329</v>
      </c>
      <c r="E94" s="117">
        <v>89911.666156746636</v>
      </c>
      <c r="F94" s="117">
        <v>92494.124559190401</v>
      </c>
      <c r="G94" s="117">
        <v>119276.92302847069</v>
      </c>
      <c r="H94" s="117">
        <v>113755.55979459625</v>
      </c>
      <c r="I94" s="117">
        <v>103382.79563720795</v>
      </c>
      <c r="J94" s="117">
        <v>140297</v>
      </c>
      <c r="K94" s="117">
        <v>151461</v>
      </c>
    </row>
    <row r="95" spans="1:11" s="118" customFormat="1" ht="9.75" customHeight="1">
      <c r="A95" s="141" t="s">
        <v>174</v>
      </c>
      <c r="B95" s="120" t="s">
        <v>141</v>
      </c>
      <c r="C95" s="117">
        <v>1660.45217344189</v>
      </c>
      <c r="D95" s="117">
        <v>8309.2618644731192</v>
      </c>
      <c r="E95" s="117">
        <v>2391.2465286280299</v>
      </c>
      <c r="F95" s="117">
        <v>2619.4426050369898</v>
      </c>
      <c r="G95" s="117">
        <v>2939.9778657166898</v>
      </c>
      <c r="H95" s="117">
        <v>3237.4722378582501</v>
      </c>
      <c r="I95" s="117">
        <v>3424.68003243766</v>
      </c>
      <c r="J95" s="117">
        <v>5893</v>
      </c>
      <c r="K95" s="117">
        <v>6562</v>
      </c>
    </row>
    <row r="96" spans="1:11" s="118" customFormat="1" ht="9.75" customHeight="1">
      <c r="A96" s="135" t="s">
        <v>175</v>
      </c>
      <c r="B96" s="120" t="s">
        <v>143</v>
      </c>
      <c r="C96" s="117">
        <v>66686.097132752606</v>
      </c>
      <c r="D96" s="117">
        <v>72945.580822031203</v>
      </c>
      <c r="E96" s="117">
        <v>87520.419628118601</v>
      </c>
      <c r="F96" s="117">
        <v>89874.681954153406</v>
      </c>
      <c r="G96" s="117">
        <v>116336.945162754</v>
      </c>
      <c r="H96" s="117">
        <v>110518.087556738</v>
      </c>
      <c r="I96" s="117">
        <v>99958.115604770297</v>
      </c>
      <c r="J96" s="117">
        <v>134404</v>
      </c>
      <c r="K96" s="117">
        <v>144899</v>
      </c>
    </row>
    <row r="97" spans="1:11" s="118" customFormat="1" ht="15" customHeight="1">
      <c r="A97" s="112" t="s">
        <v>150</v>
      </c>
      <c r="B97" s="113" t="s">
        <v>176</v>
      </c>
      <c r="C97" s="114">
        <v>2876162.4256120371</v>
      </c>
      <c r="D97" s="114">
        <v>3271156.8152086781</v>
      </c>
      <c r="E97" s="114">
        <v>3824062.8513131058</v>
      </c>
      <c r="F97" s="114">
        <v>4259587.0576226832</v>
      </c>
      <c r="G97" s="114">
        <v>4966831.974718417</v>
      </c>
      <c r="H97" s="114">
        <v>5710261.3730011433</v>
      </c>
      <c r="I97" s="114">
        <v>6316189.5035543768</v>
      </c>
      <c r="J97" s="114">
        <v>7246521</v>
      </c>
      <c r="K97" s="114">
        <v>7803609</v>
      </c>
    </row>
    <row r="98" spans="1:11" s="118" customFormat="1" ht="3.75" customHeight="1">
      <c r="B98" s="143"/>
      <c r="C98" s="125"/>
      <c r="D98" s="125"/>
      <c r="E98" s="125"/>
      <c r="F98" s="125"/>
      <c r="G98" s="125"/>
      <c r="H98" s="125"/>
      <c r="I98" s="125"/>
      <c r="J98" s="125"/>
      <c r="K98" s="125"/>
    </row>
    <row r="99" spans="1:11" s="118" customFormat="1" ht="15" customHeight="1">
      <c r="A99" s="112" t="s">
        <v>150</v>
      </c>
      <c r="B99" s="113" t="s">
        <v>177</v>
      </c>
      <c r="C99" s="114">
        <v>1242411.4744677315</v>
      </c>
      <c r="D99" s="114">
        <v>1472287.2149640985</v>
      </c>
      <c r="E99" s="114">
        <v>1695898.8988225311</v>
      </c>
      <c r="F99" s="114">
        <v>1928943.801189248</v>
      </c>
      <c r="G99" s="114">
        <v>2202917.6765297344</v>
      </c>
      <c r="H99" s="114">
        <v>2330804.5717528965</v>
      </c>
      <c r="I99" s="114">
        <v>2393287.8417048068</v>
      </c>
      <c r="J99" s="114">
        <v>2379023</v>
      </c>
      <c r="K99" s="114">
        <v>2546191</v>
      </c>
    </row>
    <row r="100" spans="1:11" s="118" customFormat="1" ht="9.75" customHeight="1">
      <c r="A100" s="135" t="s">
        <v>152</v>
      </c>
      <c r="B100" s="116" t="s">
        <v>99</v>
      </c>
      <c r="C100" s="125">
        <v>0</v>
      </c>
      <c r="D100" s="125">
        <v>0</v>
      </c>
      <c r="E100" s="125">
        <v>0</v>
      </c>
      <c r="F100" s="125">
        <v>0</v>
      </c>
      <c r="G100" s="125">
        <v>0</v>
      </c>
      <c r="H100" s="125">
        <v>0</v>
      </c>
      <c r="I100" s="125">
        <v>0</v>
      </c>
      <c r="J100" s="125">
        <v>0</v>
      </c>
      <c r="K100" s="125">
        <v>0</v>
      </c>
    </row>
    <row r="101" spans="1:11" s="118" customFormat="1" ht="9.75" customHeight="1">
      <c r="A101" s="135" t="s">
        <v>153</v>
      </c>
      <c r="B101" s="116" t="s">
        <v>101</v>
      </c>
      <c r="C101" s="117">
        <v>0</v>
      </c>
      <c r="D101" s="117">
        <v>0</v>
      </c>
      <c r="E101" s="117">
        <v>0</v>
      </c>
      <c r="F101" s="117">
        <v>0</v>
      </c>
      <c r="G101" s="117">
        <v>0</v>
      </c>
      <c r="H101" s="117">
        <v>0</v>
      </c>
      <c r="I101" s="117">
        <v>0</v>
      </c>
      <c r="J101" s="117">
        <v>0</v>
      </c>
      <c r="K101" s="117">
        <v>0</v>
      </c>
    </row>
    <row r="102" spans="1:11" s="118" customFormat="1" ht="9.75" customHeight="1">
      <c r="A102" s="136" t="s">
        <v>154</v>
      </c>
      <c r="B102" s="116" t="s">
        <v>103</v>
      </c>
      <c r="C102" s="117">
        <v>0</v>
      </c>
      <c r="D102" s="117">
        <v>0</v>
      </c>
      <c r="E102" s="117">
        <v>0</v>
      </c>
      <c r="F102" s="117">
        <v>0</v>
      </c>
      <c r="G102" s="117">
        <v>0</v>
      </c>
      <c r="H102" s="117">
        <v>0</v>
      </c>
      <c r="I102" s="117">
        <v>0</v>
      </c>
      <c r="J102" s="117">
        <v>0</v>
      </c>
      <c r="K102" s="117">
        <v>0</v>
      </c>
    </row>
    <row r="103" spans="1:11" s="118" customFormat="1" ht="9.75" customHeight="1">
      <c r="A103" s="136" t="s">
        <v>155</v>
      </c>
      <c r="B103" s="116" t="s">
        <v>105</v>
      </c>
      <c r="C103" s="117">
        <v>0</v>
      </c>
      <c r="D103" s="117">
        <v>0</v>
      </c>
      <c r="E103" s="117">
        <v>0</v>
      </c>
      <c r="F103" s="117">
        <v>0</v>
      </c>
      <c r="G103" s="117">
        <v>0</v>
      </c>
      <c r="H103" s="117">
        <v>0</v>
      </c>
      <c r="I103" s="117">
        <v>0</v>
      </c>
      <c r="J103" s="117">
        <v>0</v>
      </c>
      <c r="K103" s="117">
        <v>0</v>
      </c>
    </row>
    <row r="104" spans="1:11" s="118" customFormat="1" ht="9.75" customHeight="1">
      <c r="A104" s="137" t="s">
        <v>156</v>
      </c>
      <c r="B104" s="116" t="s">
        <v>107</v>
      </c>
      <c r="C104" s="117">
        <v>0</v>
      </c>
      <c r="D104" s="117">
        <v>0</v>
      </c>
      <c r="E104" s="117">
        <v>0</v>
      </c>
      <c r="F104" s="117">
        <v>0</v>
      </c>
      <c r="G104" s="117">
        <v>0</v>
      </c>
      <c r="H104" s="117">
        <v>0</v>
      </c>
      <c r="I104" s="117">
        <v>0</v>
      </c>
      <c r="J104" s="117">
        <v>0</v>
      </c>
      <c r="K104" s="117">
        <v>0</v>
      </c>
    </row>
    <row r="105" spans="1:11" s="118" customFormat="1" ht="9.75" customHeight="1">
      <c r="A105" s="138" t="s">
        <v>157</v>
      </c>
      <c r="B105" s="116" t="s">
        <v>109</v>
      </c>
      <c r="C105" s="117">
        <v>0</v>
      </c>
      <c r="D105" s="117">
        <v>0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17">
        <v>0</v>
      </c>
    </row>
    <row r="106" spans="1:11" s="118" customFormat="1" ht="9.75" customHeight="1">
      <c r="A106" s="136" t="s">
        <v>158</v>
      </c>
      <c r="B106" s="116" t="s">
        <v>111</v>
      </c>
      <c r="C106" s="117">
        <v>0</v>
      </c>
      <c r="D106" s="117">
        <v>0</v>
      </c>
      <c r="E106" s="117">
        <v>0</v>
      </c>
      <c r="F106" s="117">
        <v>0</v>
      </c>
      <c r="G106" s="117">
        <v>0</v>
      </c>
      <c r="H106" s="117">
        <v>0</v>
      </c>
      <c r="I106" s="117">
        <v>0</v>
      </c>
      <c r="J106" s="117">
        <v>0</v>
      </c>
      <c r="K106" s="117">
        <v>0</v>
      </c>
    </row>
    <row r="107" spans="1:11" s="118" customFormat="1" ht="9.75" customHeight="1">
      <c r="A107" s="136" t="s">
        <v>159</v>
      </c>
      <c r="B107" s="119" t="s">
        <v>113</v>
      </c>
      <c r="C107" s="117">
        <v>0</v>
      </c>
      <c r="D107" s="117">
        <v>0</v>
      </c>
      <c r="E107" s="117">
        <v>0</v>
      </c>
      <c r="F107" s="117">
        <v>0</v>
      </c>
      <c r="G107" s="117">
        <v>0</v>
      </c>
      <c r="H107" s="117">
        <v>0</v>
      </c>
      <c r="I107" s="117">
        <v>0</v>
      </c>
      <c r="J107" s="117">
        <v>0</v>
      </c>
      <c r="K107" s="117">
        <v>0</v>
      </c>
    </row>
    <row r="108" spans="1:11" s="118" customFormat="1" ht="9.75" customHeight="1">
      <c r="A108" s="139" t="s">
        <v>160</v>
      </c>
      <c r="B108" s="120" t="s">
        <v>115</v>
      </c>
      <c r="C108" s="117">
        <v>886982.85656191199</v>
      </c>
      <c r="D108" s="117">
        <v>1049112.6706230571</v>
      </c>
      <c r="E108" s="117">
        <v>1218345.532104979</v>
      </c>
      <c r="F108" s="117">
        <v>1405889.0469625869</v>
      </c>
      <c r="G108" s="117">
        <v>1605322.1763008891</v>
      </c>
      <c r="H108" s="117">
        <v>1706804.538106078</v>
      </c>
      <c r="I108" s="117">
        <v>1761183.9172744099</v>
      </c>
      <c r="J108" s="117">
        <v>2026903</v>
      </c>
      <c r="K108" s="117">
        <v>2191821</v>
      </c>
    </row>
    <row r="109" spans="1:11" s="118" customFormat="1" ht="9.75" customHeight="1">
      <c r="A109" s="140" t="s">
        <v>161</v>
      </c>
      <c r="B109" s="120" t="s">
        <v>111</v>
      </c>
      <c r="C109" s="117">
        <v>137517.49997384701</v>
      </c>
      <c r="D109" s="117">
        <v>159139.14544548001</v>
      </c>
      <c r="E109" s="117">
        <v>179148.62477427899</v>
      </c>
      <c r="F109" s="117">
        <v>206530.51749829701</v>
      </c>
      <c r="G109" s="117">
        <v>236083.360150469</v>
      </c>
      <c r="H109" s="117">
        <v>250973.368676468</v>
      </c>
      <c r="I109" s="117">
        <v>277919.34756158001</v>
      </c>
      <c r="J109" s="117">
        <v>106062</v>
      </c>
      <c r="K109" s="117">
        <v>116493</v>
      </c>
    </row>
    <row r="110" spans="1:11" s="118" customFormat="1" ht="9.75" customHeight="1">
      <c r="A110" s="141" t="s">
        <v>162</v>
      </c>
      <c r="B110" s="120" t="s">
        <v>113</v>
      </c>
      <c r="C110" s="117">
        <v>749465.35658806504</v>
      </c>
      <c r="D110" s="117">
        <v>889973.52517757704</v>
      </c>
      <c r="E110" s="117">
        <v>1039196.9073307</v>
      </c>
      <c r="F110" s="117">
        <v>1199358.52946429</v>
      </c>
      <c r="G110" s="117">
        <v>1369238.8161504201</v>
      </c>
      <c r="H110" s="117">
        <v>1455831.16942961</v>
      </c>
      <c r="I110" s="117">
        <v>1483264.56971283</v>
      </c>
      <c r="J110" s="117">
        <v>1920841</v>
      </c>
      <c r="K110" s="117">
        <v>2075328</v>
      </c>
    </row>
    <row r="111" spans="1:11" s="118" customFormat="1" ht="9.75" customHeight="1">
      <c r="A111" s="142" t="s">
        <v>163</v>
      </c>
      <c r="B111" s="120" t="s">
        <v>119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</row>
    <row r="112" spans="1:11" s="118" customFormat="1" ht="9.75" customHeight="1">
      <c r="A112" s="140" t="s">
        <v>164</v>
      </c>
      <c r="B112" s="120" t="s">
        <v>121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</row>
    <row r="113" spans="1:11" s="118" customFormat="1" ht="9.75" customHeight="1">
      <c r="A113" s="140" t="s">
        <v>165</v>
      </c>
      <c r="B113" s="121" t="s">
        <v>123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</row>
    <row r="114" spans="1:11" s="118" customFormat="1" ht="9.75" customHeight="1">
      <c r="A114" s="140" t="s">
        <v>166</v>
      </c>
      <c r="B114" s="121" t="s">
        <v>125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</row>
    <row r="115" spans="1:11" s="118" customFormat="1" ht="9.75" customHeight="1">
      <c r="A115" s="140" t="s">
        <v>167</v>
      </c>
      <c r="B115" s="121" t="s">
        <v>127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</row>
    <row r="116" spans="1:11" s="118" customFormat="1" ht="9.75" customHeight="1">
      <c r="A116" s="142" t="s">
        <v>168</v>
      </c>
      <c r="B116" s="121" t="s">
        <v>129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</row>
    <row r="117" spans="1:11" s="118" customFormat="1" ht="9.75" customHeight="1">
      <c r="A117" s="140" t="s">
        <v>169</v>
      </c>
      <c r="B117" s="121" t="s">
        <v>131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</row>
    <row r="118" spans="1:11" s="118" customFormat="1" ht="9.75" customHeight="1">
      <c r="A118" s="141" t="s">
        <v>170</v>
      </c>
      <c r="B118" s="121" t="s">
        <v>133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</row>
    <row r="119" spans="1:11" s="118" customFormat="1" ht="9.75" customHeight="1">
      <c r="A119" s="140" t="s">
        <v>171</v>
      </c>
      <c r="B119" s="121" t="s">
        <v>135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</row>
    <row r="120" spans="1:11" s="118" customFormat="1" ht="9.75" customHeight="1">
      <c r="A120" s="142" t="s">
        <v>172</v>
      </c>
      <c r="B120" s="121" t="s">
        <v>137</v>
      </c>
      <c r="C120" s="117">
        <v>1681.05944153777</v>
      </c>
      <c r="D120" s="117">
        <v>1411.3405546961999</v>
      </c>
      <c r="E120" s="117">
        <v>2035.8731026754399</v>
      </c>
      <c r="F120" s="117">
        <v>2308.4583976662698</v>
      </c>
      <c r="G120" s="117">
        <v>2581.94511021381</v>
      </c>
      <c r="H120" s="117">
        <v>7361.9550063779598</v>
      </c>
      <c r="I120" s="117">
        <v>5004.4707809900001</v>
      </c>
      <c r="J120" s="117">
        <v>5381</v>
      </c>
      <c r="K120" s="117">
        <v>3942</v>
      </c>
    </row>
    <row r="121" spans="1:11" s="118" customFormat="1" ht="9.75" customHeight="1">
      <c r="A121" s="142" t="s">
        <v>173</v>
      </c>
      <c r="B121" s="121" t="s">
        <v>139</v>
      </c>
      <c r="C121" s="117">
        <v>353747.5584642819</v>
      </c>
      <c r="D121" s="117">
        <v>421763.2037863452</v>
      </c>
      <c r="E121" s="117">
        <v>475517.4936148767</v>
      </c>
      <c r="F121" s="117">
        <v>520746.29582899471</v>
      </c>
      <c r="G121" s="117">
        <v>595013.55511863146</v>
      </c>
      <c r="H121" s="117">
        <v>616638.0786404406</v>
      </c>
      <c r="I121" s="117">
        <v>627099.4536494069</v>
      </c>
      <c r="J121" s="117">
        <v>346739</v>
      </c>
      <c r="K121" s="117">
        <v>350428</v>
      </c>
    </row>
    <row r="122" spans="1:11" s="118" customFormat="1" ht="9.75" customHeight="1">
      <c r="A122" s="141" t="s">
        <v>174</v>
      </c>
      <c r="B122" s="120" t="s">
        <v>141</v>
      </c>
      <c r="C122" s="117">
        <v>14961.0339893159</v>
      </c>
      <c r="D122" s="117">
        <v>18057.333652516201</v>
      </c>
      <c r="E122" s="117">
        <v>22281.199603891699</v>
      </c>
      <c r="F122" s="117">
        <v>23316.244146580699</v>
      </c>
      <c r="G122" s="117">
        <v>22569.942445240398</v>
      </c>
      <c r="H122" s="117">
        <v>25767.579613382601</v>
      </c>
      <c r="I122" s="117">
        <v>24549.2247000108</v>
      </c>
      <c r="J122" s="117">
        <v>57374</v>
      </c>
      <c r="K122" s="117">
        <v>60447</v>
      </c>
    </row>
    <row r="123" spans="1:11" s="118" customFormat="1" ht="9.75" customHeight="1">
      <c r="A123" s="135" t="s">
        <v>175</v>
      </c>
      <c r="B123" s="120" t="s">
        <v>143</v>
      </c>
      <c r="C123" s="117">
        <v>338786.52447496599</v>
      </c>
      <c r="D123" s="117">
        <v>403705.87013382901</v>
      </c>
      <c r="E123" s="117">
        <v>453236.294010985</v>
      </c>
      <c r="F123" s="117">
        <v>497430.05168241402</v>
      </c>
      <c r="G123" s="117">
        <v>572443.61267339101</v>
      </c>
      <c r="H123" s="117">
        <v>590870.49902705802</v>
      </c>
      <c r="I123" s="117">
        <v>602550.22894939606</v>
      </c>
      <c r="J123" s="117">
        <v>289365</v>
      </c>
      <c r="K123" s="117">
        <v>289981</v>
      </c>
    </row>
    <row r="124" spans="1:11" s="118" customFormat="1" ht="15" customHeight="1">
      <c r="A124" s="112" t="s">
        <v>178</v>
      </c>
      <c r="B124" s="113" t="s">
        <v>179</v>
      </c>
      <c r="C124" s="114">
        <v>1242411.4744677315</v>
      </c>
      <c r="D124" s="114">
        <v>1472287.2149640985</v>
      </c>
      <c r="E124" s="114">
        <v>1695898.8988225311</v>
      </c>
      <c r="F124" s="114">
        <v>1928943.801189248</v>
      </c>
      <c r="G124" s="114">
        <v>2202917.6765297344</v>
      </c>
      <c r="H124" s="114">
        <v>2330804.5717528965</v>
      </c>
      <c r="I124" s="114">
        <v>2393287.8417048068</v>
      </c>
      <c r="J124" s="114">
        <v>2379023</v>
      </c>
      <c r="K124" s="114">
        <v>2546191</v>
      </c>
    </row>
    <row r="125" spans="1:11" ht="15" customHeight="1">
      <c r="A125" s="144" t="s">
        <v>180</v>
      </c>
      <c r="B125" s="145" t="s">
        <v>181</v>
      </c>
      <c r="C125" s="146">
        <f t="shared" ref="C125:H125" si="1">C97-C124</f>
        <v>1633750.9511443055</v>
      </c>
      <c r="D125" s="146">
        <f t="shared" si="1"/>
        <v>1798869.6002445796</v>
      </c>
      <c r="E125" s="146">
        <f t="shared" si="1"/>
        <v>2128163.9524905747</v>
      </c>
      <c r="F125" s="146">
        <f t="shared" si="1"/>
        <v>2330643.2564334353</v>
      </c>
      <c r="G125" s="146">
        <f t="shared" si="1"/>
        <v>2763914.2981886826</v>
      </c>
      <c r="H125" s="146">
        <f t="shared" si="1"/>
        <v>3379456.8012482468</v>
      </c>
      <c r="I125" s="146">
        <f>I97-I124</f>
        <v>3922901.66184957</v>
      </c>
      <c r="J125" s="146">
        <f>J97-J124</f>
        <v>4867498</v>
      </c>
      <c r="K125" s="146">
        <f>K97-K124</f>
        <v>5257418</v>
      </c>
    </row>
    <row r="126" spans="1:11" s="150" customFormat="1" ht="6" customHeight="1">
      <c r="A126" s="147"/>
      <c r="B126" s="148"/>
      <c r="C126" s="149"/>
      <c r="D126" s="149"/>
      <c r="E126" s="149"/>
      <c r="F126" s="149"/>
      <c r="G126" s="149"/>
      <c r="H126" s="149"/>
      <c r="I126" s="149"/>
      <c r="J126" s="149"/>
      <c r="K126" s="149"/>
    </row>
    <row r="127" spans="1:11" s="132" customFormat="1" ht="11" customHeight="1">
      <c r="A127" s="8" t="s">
        <v>90</v>
      </c>
      <c r="B127" s="95"/>
    </row>
  </sheetData>
  <mergeCells count="2">
    <mergeCell ref="A4:B5"/>
    <mergeCell ref="A68:B69"/>
  </mergeCells>
  <printOptions horizontalCentered="1"/>
  <pageMargins left="0.59055118110236227" right="0.59055118110236227" top="1.1811023622047245" bottom="1.1811023622047245" header="0.31496062992125984" footer="0.19685039370078741"/>
  <pageSetup paperSize="9" orientation="portrait" horizontalDpi="4294967293" verticalDpi="0"/>
  <rowBreaks count="1" manualBreakCount="1"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FamíliaISFLSF_CFin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2021-02-25T11:00:44Z</dcterms:created>
  <dcterms:modified xsi:type="dcterms:W3CDTF">2021-03-15T17:30:16Z</dcterms:modified>
</cp:coreProperties>
</file>