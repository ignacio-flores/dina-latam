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02"/>
  <workbookPr/>
  <mc:AlternateContent xmlns:mc="http://schemas.openxmlformats.org/markup-compatibility/2006">
    <mc:Choice Requires="x15">
      <x15ac:absPath xmlns:x15ac="http://schemas.microsoft.com/office/spreadsheetml/2010/11/ac" url="C:\Users\Mauricio de Rosa\Dropbox (Desigualdad)\LATAM-WIL\Data\Tax-data\CHL\eff-tax-rate\"/>
    </mc:Choice>
  </mc:AlternateContent>
  <xr:revisionPtr revIDLastSave="0" documentId="13_ncr:1_{2816BE36-A1AF-4FBC-8AB1-3CFCC0BA2607}" xr6:coauthVersionLast="36" xr6:coauthVersionMax="36" xr10:uidLastSave="{00000000-0000-0000-0000-000000000000}"/>
  <bookViews>
    <workbookView xWindow="0" yWindow="0" windowWidth="23040" windowHeight="9390" activeTab="16" xr2:uid="{00000000-000D-0000-FFFF-FFFF00000000}"/>
  </bookViews>
  <sheets>
    <sheet name="Summary" sheetId="1" r:id="rId1"/>
    <sheet name="2005" sheetId="2" r:id="rId2"/>
    <sheet name="2006" sheetId="3" r:id="rId3"/>
    <sheet name="2007" sheetId="4" r:id="rId4"/>
    <sheet name="2008" sheetId="5" r:id="rId5"/>
    <sheet name="2009" sheetId="6" r:id="rId6"/>
    <sheet name="2010" sheetId="7" r:id="rId7"/>
    <sheet name="2011" sheetId="8" r:id="rId8"/>
    <sheet name="2012" sheetId="9" r:id="rId9"/>
    <sheet name="2013" sheetId="10" r:id="rId10"/>
    <sheet name="2014" sheetId="11" r:id="rId11"/>
    <sheet name="2015" sheetId="12" r:id="rId12"/>
    <sheet name="2016" sheetId="13" r:id="rId13"/>
    <sheet name="2017" sheetId="14" r:id="rId14"/>
    <sheet name="2018" sheetId="16" r:id="rId15"/>
    <sheet name="2019" sheetId="17" r:id="rId16"/>
    <sheet name="2020" sheetId="15" r:id="rId17"/>
  </sheets>
  <externalReferences>
    <externalReference r:id="rId18"/>
    <externalReference r:id="rId19"/>
  </externalReferenc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11" i="15" l="1"/>
  <c r="C11" i="15"/>
  <c r="D11" i="15"/>
  <c r="B4" i="17"/>
  <c r="C4" i="17"/>
  <c r="D4" i="17"/>
  <c r="B5" i="17"/>
  <c r="C5" i="17"/>
  <c r="D5" i="17"/>
  <c r="B6" i="17"/>
  <c r="C6" i="17"/>
  <c r="D6" i="17"/>
  <c r="B7" i="17"/>
  <c r="C7" i="17"/>
  <c r="D7" i="17"/>
  <c r="B8" i="17"/>
  <c r="C8" i="17"/>
  <c r="D8" i="17"/>
  <c r="B9" i="17"/>
  <c r="C9" i="17"/>
  <c r="D9" i="17"/>
  <c r="B10" i="17"/>
  <c r="C10" i="17"/>
  <c r="D10" i="17"/>
  <c r="C3" i="17"/>
  <c r="D3" i="17"/>
  <c r="B3" i="17"/>
  <c r="B4" i="16"/>
  <c r="C4" i="16"/>
  <c r="D4" i="16"/>
  <c r="B5" i="16"/>
  <c r="C5" i="16"/>
  <c r="D5" i="16"/>
  <c r="B6" i="16"/>
  <c r="C6" i="16"/>
  <c r="D6" i="16"/>
  <c r="B7" i="16"/>
  <c r="C7" i="16"/>
  <c r="D7" i="16"/>
  <c r="B8" i="16"/>
  <c r="C8" i="16"/>
  <c r="D8" i="16"/>
  <c r="B9" i="16"/>
  <c r="C9" i="16"/>
  <c r="D9" i="16"/>
  <c r="B10" i="16"/>
  <c r="C10" i="16"/>
  <c r="D10" i="16"/>
  <c r="C3" i="16"/>
  <c r="D3" i="16"/>
  <c r="B3" i="16"/>
  <c r="D2" i="17"/>
  <c r="C2" i="17"/>
  <c r="B2" i="17"/>
  <c r="D2" i="16"/>
  <c r="C2" i="16"/>
  <c r="B2" i="16"/>
  <c r="B4" i="15" l="1"/>
  <c r="C4" i="15"/>
  <c r="D4" i="15"/>
  <c r="B5" i="15"/>
  <c r="C5" i="15"/>
  <c r="D5" i="15"/>
  <c r="B6" i="15"/>
  <c r="C6" i="15"/>
  <c r="D6" i="15"/>
  <c r="B7" i="15"/>
  <c r="C7" i="15"/>
  <c r="D7" i="15"/>
  <c r="B8" i="15"/>
  <c r="C8" i="15"/>
  <c r="D8" i="15"/>
  <c r="B9" i="15"/>
  <c r="C9" i="15"/>
  <c r="D9" i="15"/>
  <c r="B10" i="15"/>
  <c r="C10" i="15"/>
  <c r="D10" i="15"/>
  <c r="C3" i="15"/>
  <c r="D3" i="15"/>
  <c r="B3" i="15"/>
  <c r="D2" i="15"/>
  <c r="C2" i="15"/>
  <c r="B2" i="15"/>
  <c r="L110" i="1" l="1"/>
  <c r="P110" i="1" s="1"/>
  <c r="M110" i="1"/>
  <c r="Q110" i="1" s="1"/>
  <c r="R110" i="1" s="1"/>
  <c r="N110" i="1"/>
  <c r="L111" i="1"/>
  <c r="M111" i="1"/>
  <c r="Q111" i="1" s="1"/>
  <c r="R111" i="1" s="1"/>
  <c r="N111" i="1"/>
  <c r="P111" i="1"/>
  <c r="L112" i="1"/>
  <c r="M112" i="1"/>
  <c r="Q112" i="1" s="1"/>
  <c r="R112" i="1" s="1"/>
  <c r="N112" i="1"/>
  <c r="P112" i="1"/>
  <c r="L113" i="1"/>
  <c r="M113" i="1"/>
  <c r="Q113" i="1" s="1"/>
  <c r="R113" i="1" s="1"/>
  <c r="N113" i="1"/>
  <c r="P113" i="1"/>
  <c r="L114" i="1"/>
  <c r="M114" i="1"/>
  <c r="Q114" i="1" s="1"/>
  <c r="R114" i="1" s="1"/>
  <c r="N114" i="1"/>
  <c r="P114" i="1"/>
  <c r="L115" i="1"/>
  <c r="M115" i="1"/>
  <c r="Q115" i="1" s="1"/>
  <c r="R115" i="1" s="1"/>
  <c r="N115" i="1"/>
  <c r="P115" i="1"/>
  <c r="L116" i="1"/>
  <c r="M116" i="1"/>
  <c r="Q116" i="1" s="1"/>
  <c r="R116" i="1" s="1"/>
  <c r="N116" i="1"/>
  <c r="P116" i="1"/>
  <c r="L117" i="1"/>
  <c r="M117" i="1"/>
  <c r="Q117" i="1" s="1"/>
  <c r="R117" i="1" s="1"/>
  <c r="N117" i="1"/>
  <c r="P117" i="1"/>
  <c r="L118" i="1"/>
  <c r="M118" i="1"/>
  <c r="Q118" i="1" s="1"/>
  <c r="R118" i="1" s="1"/>
  <c r="N118" i="1"/>
  <c r="P118" i="1"/>
  <c r="L119" i="1"/>
  <c r="M119" i="1"/>
  <c r="Q119" i="1" s="1"/>
  <c r="R119" i="1" s="1"/>
  <c r="N119" i="1"/>
  <c r="P119" i="1"/>
  <c r="L120" i="1"/>
  <c r="M120" i="1"/>
  <c r="Q120" i="1" s="1"/>
  <c r="R120" i="1" s="1"/>
  <c r="N120" i="1"/>
  <c r="P120" i="1"/>
  <c r="L121" i="1"/>
  <c r="M121" i="1"/>
  <c r="Q121" i="1" s="1"/>
  <c r="R121" i="1" s="1"/>
  <c r="N121" i="1"/>
  <c r="P121" i="1"/>
  <c r="L122" i="1"/>
  <c r="M122" i="1"/>
  <c r="Q122" i="1" s="1"/>
  <c r="R122" i="1" s="1"/>
  <c r="N122" i="1"/>
  <c r="P122" i="1"/>
  <c r="L123" i="1"/>
  <c r="M123" i="1"/>
  <c r="Q123" i="1" s="1"/>
  <c r="R123" i="1" s="1"/>
  <c r="N123" i="1"/>
  <c r="P123" i="1"/>
  <c r="L124" i="1"/>
  <c r="M124" i="1"/>
  <c r="Q124" i="1" s="1"/>
  <c r="R124" i="1" s="1"/>
  <c r="N124" i="1"/>
  <c r="P124" i="1"/>
  <c r="L125" i="1"/>
  <c r="M125" i="1"/>
  <c r="Q125" i="1" s="1"/>
  <c r="R125" i="1" s="1"/>
  <c r="N125" i="1"/>
  <c r="P125" i="1"/>
  <c r="L126" i="1"/>
  <c r="M126" i="1"/>
  <c r="Q126" i="1" s="1"/>
  <c r="R126" i="1" s="1"/>
  <c r="N126" i="1"/>
  <c r="P126" i="1"/>
  <c r="L127" i="1"/>
  <c r="M127" i="1"/>
  <c r="Q127" i="1" s="1"/>
  <c r="R127" i="1" s="1"/>
  <c r="N127" i="1"/>
  <c r="P127" i="1"/>
  <c r="L128" i="1"/>
  <c r="M128" i="1"/>
  <c r="Q128" i="1" s="1"/>
  <c r="R128" i="1" s="1"/>
  <c r="N128" i="1"/>
  <c r="P128" i="1"/>
  <c r="L129" i="1"/>
  <c r="M129" i="1"/>
  <c r="Q129" i="1" s="1"/>
  <c r="R129" i="1" s="1"/>
  <c r="N129" i="1"/>
  <c r="P129" i="1"/>
  <c r="L130" i="1"/>
  <c r="P130" i="1" s="1"/>
  <c r="M130" i="1"/>
  <c r="Q130" i="1" s="1"/>
  <c r="N130" i="1"/>
  <c r="L131" i="1"/>
  <c r="M131" i="1"/>
  <c r="Q131" i="1" s="1"/>
  <c r="R131" i="1" s="1"/>
  <c r="N131" i="1"/>
  <c r="P131" i="1"/>
  <c r="L132" i="1"/>
  <c r="P132" i="1" s="1"/>
  <c r="M132" i="1"/>
  <c r="Q132" i="1" s="1"/>
  <c r="N132" i="1"/>
  <c r="L133" i="1"/>
  <c r="M133" i="1"/>
  <c r="Q133" i="1" s="1"/>
  <c r="R133" i="1" s="1"/>
  <c r="N133" i="1"/>
  <c r="P133" i="1"/>
  <c r="L134" i="1"/>
  <c r="P134" i="1" s="1"/>
  <c r="M134" i="1"/>
  <c r="Q134" i="1" s="1"/>
  <c r="R134" i="1" s="1"/>
  <c r="N134" i="1"/>
  <c r="L135" i="1"/>
  <c r="M135" i="1"/>
  <c r="Q135" i="1" s="1"/>
  <c r="R135" i="1" s="1"/>
  <c r="N135" i="1"/>
  <c r="P135" i="1"/>
  <c r="L136" i="1"/>
  <c r="P136" i="1" s="1"/>
  <c r="M136" i="1"/>
  <c r="Q136" i="1" s="1"/>
  <c r="N136" i="1"/>
  <c r="L137" i="1"/>
  <c r="M137" i="1"/>
  <c r="Q137" i="1" s="1"/>
  <c r="R137" i="1" s="1"/>
  <c r="N137" i="1"/>
  <c r="P137" i="1"/>
  <c r="L138" i="1"/>
  <c r="P138" i="1" s="1"/>
  <c r="M138" i="1"/>
  <c r="Q138" i="1" s="1"/>
  <c r="R138" i="1" s="1"/>
  <c r="N138" i="1"/>
  <c r="L139" i="1"/>
  <c r="M139" i="1"/>
  <c r="Q139" i="1" s="1"/>
  <c r="R139" i="1" s="1"/>
  <c r="N139" i="1"/>
  <c r="P139" i="1"/>
  <c r="J133" i="1"/>
  <c r="J134" i="1"/>
  <c r="J135" i="1"/>
  <c r="J136" i="1"/>
  <c r="J137" i="1"/>
  <c r="J138" i="1"/>
  <c r="J139" i="1"/>
  <c r="J132" i="1"/>
  <c r="J125" i="1"/>
  <c r="J126" i="1"/>
  <c r="J127" i="1"/>
  <c r="J128" i="1"/>
  <c r="J129" i="1"/>
  <c r="J130" i="1"/>
  <c r="J131" i="1"/>
  <c r="J124" i="1"/>
  <c r="J118" i="1"/>
  <c r="J119" i="1"/>
  <c r="J120" i="1"/>
  <c r="J121" i="1"/>
  <c r="J122" i="1"/>
  <c r="J123" i="1"/>
  <c r="J117" i="1"/>
  <c r="J111" i="1"/>
  <c r="J112" i="1"/>
  <c r="J113" i="1"/>
  <c r="J114" i="1"/>
  <c r="J115" i="1"/>
  <c r="J116" i="1"/>
  <c r="J110" i="1"/>
  <c r="D139" i="1"/>
  <c r="E139" i="1"/>
  <c r="F139" i="1"/>
  <c r="G139" i="1"/>
  <c r="H139" i="1"/>
  <c r="I139" i="1"/>
  <c r="D134" i="1"/>
  <c r="E134" i="1"/>
  <c r="F134" i="1"/>
  <c r="G134" i="1"/>
  <c r="H134" i="1"/>
  <c r="I134" i="1"/>
  <c r="D135" i="1"/>
  <c r="E135" i="1"/>
  <c r="F135" i="1"/>
  <c r="G135" i="1"/>
  <c r="H135" i="1"/>
  <c r="I135" i="1"/>
  <c r="D136" i="1"/>
  <c r="E136" i="1"/>
  <c r="F136" i="1"/>
  <c r="G136" i="1"/>
  <c r="H136" i="1"/>
  <c r="I136" i="1"/>
  <c r="D137" i="1"/>
  <c r="E137" i="1"/>
  <c r="F137" i="1"/>
  <c r="G137" i="1"/>
  <c r="H137" i="1"/>
  <c r="I137" i="1"/>
  <c r="D138" i="1"/>
  <c r="E138" i="1"/>
  <c r="F138" i="1"/>
  <c r="G138" i="1"/>
  <c r="H138" i="1"/>
  <c r="I138" i="1"/>
  <c r="D7" i="1"/>
  <c r="E7" i="1"/>
  <c r="F7" i="1"/>
  <c r="G7" i="1"/>
  <c r="H7" i="1"/>
  <c r="I7" i="1"/>
  <c r="D8" i="1"/>
  <c r="E8" i="1"/>
  <c r="F8" i="1"/>
  <c r="G8" i="1"/>
  <c r="H8" i="1"/>
  <c r="I8" i="1"/>
  <c r="D9" i="1"/>
  <c r="E9" i="1"/>
  <c r="F9" i="1"/>
  <c r="G9" i="1"/>
  <c r="H9" i="1"/>
  <c r="I9" i="1"/>
  <c r="D10" i="1"/>
  <c r="E10" i="1"/>
  <c r="F10" i="1"/>
  <c r="G10" i="1"/>
  <c r="H10" i="1"/>
  <c r="I10" i="1"/>
  <c r="D11" i="1"/>
  <c r="E11" i="1"/>
  <c r="F11" i="1"/>
  <c r="G11" i="1"/>
  <c r="H11" i="1"/>
  <c r="I11" i="1"/>
  <c r="D12" i="1"/>
  <c r="E12" i="1"/>
  <c r="F12" i="1"/>
  <c r="G12" i="1"/>
  <c r="H12" i="1"/>
  <c r="I12" i="1"/>
  <c r="D13" i="1"/>
  <c r="E13" i="1"/>
  <c r="F13" i="1"/>
  <c r="G13" i="1"/>
  <c r="H13" i="1"/>
  <c r="I13" i="1"/>
  <c r="D14" i="1"/>
  <c r="E14" i="1"/>
  <c r="F14" i="1"/>
  <c r="G14" i="1"/>
  <c r="H14" i="1"/>
  <c r="I14" i="1"/>
  <c r="D15" i="1"/>
  <c r="E15" i="1"/>
  <c r="F15" i="1"/>
  <c r="G15" i="1"/>
  <c r="H15" i="1"/>
  <c r="I15" i="1"/>
  <c r="D16" i="1"/>
  <c r="E16" i="1"/>
  <c r="F16" i="1"/>
  <c r="G16" i="1"/>
  <c r="H16" i="1"/>
  <c r="I16" i="1"/>
  <c r="D17" i="1"/>
  <c r="E17" i="1"/>
  <c r="F17" i="1"/>
  <c r="G17" i="1"/>
  <c r="H17" i="1"/>
  <c r="I17" i="1"/>
  <c r="D18" i="1"/>
  <c r="E18" i="1"/>
  <c r="F18" i="1"/>
  <c r="G18" i="1"/>
  <c r="H18" i="1"/>
  <c r="I18" i="1"/>
  <c r="D19" i="1"/>
  <c r="E19" i="1"/>
  <c r="F19" i="1"/>
  <c r="G19" i="1"/>
  <c r="H19" i="1"/>
  <c r="I19" i="1"/>
  <c r="D20" i="1"/>
  <c r="E20" i="1"/>
  <c r="F20" i="1"/>
  <c r="G20" i="1"/>
  <c r="H20" i="1"/>
  <c r="I20" i="1"/>
  <c r="D21" i="1"/>
  <c r="E21" i="1"/>
  <c r="F21" i="1"/>
  <c r="G21" i="1"/>
  <c r="H21" i="1"/>
  <c r="I21" i="1"/>
  <c r="D22" i="1"/>
  <c r="E22" i="1"/>
  <c r="F22" i="1"/>
  <c r="G22" i="1"/>
  <c r="H22" i="1"/>
  <c r="I22" i="1"/>
  <c r="D23" i="1"/>
  <c r="E23" i="1"/>
  <c r="F23" i="1"/>
  <c r="G23" i="1"/>
  <c r="H23" i="1"/>
  <c r="I23" i="1"/>
  <c r="D24" i="1"/>
  <c r="E24" i="1"/>
  <c r="F24" i="1"/>
  <c r="G24" i="1"/>
  <c r="H24" i="1"/>
  <c r="I24" i="1"/>
  <c r="D25" i="1"/>
  <c r="E25" i="1"/>
  <c r="F25" i="1"/>
  <c r="G25" i="1"/>
  <c r="H25" i="1"/>
  <c r="I25" i="1"/>
  <c r="D26" i="1"/>
  <c r="E26" i="1"/>
  <c r="F26" i="1"/>
  <c r="G26" i="1"/>
  <c r="H26" i="1"/>
  <c r="I26" i="1"/>
  <c r="D27" i="1"/>
  <c r="E27" i="1"/>
  <c r="F27" i="1"/>
  <c r="G27" i="1"/>
  <c r="H27" i="1"/>
  <c r="I27" i="1"/>
  <c r="D28" i="1"/>
  <c r="E28" i="1"/>
  <c r="F28" i="1"/>
  <c r="G28" i="1"/>
  <c r="H28" i="1"/>
  <c r="I28" i="1"/>
  <c r="D29" i="1"/>
  <c r="E29" i="1"/>
  <c r="F29" i="1"/>
  <c r="G29" i="1"/>
  <c r="H29" i="1"/>
  <c r="I29" i="1"/>
  <c r="D30" i="1"/>
  <c r="E30" i="1"/>
  <c r="F30" i="1"/>
  <c r="G30" i="1"/>
  <c r="H30" i="1"/>
  <c r="I30" i="1"/>
  <c r="D31" i="1"/>
  <c r="E31" i="1"/>
  <c r="F31" i="1"/>
  <c r="G31" i="1"/>
  <c r="H31" i="1"/>
  <c r="I31" i="1"/>
  <c r="D32" i="1"/>
  <c r="E32" i="1"/>
  <c r="F32" i="1"/>
  <c r="G32" i="1"/>
  <c r="H32" i="1"/>
  <c r="I32" i="1"/>
  <c r="D33" i="1"/>
  <c r="E33" i="1"/>
  <c r="F33" i="1"/>
  <c r="G33" i="1"/>
  <c r="H33" i="1"/>
  <c r="I33" i="1"/>
  <c r="D34" i="1"/>
  <c r="E34" i="1"/>
  <c r="F34" i="1"/>
  <c r="G34" i="1"/>
  <c r="H34" i="1"/>
  <c r="I34" i="1"/>
  <c r="D35" i="1"/>
  <c r="E35" i="1"/>
  <c r="F35" i="1"/>
  <c r="G35" i="1"/>
  <c r="H35" i="1"/>
  <c r="I35" i="1"/>
  <c r="D36" i="1"/>
  <c r="E36" i="1"/>
  <c r="F36" i="1"/>
  <c r="G36" i="1"/>
  <c r="H36" i="1"/>
  <c r="I36" i="1"/>
  <c r="D37" i="1"/>
  <c r="E37" i="1"/>
  <c r="F37" i="1"/>
  <c r="G37" i="1"/>
  <c r="H37" i="1"/>
  <c r="I37" i="1"/>
  <c r="D38" i="1"/>
  <c r="E38" i="1"/>
  <c r="F38" i="1"/>
  <c r="G38" i="1"/>
  <c r="H38" i="1"/>
  <c r="I38" i="1"/>
  <c r="D39" i="1"/>
  <c r="E39" i="1"/>
  <c r="F39" i="1"/>
  <c r="G39" i="1"/>
  <c r="H39" i="1"/>
  <c r="I39" i="1"/>
  <c r="D40" i="1"/>
  <c r="E40" i="1"/>
  <c r="F40" i="1"/>
  <c r="G40" i="1"/>
  <c r="H40" i="1"/>
  <c r="I40" i="1"/>
  <c r="D41" i="1"/>
  <c r="E41" i="1"/>
  <c r="F41" i="1"/>
  <c r="G41" i="1"/>
  <c r="H41" i="1"/>
  <c r="I41" i="1"/>
  <c r="D42" i="1"/>
  <c r="E42" i="1"/>
  <c r="F42" i="1"/>
  <c r="G42" i="1"/>
  <c r="H42" i="1"/>
  <c r="I42" i="1"/>
  <c r="D43" i="1"/>
  <c r="E43" i="1"/>
  <c r="F43" i="1"/>
  <c r="G43" i="1"/>
  <c r="H43" i="1"/>
  <c r="I43" i="1"/>
  <c r="D44" i="1"/>
  <c r="E44" i="1"/>
  <c r="F44" i="1"/>
  <c r="G44" i="1"/>
  <c r="H44" i="1"/>
  <c r="I44" i="1"/>
  <c r="D45" i="1"/>
  <c r="E45" i="1"/>
  <c r="F45" i="1"/>
  <c r="G45" i="1"/>
  <c r="H45" i="1"/>
  <c r="I45" i="1"/>
  <c r="D46" i="1"/>
  <c r="E46" i="1"/>
  <c r="F46" i="1"/>
  <c r="G46" i="1"/>
  <c r="H46" i="1"/>
  <c r="I46" i="1"/>
  <c r="D47" i="1"/>
  <c r="E47" i="1"/>
  <c r="F47" i="1"/>
  <c r="G47" i="1"/>
  <c r="H47" i="1"/>
  <c r="I47" i="1"/>
  <c r="D48" i="1"/>
  <c r="E48" i="1"/>
  <c r="F48" i="1"/>
  <c r="G48" i="1"/>
  <c r="H48" i="1"/>
  <c r="I48" i="1"/>
  <c r="D49" i="1"/>
  <c r="E49" i="1"/>
  <c r="F49" i="1"/>
  <c r="G49" i="1"/>
  <c r="H49" i="1"/>
  <c r="I49" i="1"/>
  <c r="D50" i="1"/>
  <c r="E50" i="1"/>
  <c r="F50" i="1"/>
  <c r="G50" i="1"/>
  <c r="H50" i="1"/>
  <c r="I50" i="1"/>
  <c r="D51" i="1"/>
  <c r="E51" i="1"/>
  <c r="F51" i="1"/>
  <c r="G51" i="1"/>
  <c r="H51" i="1"/>
  <c r="I51" i="1"/>
  <c r="D52" i="1"/>
  <c r="E52" i="1"/>
  <c r="F52" i="1"/>
  <c r="G52" i="1"/>
  <c r="H52" i="1"/>
  <c r="I52" i="1"/>
  <c r="D53" i="1"/>
  <c r="E53" i="1"/>
  <c r="F53" i="1"/>
  <c r="G53" i="1"/>
  <c r="H53" i="1"/>
  <c r="I53" i="1"/>
  <c r="D54" i="1"/>
  <c r="E54" i="1"/>
  <c r="F54" i="1"/>
  <c r="G54" i="1"/>
  <c r="H54" i="1"/>
  <c r="I54" i="1"/>
  <c r="D55" i="1"/>
  <c r="E55" i="1"/>
  <c r="F55" i="1"/>
  <c r="G55" i="1"/>
  <c r="H55" i="1"/>
  <c r="I55" i="1"/>
  <c r="D56" i="1"/>
  <c r="E56" i="1"/>
  <c r="F56" i="1"/>
  <c r="G56" i="1"/>
  <c r="H56" i="1"/>
  <c r="I56" i="1"/>
  <c r="D57" i="1"/>
  <c r="E57" i="1"/>
  <c r="F57" i="1"/>
  <c r="G57" i="1"/>
  <c r="H57" i="1"/>
  <c r="I57" i="1"/>
  <c r="D58" i="1"/>
  <c r="E58" i="1"/>
  <c r="F58" i="1"/>
  <c r="G58" i="1"/>
  <c r="H58" i="1"/>
  <c r="I58" i="1"/>
  <c r="D59" i="1"/>
  <c r="E59" i="1"/>
  <c r="F59" i="1"/>
  <c r="G59" i="1"/>
  <c r="H59" i="1"/>
  <c r="I59" i="1"/>
  <c r="D60" i="1"/>
  <c r="E60" i="1"/>
  <c r="F60" i="1"/>
  <c r="G60" i="1"/>
  <c r="H60" i="1"/>
  <c r="I60" i="1"/>
  <c r="D61" i="1"/>
  <c r="E61" i="1"/>
  <c r="F61" i="1"/>
  <c r="G61" i="1"/>
  <c r="H61" i="1"/>
  <c r="I61" i="1"/>
  <c r="D62" i="1"/>
  <c r="E62" i="1"/>
  <c r="F62" i="1"/>
  <c r="G62" i="1"/>
  <c r="H62" i="1"/>
  <c r="I62" i="1"/>
  <c r="D63" i="1"/>
  <c r="E63" i="1"/>
  <c r="F63" i="1"/>
  <c r="G63" i="1"/>
  <c r="H63" i="1"/>
  <c r="I63" i="1"/>
  <c r="D64" i="1"/>
  <c r="E64" i="1"/>
  <c r="F64" i="1"/>
  <c r="G64" i="1"/>
  <c r="H64" i="1"/>
  <c r="I64" i="1"/>
  <c r="D65" i="1"/>
  <c r="E65" i="1"/>
  <c r="F65" i="1"/>
  <c r="G65" i="1"/>
  <c r="H65" i="1"/>
  <c r="I65" i="1"/>
  <c r="D66" i="1"/>
  <c r="E66" i="1"/>
  <c r="F66" i="1"/>
  <c r="G66" i="1"/>
  <c r="H66" i="1"/>
  <c r="I66" i="1"/>
  <c r="D67" i="1"/>
  <c r="E67" i="1"/>
  <c r="F67" i="1"/>
  <c r="G67" i="1"/>
  <c r="H67" i="1"/>
  <c r="I67" i="1"/>
  <c r="D68" i="1"/>
  <c r="E68" i="1"/>
  <c r="F68" i="1"/>
  <c r="G68" i="1"/>
  <c r="H68" i="1"/>
  <c r="I68" i="1"/>
  <c r="D69" i="1"/>
  <c r="E69" i="1"/>
  <c r="F69" i="1"/>
  <c r="G69" i="1"/>
  <c r="H69" i="1"/>
  <c r="I69" i="1"/>
  <c r="D70" i="1"/>
  <c r="E70" i="1"/>
  <c r="F70" i="1"/>
  <c r="G70" i="1"/>
  <c r="H70" i="1"/>
  <c r="I70" i="1"/>
  <c r="D71" i="1"/>
  <c r="E71" i="1"/>
  <c r="F71" i="1"/>
  <c r="G71" i="1"/>
  <c r="H71" i="1"/>
  <c r="I71" i="1"/>
  <c r="D72" i="1"/>
  <c r="E72" i="1"/>
  <c r="F72" i="1"/>
  <c r="G72" i="1"/>
  <c r="H72" i="1"/>
  <c r="I72" i="1"/>
  <c r="D73" i="1"/>
  <c r="E73" i="1"/>
  <c r="F73" i="1"/>
  <c r="G73" i="1"/>
  <c r="H73" i="1"/>
  <c r="I73" i="1"/>
  <c r="D74" i="1"/>
  <c r="E74" i="1"/>
  <c r="F74" i="1"/>
  <c r="G74" i="1"/>
  <c r="H74" i="1"/>
  <c r="I74" i="1"/>
  <c r="D75" i="1"/>
  <c r="E75" i="1"/>
  <c r="F75" i="1"/>
  <c r="G75" i="1"/>
  <c r="H75" i="1"/>
  <c r="I75" i="1"/>
  <c r="D76" i="1"/>
  <c r="E76" i="1"/>
  <c r="F76" i="1"/>
  <c r="G76" i="1"/>
  <c r="H76" i="1"/>
  <c r="I76" i="1"/>
  <c r="D77" i="1"/>
  <c r="E77" i="1"/>
  <c r="F77" i="1"/>
  <c r="G77" i="1"/>
  <c r="H77" i="1"/>
  <c r="I77" i="1"/>
  <c r="D78" i="1"/>
  <c r="E78" i="1"/>
  <c r="F78" i="1"/>
  <c r="G78" i="1"/>
  <c r="H78" i="1"/>
  <c r="I78" i="1"/>
  <c r="D79" i="1"/>
  <c r="E79" i="1"/>
  <c r="F79" i="1"/>
  <c r="G79" i="1"/>
  <c r="H79" i="1"/>
  <c r="I79" i="1"/>
  <c r="D80" i="1"/>
  <c r="E80" i="1"/>
  <c r="F80" i="1"/>
  <c r="G80" i="1"/>
  <c r="H80" i="1"/>
  <c r="I80" i="1"/>
  <c r="D81" i="1"/>
  <c r="E81" i="1"/>
  <c r="F81" i="1"/>
  <c r="G81" i="1"/>
  <c r="H81" i="1"/>
  <c r="I81" i="1"/>
  <c r="D82" i="1"/>
  <c r="E82" i="1"/>
  <c r="F82" i="1"/>
  <c r="G82" i="1"/>
  <c r="H82" i="1"/>
  <c r="I82" i="1"/>
  <c r="D83" i="1"/>
  <c r="E83" i="1"/>
  <c r="F83" i="1"/>
  <c r="G83" i="1"/>
  <c r="H83" i="1"/>
  <c r="I83" i="1"/>
  <c r="D84" i="1"/>
  <c r="E84" i="1"/>
  <c r="F84" i="1"/>
  <c r="G84" i="1"/>
  <c r="H84" i="1"/>
  <c r="I84" i="1"/>
  <c r="D85" i="1"/>
  <c r="E85" i="1"/>
  <c r="F85" i="1"/>
  <c r="G85" i="1"/>
  <c r="H85" i="1"/>
  <c r="I85" i="1"/>
  <c r="D86" i="1"/>
  <c r="E86" i="1"/>
  <c r="F86" i="1"/>
  <c r="G86" i="1"/>
  <c r="H86" i="1"/>
  <c r="I86" i="1"/>
  <c r="D87" i="1"/>
  <c r="E87" i="1"/>
  <c r="F87" i="1"/>
  <c r="G87" i="1"/>
  <c r="H87" i="1"/>
  <c r="I87" i="1"/>
  <c r="D88" i="1"/>
  <c r="E88" i="1"/>
  <c r="F88" i="1"/>
  <c r="G88" i="1"/>
  <c r="H88" i="1"/>
  <c r="I88" i="1"/>
  <c r="D89" i="1"/>
  <c r="E89" i="1"/>
  <c r="F89" i="1"/>
  <c r="G89" i="1"/>
  <c r="H89" i="1"/>
  <c r="I89" i="1"/>
  <c r="D90" i="1"/>
  <c r="E90" i="1"/>
  <c r="F90" i="1"/>
  <c r="G90" i="1"/>
  <c r="H90" i="1"/>
  <c r="I90" i="1"/>
  <c r="D91" i="1"/>
  <c r="E91" i="1"/>
  <c r="F91" i="1"/>
  <c r="G91" i="1"/>
  <c r="H91" i="1"/>
  <c r="I91" i="1"/>
  <c r="D92" i="1"/>
  <c r="E92" i="1"/>
  <c r="F92" i="1"/>
  <c r="G92" i="1"/>
  <c r="H92" i="1"/>
  <c r="I92" i="1"/>
  <c r="D93" i="1"/>
  <c r="E93" i="1"/>
  <c r="F93" i="1"/>
  <c r="G93" i="1"/>
  <c r="H93" i="1"/>
  <c r="I93" i="1"/>
  <c r="D94" i="1"/>
  <c r="E94" i="1"/>
  <c r="F94" i="1"/>
  <c r="G94" i="1"/>
  <c r="H94" i="1"/>
  <c r="I94" i="1"/>
  <c r="D95" i="1"/>
  <c r="E95" i="1"/>
  <c r="F95" i="1"/>
  <c r="G95" i="1"/>
  <c r="H95" i="1"/>
  <c r="I95" i="1"/>
  <c r="D96" i="1"/>
  <c r="E96" i="1"/>
  <c r="F96" i="1"/>
  <c r="G96" i="1"/>
  <c r="H96" i="1"/>
  <c r="I96" i="1"/>
  <c r="D97" i="1"/>
  <c r="E97" i="1"/>
  <c r="F97" i="1"/>
  <c r="G97" i="1"/>
  <c r="H97" i="1"/>
  <c r="I97" i="1"/>
  <c r="D98" i="1"/>
  <c r="E98" i="1"/>
  <c r="F98" i="1"/>
  <c r="G98" i="1"/>
  <c r="H98" i="1"/>
  <c r="I98" i="1"/>
  <c r="D99" i="1"/>
  <c r="E99" i="1"/>
  <c r="F99" i="1"/>
  <c r="G99" i="1"/>
  <c r="H99" i="1"/>
  <c r="I99" i="1"/>
  <c r="D100" i="1"/>
  <c r="E100" i="1"/>
  <c r="F100" i="1"/>
  <c r="G100" i="1"/>
  <c r="H100" i="1"/>
  <c r="I100" i="1"/>
  <c r="D101" i="1"/>
  <c r="E101" i="1"/>
  <c r="F101" i="1"/>
  <c r="G101" i="1"/>
  <c r="H101" i="1"/>
  <c r="I101" i="1"/>
  <c r="D102" i="1"/>
  <c r="E102" i="1"/>
  <c r="F102" i="1"/>
  <c r="G102" i="1"/>
  <c r="H102" i="1"/>
  <c r="I102" i="1"/>
  <c r="D103" i="1"/>
  <c r="E103" i="1"/>
  <c r="F103" i="1"/>
  <c r="G103" i="1"/>
  <c r="H103" i="1"/>
  <c r="I103" i="1"/>
  <c r="D104" i="1"/>
  <c r="E104" i="1"/>
  <c r="F104" i="1"/>
  <c r="G104" i="1"/>
  <c r="H104" i="1"/>
  <c r="I104" i="1"/>
  <c r="D105" i="1"/>
  <c r="E105" i="1"/>
  <c r="F105" i="1"/>
  <c r="G105" i="1"/>
  <c r="H105" i="1"/>
  <c r="I105" i="1"/>
  <c r="D106" i="1"/>
  <c r="E106" i="1"/>
  <c r="F106" i="1"/>
  <c r="G106" i="1"/>
  <c r="H106" i="1"/>
  <c r="I106" i="1"/>
  <c r="D107" i="1"/>
  <c r="E107" i="1"/>
  <c r="F107" i="1"/>
  <c r="G107" i="1"/>
  <c r="H107" i="1"/>
  <c r="I107" i="1"/>
  <c r="D108" i="1"/>
  <c r="E108" i="1"/>
  <c r="F108" i="1"/>
  <c r="G108" i="1"/>
  <c r="H108" i="1"/>
  <c r="I108" i="1"/>
  <c r="D109" i="1"/>
  <c r="E109" i="1"/>
  <c r="F109" i="1"/>
  <c r="G109" i="1"/>
  <c r="H109" i="1"/>
  <c r="I109" i="1"/>
  <c r="D110" i="1"/>
  <c r="E110" i="1"/>
  <c r="F110" i="1"/>
  <c r="G110" i="1"/>
  <c r="H110" i="1"/>
  <c r="I110" i="1"/>
  <c r="D111" i="1"/>
  <c r="E111" i="1"/>
  <c r="F111" i="1"/>
  <c r="G111" i="1"/>
  <c r="H111" i="1"/>
  <c r="I111" i="1"/>
  <c r="D112" i="1"/>
  <c r="E112" i="1"/>
  <c r="F112" i="1"/>
  <c r="G112" i="1"/>
  <c r="H112" i="1"/>
  <c r="I112" i="1"/>
  <c r="D113" i="1"/>
  <c r="E113" i="1"/>
  <c r="F113" i="1"/>
  <c r="G113" i="1"/>
  <c r="H113" i="1"/>
  <c r="I113" i="1"/>
  <c r="D114" i="1"/>
  <c r="E114" i="1"/>
  <c r="F114" i="1"/>
  <c r="G114" i="1"/>
  <c r="H114" i="1"/>
  <c r="I114" i="1"/>
  <c r="D115" i="1"/>
  <c r="E115" i="1"/>
  <c r="F115" i="1"/>
  <c r="G115" i="1"/>
  <c r="H115" i="1"/>
  <c r="I115" i="1"/>
  <c r="D116" i="1"/>
  <c r="E116" i="1"/>
  <c r="F116" i="1"/>
  <c r="G116" i="1"/>
  <c r="H116" i="1"/>
  <c r="I116" i="1"/>
  <c r="D117" i="1"/>
  <c r="E117" i="1"/>
  <c r="F117" i="1"/>
  <c r="G117" i="1"/>
  <c r="H117" i="1"/>
  <c r="I117" i="1"/>
  <c r="D118" i="1"/>
  <c r="E118" i="1"/>
  <c r="F118" i="1"/>
  <c r="G118" i="1"/>
  <c r="H118" i="1"/>
  <c r="I118" i="1"/>
  <c r="D119" i="1"/>
  <c r="E119" i="1"/>
  <c r="F119" i="1"/>
  <c r="G119" i="1"/>
  <c r="H119" i="1"/>
  <c r="I119" i="1"/>
  <c r="D120" i="1"/>
  <c r="E120" i="1"/>
  <c r="F120" i="1"/>
  <c r="G120" i="1"/>
  <c r="H120" i="1"/>
  <c r="I120" i="1"/>
  <c r="D121" i="1"/>
  <c r="E121" i="1"/>
  <c r="F121" i="1"/>
  <c r="G121" i="1"/>
  <c r="H121" i="1"/>
  <c r="I121" i="1"/>
  <c r="D122" i="1"/>
  <c r="E122" i="1"/>
  <c r="F122" i="1"/>
  <c r="G122" i="1"/>
  <c r="H122" i="1"/>
  <c r="I122" i="1"/>
  <c r="D123" i="1"/>
  <c r="E123" i="1"/>
  <c r="F123" i="1"/>
  <c r="G123" i="1"/>
  <c r="H123" i="1"/>
  <c r="I123" i="1"/>
  <c r="D124" i="1"/>
  <c r="E124" i="1"/>
  <c r="F124" i="1"/>
  <c r="G124" i="1"/>
  <c r="H124" i="1"/>
  <c r="I124" i="1"/>
  <c r="D125" i="1"/>
  <c r="E125" i="1"/>
  <c r="F125" i="1"/>
  <c r="G125" i="1"/>
  <c r="H125" i="1"/>
  <c r="I125" i="1"/>
  <c r="D126" i="1"/>
  <c r="E126" i="1"/>
  <c r="F126" i="1"/>
  <c r="G126" i="1"/>
  <c r="H126" i="1"/>
  <c r="I126" i="1"/>
  <c r="D127" i="1"/>
  <c r="E127" i="1"/>
  <c r="F127" i="1"/>
  <c r="G127" i="1"/>
  <c r="H127" i="1"/>
  <c r="I127" i="1"/>
  <c r="D128" i="1"/>
  <c r="E128" i="1"/>
  <c r="F128" i="1"/>
  <c r="G128" i="1"/>
  <c r="H128" i="1"/>
  <c r="I128" i="1"/>
  <c r="D129" i="1"/>
  <c r="E129" i="1"/>
  <c r="F129" i="1"/>
  <c r="G129" i="1"/>
  <c r="H129" i="1"/>
  <c r="I129" i="1"/>
  <c r="D130" i="1"/>
  <c r="E130" i="1"/>
  <c r="F130" i="1"/>
  <c r="G130" i="1"/>
  <c r="H130" i="1"/>
  <c r="I130" i="1"/>
  <c r="D131" i="1"/>
  <c r="E131" i="1"/>
  <c r="F131" i="1"/>
  <c r="G131" i="1"/>
  <c r="H131" i="1"/>
  <c r="I131" i="1"/>
  <c r="D132" i="1"/>
  <c r="E132" i="1"/>
  <c r="F132" i="1"/>
  <c r="G132" i="1"/>
  <c r="H132" i="1"/>
  <c r="I132" i="1"/>
  <c r="D133" i="1"/>
  <c r="E133" i="1"/>
  <c r="F133" i="1"/>
  <c r="G133" i="1"/>
  <c r="H133" i="1"/>
  <c r="I133" i="1"/>
  <c r="E6" i="1"/>
  <c r="F6" i="1"/>
  <c r="G6" i="1"/>
  <c r="H6" i="1"/>
  <c r="I6" i="1"/>
  <c r="D6" i="1"/>
  <c r="R130" i="1" l="1"/>
  <c r="R136" i="1"/>
  <c r="R132" i="1"/>
  <c r="B10" i="14"/>
  <c r="C10" i="14"/>
  <c r="D10" i="14"/>
  <c r="D2" i="14"/>
  <c r="C2" i="14"/>
  <c r="B2" i="14"/>
  <c r="D2" i="13"/>
  <c r="C2" i="13"/>
  <c r="B2" i="13"/>
  <c r="D2" i="12"/>
  <c r="C2" i="12"/>
  <c r="B2" i="12"/>
  <c r="D2" i="11"/>
  <c r="C2" i="11"/>
  <c r="B2" i="11"/>
  <c r="D2" i="10"/>
  <c r="C2" i="10"/>
  <c r="B2" i="10"/>
  <c r="D2" i="9"/>
  <c r="C2" i="9"/>
  <c r="B2" i="9"/>
  <c r="D2" i="8"/>
  <c r="C2" i="8"/>
  <c r="B2" i="8"/>
  <c r="D2" i="7"/>
  <c r="C2" i="7"/>
  <c r="B2" i="7"/>
  <c r="D2" i="6"/>
  <c r="C2" i="6"/>
  <c r="B2" i="6"/>
  <c r="D2" i="5"/>
  <c r="C2" i="5"/>
  <c r="B2" i="5"/>
  <c r="D2" i="4"/>
  <c r="C2" i="4"/>
  <c r="B2" i="4"/>
  <c r="C2" i="3"/>
  <c r="D2" i="3"/>
  <c r="B2" i="3"/>
  <c r="C2" i="2"/>
  <c r="D2" i="2"/>
  <c r="B2" i="2"/>
  <c r="M15" i="1" l="1"/>
  <c r="N15" i="1"/>
  <c r="L16" i="1"/>
  <c r="M16" i="1"/>
  <c r="N17" i="1"/>
  <c r="N18" i="1"/>
  <c r="L18" i="1"/>
  <c r="L20" i="1"/>
  <c r="N20" i="1"/>
  <c r="L21" i="1"/>
  <c r="M21" i="1"/>
  <c r="N22" i="1"/>
  <c r="M22" i="1"/>
  <c r="L24" i="1"/>
  <c r="N24" i="1"/>
  <c r="L26" i="1"/>
  <c r="N26" i="1"/>
  <c r="N28" i="1"/>
  <c r="M29" i="1"/>
  <c r="M30" i="1"/>
  <c r="L32" i="1"/>
  <c r="L34" i="1"/>
  <c r="N34" i="1"/>
  <c r="N36" i="1"/>
  <c r="M37" i="1"/>
  <c r="M39" i="1"/>
  <c r="M40" i="1"/>
  <c r="M41" i="1"/>
  <c r="L42" i="1"/>
  <c r="N42" i="1"/>
  <c r="N44" i="1"/>
  <c r="L45" i="1"/>
  <c r="M45" i="1"/>
  <c r="L49" i="1"/>
  <c r="M49" i="1"/>
  <c r="L50" i="1"/>
  <c r="M50" i="1"/>
  <c r="N51" i="1"/>
  <c r="M52" i="1"/>
  <c r="L53" i="1"/>
  <c r="N53" i="1"/>
  <c r="M55" i="1"/>
  <c r="N56" i="1"/>
  <c r="L57" i="1"/>
  <c r="M57" i="1"/>
  <c r="L58" i="1"/>
  <c r="N59" i="1"/>
  <c r="N60" i="1"/>
  <c r="L61" i="1"/>
  <c r="N61" i="1"/>
  <c r="L62" i="1"/>
  <c r="M62" i="1"/>
  <c r="L63" i="1"/>
  <c r="N65" i="1"/>
  <c r="M66" i="1"/>
  <c r="L67" i="1"/>
  <c r="N67" i="1"/>
  <c r="N71" i="1"/>
  <c r="N75" i="1"/>
  <c r="L79" i="1"/>
  <c r="N79" i="1"/>
  <c r="L81" i="1"/>
  <c r="N81" i="1"/>
  <c r="M82" i="1"/>
  <c r="L83" i="1"/>
  <c r="N83" i="1"/>
  <c r="M89" i="1"/>
  <c r="M91" i="1"/>
  <c r="M92" i="1"/>
  <c r="L94" i="1"/>
  <c r="M94" i="1"/>
  <c r="L95" i="1"/>
  <c r="L97" i="1"/>
  <c r="N97" i="1"/>
  <c r="M98" i="1"/>
  <c r="N99" i="1"/>
  <c r="N101" i="1"/>
  <c r="N107" i="1"/>
  <c r="M108" i="1"/>
  <c r="W19" i="1"/>
  <c r="W18" i="1"/>
  <c r="W17" i="1"/>
  <c r="W16" i="1"/>
  <c r="W15" i="1"/>
  <c r="W14" i="1"/>
  <c r="W13" i="1"/>
  <c r="W12" i="1"/>
  <c r="W11" i="1"/>
  <c r="W10" i="1"/>
  <c r="W9" i="1"/>
  <c r="W8" i="1"/>
  <c r="W7" i="1"/>
  <c r="L7" i="1"/>
  <c r="N8" i="1"/>
  <c r="N9" i="1"/>
  <c r="L10" i="1"/>
  <c r="L11" i="1"/>
  <c r="N12" i="1"/>
  <c r="N13" i="1"/>
  <c r="L14" i="1"/>
  <c r="M8" i="1"/>
  <c r="M9" i="1"/>
  <c r="M10" i="1"/>
  <c r="M11" i="1"/>
  <c r="M13" i="1"/>
  <c r="M14" i="1"/>
  <c r="M7" i="1"/>
  <c r="L99" i="1" l="1"/>
  <c r="L60" i="1"/>
  <c r="P60" i="1" s="1"/>
  <c r="B8" i="8" s="1"/>
  <c r="L52" i="1"/>
  <c r="N48" i="1"/>
  <c r="L44" i="1"/>
  <c r="L40" i="1"/>
  <c r="L29" i="1"/>
  <c r="N95" i="1"/>
  <c r="L12" i="1"/>
  <c r="M47" i="1"/>
  <c r="N14" i="1"/>
  <c r="N10" i="1"/>
  <c r="M78" i="1"/>
  <c r="N63" i="1"/>
  <c r="L55" i="1"/>
  <c r="L39" i="1"/>
  <c r="M35" i="1"/>
  <c r="L28" i="1"/>
  <c r="N105" i="1"/>
  <c r="M85" i="1"/>
  <c r="L78" i="1"/>
  <c r="M27" i="1"/>
  <c r="L8" i="1"/>
  <c r="N54" i="1"/>
  <c r="N46" i="1"/>
  <c r="N38" i="1"/>
  <c r="M23" i="1"/>
  <c r="M12" i="1"/>
  <c r="N69" i="1"/>
  <c r="L65" i="1"/>
  <c r="M76" i="1"/>
  <c r="N33" i="1"/>
  <c r="L30" i="1"/>
  <c r="M26" i="1"/>
  <c r="N103" i="1"/>
  <c r="N87" i="1"/>
  <c r="N85" i="1"/>
  <c r="N73" i="1"/>
  <c r="M61" i="1"/>
  <c r="N31" i="1"/>
  <c r="N11" i="1"/>
  <c r="N109" i="1"/>
  <c r="M106" i="1"/>
  <c r="L105" i="1"/>
  <c r="M102" i="1"/>
  <c r="M93" i="1"/>
  <c r="L91" i="1"/>
  <c r="L87" i="1"/>
  <c r="L86" i="1"/>
  <c r="M84" i="1"/>
  <c r="N77" i="1"/>
  <c r="M74" i="1"/>
  <c r="L73" i="1"/>
  <c r="M70" i="1"/>
  <c r="N58" i="1"/>
  <c r="L51" i="1"/>
  <c r="M38" i="1"/>
  <c r="L23" i="1"/>
  <c r="M19" i="1"/>
  <c r="N7" i="1"/>
  <c r="L107" i="1"/>
  <c r="L103" i="1"/>
  <c r="L102" i="1"/>
  <c r="M100" i="1"/>
  <c r="N93" i="1"/>
  <c r="N91" i="1"/>
  <c r="M90" i="1"/>
  <c r="L89" i="1"/>
  <c r="M86" i="1"/>
  <c r="L75" i="1"/>
  <c r="L71" i="1"/>
  <c r="L70" i="1"/>
  <c r="M68" i="1"/>
  <c r="N52" i="1"/>
  <c r="L47" i="1"/>
  <c r="M43" i="1"/>
  <c r="Q43" i="1" s="1"/>
  <c r="C7" i="6" s="1"/>
  <c r="L37" i="1"/>
  <c r="L36" i="1"/>
  <c r="N32" i="1"/>
  <c r="M31" i="1"/>
  <c r="N30" i="1"/>
  <c r="N25" i="1"/>
  <c r="N23" i="1"/>
  <c r="L104" i="1"/>
  <c r="L96" i="1"/>
  <c r="L88" i="1"/>
  <c r="L80" i="1"/>
  <c r="L72" i="1"/>
  <c r="L64" i="1"/>
  <c r="L43" i="1"/>
  <c r="L35" i="1"/>
  <c r="L27" i="1"/>
  <c r="L19" i="1"/>
  <c r="N50" i="1"/>
  <c r="L106" i="1"/>
  <c r="L98" i="1"/>
  <c r="L90" i="1"/>
  <c r="L82" i="1"/>
  <c r="L74" i="1"/>
  <c r="L66" i="1"/>
  <c r="M60" i="1"/>
  <c r="L59" i="1"/>
  <c r="M58" i="1"/>
  <c r="L56" i="1"/>
  <c r="L54" i="1"/>
  <c r="N45" i="1"/>
  <c r="M44" i="1"/>
  <c r="L41" i="1"/>
  <c r="L38" i="1"/>
  <c r="P38" i="1" s="1"/>
  <c r="B10" i="5" s="1"/>
  <c r="N37" i="1"/>
  <c r="M36" i="1"/>
  <c r="L33" i="1"/>
  <c r="M32" i="1"/>
  <c r="N29" i="1"/>
  <c r="M28" i="1"/>
  <c r="L25" i="1"/>
  <c r="M24" i="1"/>
  <c r="L22" i="1"/>
  <c r="N21" i="1"/>
  <c r="M20" i="1"/>
  <c r="L17" i="1"/>
  <c r="L13" i="1"/>
  <c r="L9" i="1"/>
  <c r="L109" i="1"/>
  <c r="L108" i="1"/>
  <c r="M104" i="1"/>
  <c r="L101" i="1"/>
  <c r="L100" i="1"/>
  <c r="M96" i="1"/>
  <c r="M95" i="1"/>
  <c r="L93" i="1"/>
  <c r="L92" i="1"/>
  <c r="N89" i="1"/>
  <c r="M88" i="1"/>
  <c r="M87" i="1"/>
  <c r="L85" i="1"/>
  <c r="L84" i="1"/>
  <c r="M80" i="1"/>
  <c r="L77" i="1"/>
  <c r="L76" i="1"/>
  <c r="M72" i="1"/>
  <c r="L69" i="1"/>
  <c r="L68" i="1"/>
  <c r="M64" i="1"/>
  <c r="L48" i="1"/>
  <c r="L46" i="1"/>
  <c r="N43" i="1"/>
  <c r="M42" i="1"/>
  <c r="N40" i="1"/>
  <c r="N35" i="1"/>
  <c r="M34" i="1"/>
  <c r="M33" i="1"/>
  <c r="Q33" i="1" s="1"/>
  <c r="L31" i="1"/>
  <c r="N27" i="1"/>
  <c r="M25" i="1"/>
  <c r="N19" i="1"/>
  <c r="M18" i="1"/>
  <c r="M17" i="1"/>
  <c r="N16" i="1"/>
  <c r="L15" i="1"/>
  <c r="J27" i="1"/>
  <c r="J23" i="1"/>
  <c r="J24" i="1"/>
  <c r="J28" i="1"/>
  <c r="P28" i="1" s="1"/>
  <c r="B8" i="4" s="1"/>
  <c r="J25" i="1"/>
  <c r="J29" i="1"/>
  <c r="J26" i="1"/>
  <c r="J30" i="1"/>
  <c r="J59" i="1"/>
  <c r="J55" i="1"/>
  <c r="Q55" i="1" s="1"/>
  <c r="C3" i="8" s="1"/>
  <c r="J56" i="1"/>
  <c r="J60" i="1"/>
  <c r="J57" i="1"/>
  <c r="P57" i="1" s="1"/>
  <c r="B5" i="8" s="1"/>
  <c r="J61" i="1"/>
  <c r="J58" i="1"/>
  <c r="P58" i="1" s="1"/>
  <c r="B6" i="8" s="1"/>
  <c r="J62" i="1"/>
  <c r="Q62" i="1" s="1"/>
  <c r="C10" i="8" s="1"/>
  <c r="J88" i="1"/>
  <c r="J92" i="1"/>
  <c r="J90" i="1"/>
  <c r="J94" i="1"/>
  <c r="Q94" i="1" s="1"/>
  <c r="C10" i="12" s="1"/>
  <c r="J91" i="1"/>
  <c r="Q91" i="1" s="1"/>
  <c r="C7" i="12" s="1"/>
  <c r="J87" i="1"/>
  <c r="J89" i="1"/>
  <c r="Q89" i="1" s="1"/>
  <c r="C5" i="12" s="1"/>
  <c r="J93" i="1"/>
  <c r="M109" i="1"/>
  <c r="M107" i="1"/>
  <c r="M105" i="1"/>
  <c r="M103" i="1"/>
  <c r="M101" i="1"/>
  <c r="Q101" i="1" s="1"/>
  <c r="C9" i="13" s="1"/>
  <c r="M99" i="1"/>
  <c r="M97" i="1"/>
  <c r="M83" i="1"/>
  <c r="M81" i="1"/>
  <c r="M79" i="1"/>
  <c r="M77" i="1"/>
  <c r="M75" i="1"/>
  <c r="M73" i="1"/>
  <c r="Q73" i="1" s="1"/>
  <c r="C5" i="10" s="1"/>
  <c r="M71" i="1"/>
  <c r="M69" i="1"/>
  <c r="M67" i="1"/>
  <c r="M65" i="1"/>
  <c r="M63" i="1"/>
  <c r="N57" i="1"/>
  <c r="M56" i="1"/>
  <c r="N49" i="1"/>
  <c r="M48" i="1"/>
  <c r="N41" i="1"/>
  <c r="P26" i="1"/>
  <c r="B6" i="4" s="1"/>
  <c r="J35" i="1"/>
  <c r="Q35" i="1" s="1"/>
  <c r="C7" i="5" s="1"/>
  <c r="J31" i="1"/>
  <c r="J32" i="1"/>
  <c r="P32" i="1" s="1"/>
  <c r="B4" i="5" s="1"/>
  <c r="J36" i="1"/>
  <c r="J33" i="1"/>
  <c r="J37" i="1"/>
  <c r="P37" i="1" s="1"/>
  <c r="B9" i="5" s="1"/>
  <c r="J34" i="1"/>
  <c r="P34" i="1" s="1"/>
  <c r="B6" i="5" s="1"/>
  <c r="J38" i="1"/>
  <c r="J67" i="1"/>
  <c r="P67" i="1" s="1"/>
  <c r="B7" i="9" s="1"/>
  <c r="J63" i="1"/>
  <c r="P63" i="1" s="1"/>
  <c r="B3" i="9" s="1"/>
  <c r="J64" i="1"/>
  <c r="J68" i="1"/>
  <c r="J65" i="1"/>
  <c r="P65" i="1" s="1"/>
  <c r="B5" i="9" s="1"/>
  <c r="J69" i="1"/>
  <c r="J66" i="1"/>
  <c r="P66" i="1" s="1"/>
  <c r="B6" i="9" s="1"/>
  <c r="J70" i="1"/>
  <c r="J96" i="1"/>
  <c r="J100" i="1"/>
  <c r="Q100" i="1" s="1"/>
  <c r="C8" i="13" s="1"/>
  <c r="J98" i="1"/>
  <c r="J102" i="1"/>
  <c r="P102" i="1" s="1"/>
  <c r="B10" i="13" s="1"/>
  <c r="J99" i="1"/>
  <c r="P99" i="1" s="1"/>
  <c r="B7" i="13" s="1"/>
  <c r="J95" i="1"/>
  <c r="Q95" i="1" s="1"/>
  <c r="C3" i="13" s="1"/>
  <c r="J97" i="1"/>
  <c r="P97" i="1" s="1"/>
  <c r="B5" i="13" s="1"/>
  <c r="J101" i="1"/>
  <c r="N108" i="1"/>
  <c r="N106" i="1"/>
  <c r="N104" i="1"/>
  <c r="N102" i="1"/>
  <c r="N100" i="1"/>
  <c r="N98" i="1"/>
  <c r="N96" i="1"/>
  <c r="N94" i="1"/>
  <c r="N92" i="1"/>
  <c r="N90" i="1"/>
  <c r="N88" i="1"/>
  <c r="N86" i="1"/>
  <c r="N84" i="1"/>
  <c r="N82" i="1"/>
  <c r="N80" i="1"/>
  <c r="N78" i="1"/>
  <c r="N76" i="1"/>
  <c r="N74" i="1"/>
  <c r="N72" i="1"/>
  <c r="N70" i="1"/>
  <c r="N68" i="1"/>
  <c r="N66" i="1"/>
  <c r="N64" i="1"/>
  <c r="N62" i="1"/>
  <c r="N55" i="1"/>
  <c r="M54" i="1"/>
  <c r="M53" i="1"/>
  <c r="N47" i="1"/>
  <c r="M46" i="1"/>
  <c r="N39" i="1"/>
  <c r="Q30" i="1"/>
  <c r="C10" i="4" s="1"/>
  <c r="Q26" i="1"/>
  <c r="C6" i="4" s="1"/>
  <c r="J10" i="1"/>
  <c r="P10" i="1" s="1"/>
  <c r="B6" i="2" s="1"/>
  <c r="J7" i="1"/>
  <c r="P7" i="1" s="1"/>
  <c r="B3" i="2" s="1"/>
  <c r="J14" i="1"/>
  <c r="Q14" i="1" s="1"/>
  <c r="C10" i="2" s="1"/>
  <c r="J11" i="1"/>
  <c r="Q11" i="1" s="1"/>
  <c r="C7" i="2" s="1"/>
  <c r="J8" i="1"/>
  <c r="P8" i="1" s="1"/>
  <c r="B4" i="2" s="1"/>
  <c r="J12" i="1"/>
  <c r="J9" i="1"/>
  <c r="J13" i="1"/>
  <c r="Q13" i="1" s="1"/>
  <c r="C9" i="2" s="1"/>
  <c r="J43" i="1"/>
  <c r="J39" i="1"/>
  <c r="Q39" i="1" s="1"/>
  <c r="C3" i="6" s="1"/>
  <c r="J40" i="1"/>
  <c r="Q40" i="1" s="1"/>
  <c r="C4" i="6" s="1"/>
  <c r="J44" i="1"/>
  <c r="P44" i="1" s="1"/>
  <c r="B8" i="6" s="1"/>
  <c r="J41" i="1"/>
  <c r="J45" i="1"/>
  <c r="Q45" i="1" s="1"/>
  <c r="C9" i="6" s="1"/>
  <c r="J42" i="1"/>
  <c r="P42" i="1" s="1"/>
  <c r="B6" i="6" s="1"/>
  <c r="J46" i="1"/>
  <c r="J75" i="1"/>
  <c r="J71" i="1"/>
  <c r="P71" i="1" s="1"/>
  <c r="B3" i="10" s="1"/>
  <c r="J72" i="1"/>
  <c r="P72" i="1" s="1"/>
  <c r="B4" i="10" s="1"/>
  <c r="J76" i="1"/>
  <c r="P76" i="1" s="1"/>
  <c r="B8" i="10" s="1"/>
  <c r="J73" i="1"/>
  <c r="J77" i="1"/>
  <c r="J74" i="1"/>
  <c r="J78" i="1"/>
  <c r="J107" i="1"/>
  <c r="J105" i="1"/>
  <c r="P105" i="1" s="1"/>
  <c r="B5" i="14" s="1"/>
  <c r="J109" i="1"/>
  <c r="P109" i="1" s="1"/>
  <c r="B9" i="14" s="1"/>
  <c r="J106" i="1"/>
  <c r="J103" i="1"/>
  <c r="J104" i="1"/>
  <c r="J108" i="1"/>
  <c r="P108" i="1" s="1"/>
  <c r="B8" i="14" s="1"/>
  <c r="P61" i="1"/>
  <c r="B9" i="8" s="1"/>
  <c r="M59" i="1"/>
  <c r="M51" i="1"/>
  <c r="Q36" i="1"/>
  <c r="P33" i="1"/>
  <c r="B5" i="5" s="1"/>
  <c r="P30" i="1"/>
  <c r="B10" i="4" s="1"/>
  <c r="J19" i="1"/>
  <c r="P19" i="1" s="1"/>
  <c r="B7" i="3" s="1"/>
  <c r="J15" i="1"/>
  <c r="Q15" i="1" s="1"/>
  <c r="C3" i="3" s="1"/>
  <c r="J16" i="1"/>
  <c r="Q16" i="1" s="1"/>
  <c r="C4" i="3" s="1"/>
  <c r="J20" i="1"/>
  <c r="P20" i="1" s="1"/>
  <c r="B8" i="3" s="1"/>
  <c r="J17" i="1"/>
  <c r="P17" i="1" s="1"/>
  <c r="B5" i="3" s="1"/>
  <c r="J21" i="1"/>
  <c r="P21" i="1" s="1"/>
  <c r="B9" i="3" s="1"/>
  <c r="J18" i="1"/>
  <c r="J22" i="1"/>
  <c r="Q22" i="1" s="1"/>
  <c r="C10" i="3" s="1"/>
  <c r="J51" i="1"/>
  <c r="J47" i="1"/>
  <c r="Q47" i="1" s="1"/>
  <c r="C3" i="7" s="1"/>
  <c r="J48" i="1"/>
  <c r="J52" i="1"/>
  <c r="Q52" i="1" s="1"/>
  <c r="J49" i="1"/>
  <c r="P49" i="1" s="1"/>
  <c r="B5" i="7" s="1"/>
  <c r="J53" i="1"/>
  <c r="P53" i="1" s="1"/>
  <c r="B9" i="7" s="1"/>
  <c r="J50" i="1"/>
  <c r="P50" i="1" s="1"/>
  <c r="B6" i="7" s="1"/>
  <c r="J54" i="1"/>
  <c r="J80" i="1"/>
  <c r="J84" i="1"/>
  <c r="J82" i="1"/>
  <c r="J83" i="1"/>
  <c r="P83" i="1" s="1"/>
  <c r="B7" i="11" s="1"/>
  <c r="J79" i="1"/>
  <c r="P79" i="1" s="1"/>
  <c r="B3" i="11" s="1"/>
  <c r="J86" i="1"/>
  <c r="P86" i="1" s="1"/>
  <c r="B10" i="11" s="1"/>
  <c r="J81" i="1"/>
  <c r="P81" i="1" s="1"/>
  <c r="B5" i="11" s="1"/>
  <c r="J85" i="1"/>
  <c r="P55" i="1"/>
  <c r="B3" i="8" s="1"/>
  <c r="P39" i="1"/>
  <c r="B3" i="6" s="1"/>
  <c r="Q27" i="1"/>
  <c r="C7" i="4" s="1"/>
  <c r="P24" i="1"/>
  <c r="B4" i="4" s="1"/>
  <c r="Q21" i="1"/>
  <c r="C9" i="3" s="1"/>
  <c r="P16" i="1"/>
  <c r="B4" i="3" s="1"/>
  <c r="Q74" i="1" l="1"/>
  <c r="C6" i="10" s="1"/>
  <c r="P84" i="1"/>
  <c r="B8" i="11" s="1"/>
  <c r="Q12" i="1"/>
  <c r="C8" i="2" s="1"/>
  <c r="P69" i="1"/>
  <c r="B9" i="9" s="1"/>
  <c r="Q61" i="1"/>
  <c r="C9" i="8" s="1"/>
  <c r="Q23" i="1"/>
  <c r="C3" i="4" s="1"/>
  <c r="Q78" i="1"/>
  <c r="C10" i="10" s="1"/>
  <c r="P51" i="1"/>
  <c r="B7" i="7" s="1"/>
  <c r="P29" i="1"/>
  <c r="B9" i="4" s="1"/>
  <c r="P96" i="1"/>
  <c r="B4" i="13" s="1"/>
  <c r="P25" i="1"/>
  <c r="B5" i="4" s="1"/>
  <c r="Q31" i="1"/>
  <c r="C3" i="5" s="1"/>
  <c r="P27" i="1"/>
  <c r="B7" i="4" s="1"/>
  <c r="P46" i="1"/>
  <c r="B10" i="6" s="1"/>
  <c r="Q68" i="1"/>
  <c r="C8" i="9" s="1"/>
  <c r="Q85" i="1"/>
  <c r="C9" i="11" s="1"/>
  <c r="P56" i="1"/>
  <c r="B4" i="8" s="1"/>
  <c r="Q28" i="1"/>
  <c r="R28" i="1" s="1"/>
  <c r="D8" i="4" s="1"/>
  <c r="P106" i="1"/>
  <c r="B6" i="14" s="1"/>
  <c r="P23" i="1"/>
  <c r="B3" i="4" s="1"/>
  <c r="Q24" i="1"/>
  <c r="C4" i="4" s="1"/>
  <c r="Q38" i="1"/>
  <c r="C10" i="5" s="1"/>
  <c r="Q64" i="1"/>
  <c r="C4" i="9" s="1"/>
  <c r="P41" i="1"/>
  <c r="B5" i="6" s="1"/>
  <c r="P45" i="1"/>
  <c r="B9" i="6" s="1"/>
  <c r="P36" i="1"/>
  <c r="B8" i="5" s="1"/>
  <c r="P62" i="1"/>
  <c r="B10" i="8" s="1"/>
  <c r="Q60" i="1"/>
  <c r="C8" i="8" s="1"/>
  <c r="P98" i="1"/>
  <c r="B6" i="13" s="1"/>
  <c r="Q56" i="1"/>
  <c r="C4" i="8" s="1"/>
  <c r="Q41" i="1"/>
  <c r="C5" i="6" s="1"/>
  <c r="Q8" i="1"/>
  <c r="C4" i="2" s="1"/>
  <c r="P52" i="1"/>
  <c r="B8" i="7" s="1"/>
  <c r="P70" i="1"/>
  <c r="B10" i="9" s="1"/>
  <c r="P92" i="1"/>
  <c r="B8" i="12" s="1"/>
  <c r="R33" i="1"/>
  <c r="D5" i="5" s="1"/>
  <c r="C5" i="5"/>
  <c r="P47" i="1"/>
  <c r="B3" i="7" s="1"/>
  <c r="Q80" i="1"/>
  <c r="C4" i="11" s="1"/>
  <c r="Q65" i="1"/>
  <c r="C5" i="9" s="1"/>
  <c r="Q29" i="1"/>
  <c r="C9" i="4" s="1"/>
  <c r="Q49" i="1"/>
  <c r="C5" i="7" s="1"/>
  <c r="P54" i="1"/>
  <c r="B10" i="7" s="1"/>
  <c r="C8" i="7"/>
  <c r="Q104" i="1"/>
  <c r="C4" i="14" s="1"/>
  <c r="Q93" i="1"/>
  <c r="C9" i="12" s="1"/>
  <c r="Q88" i="1"/>
  <c r="C4" i="12" s="1"/>
  <c r="P59" i="1"/>
  <c r="B7" i="8" s="1"/>
  <c r="Q25" i="1"/>
  <c r="C5" i="4" s="1"/>
  <c r="P82" i="1"/>
  <c r="B6" i="11" s="1"/>
  <c r="P48" i="1"/>
  <c r="B4" i="7" s="1"/>
  <c r="Q18" i="1"/>
  <c r="C6" i="3" s="1"/>
  <c r="C8" i="4"/>
  <c r="C8" i="5"/>
  <c r="P103" i="1"/>
  <c r="B3" i="14" s="1"/>
  <c r="P107" i="1"/>
  <c r="B7" i="14" s="1"/>
  <c r="P73" i="1"/>
  <c r="B5" i="10" s="1"/>
  <c r="P75" i="1"/>
  <c r="B7" i="10" s="1"/>
  <c r="P43" i="1"/>
  <c r="B7" i="6" s="1"/>
  <c r="Q32" i="1"/>
  <c r="C4" i="5" s="1"/>
  <c r="P90" i="1"/>
  <c r="B6" i="12" s="1"/>
  <c r="P68" i="1"/>
  <c r="B8" i="9" s="1"/>
  <c r="P93" i="1"/>
  <c r="B9" i="12" s="1"/>
  <c r="Q58" i="1"/>
  <c r="P35" i="1"/>
  <c r="B7" i="5" s="1"/>
  <c r="Q20" i="1"/>
  <c r="C8" i="3" s="1"/>
  <c r="Q17" i="1"/>
  <c r="C5" i="3" s="1"/>
  <c r="R16" i="1"/>
  <c r="D4" i="3" s="1"/>
  <c r="P22" i="1"/>
  <c r="B10" i="3" s="1"/>
  <c r="P9" i="1"/>
  <c r="B5" i="2" s="1"/>
  <c r="Q10" i="1"/>
  <c r="P40" i="1"/>
  <c r="B4" i="6" s="1"/>
  <c r="Q7" i="1"/>
  <c r="C3" i="2" s="1"/>
  <c r="Q70" i="1"/>
  <c r="C10" i="9" s="1"/>
  <c r="P89" i="1"/>
  <c r="B5" i="12" s="1"/>
  <c r="Q90" i="1"/>
  <c r="C6" i="12" s="1"/>
  <c r="Q19" i="1"/>
  <c r="C7" i="3" s="1"/>
  <c r="P31" i="1"/>
  <c r="Q57" i="1"/>
  <c r="C5" i="8" s="1"/>
  <c r="P77" i="1"/>
  <c r="B9" i="10" s="1"/>
  <c r="Q37" i="1"/>
  <c r="C9" i="5" s="1"/>
  <c r="P101" i="1"/>
  <c r="B9" i="13" s="1"/>
  <c r="P94" i="1"/>
  <c r="R26" i="1"/>
  <c r="D6" i="4" s="1"/>
  <c r="P12" i="1"/>
  <c r="Q71" i="1"/>
  <c r="Q99" i="1"/>
  <c r="C7" i="13" s="1"/>
  <c r="Q107" i="1"/>
  <c r="C7" i="14" s="1"/>
  <c r="Q87" i="1"/>
  <c r="C3" i="12" s="1"/>
  <c r="R61" i="1"/>
  <c r="D9" i="8" s="1"/>
  <c r="R55" i="1"/>
  <c r="D3" i="8" s="1"/>
  <c r="Q96" i="1"/>
  <c r="C4" i="13" s="1"/>
  <c r="R23" i="1"/>
  <c r="D3" i="4" s="1"/>
  <c r="P15" i="1"/>
  <c r="B3" i="3" s="1"/>
  <c r="Q34" i="1"/>
  <c r="Q42" i="1"/>
  <c r="Q50" i="1"/>
  <c r="R24" i="1"/>
  <c r="D4" i="4" s="1"/>
  <c r="R38" i="1"/>
  <c r="D10" i="5" s="1"/>
  <c r="Q53" i="1"/>
  <c r="P14" i="1"/>
  <c r="P18" i="1"/>
  <c r="B6" i="3" s="1"/>
  <c r="Q48" i="1"/>
  <c r="Q67" i="1"/>
  <c r="Q75" i="1"/>
  <c r="Q83" i="1"/>
  <c r="Q103" i="1"/>
  <c r="Q9" i="1"/>
  <c r="P11" i="1"/>
  <c r="P74" i="1"/>
  <c r="P91" i="1"/>
  <c r="P64" i="1"/>
  <c r="Q84" i="1"/>
  <c r="Q92" i="1"/>
  <c r="P104" i="1"/>
  <c r="P100" i="1"/>
  <c r="Q66" i="1"/>
  <c r="P78" i="1"/>
  <c r="P87" i="1"/>
  <c r="P95" i="1"/>
  <c r="Q106" i="1"/>
  <c r="R21" i="1"/>
  <c r="D9" i="3" s="1"/>
  <c r="R49" i="1"/>
  <c r="D5" i="7" s="1"/>
  <c r="Q44" i="1"/>
  <c r="Q51" i="1"/>
  <c r="Q59" i="1"/>
  <c r="R30" i="1"/>
  <c r="D10" i="4" s="1"/>
  <c r="Q46" i="1"/>
  <c r="Q54" i="1"/>
  <c r="R56" i="1"/>
  <c r="D4" i="8" s="1"/>
  <c r="Q69" i="1"/>
  <c r="Q77" i="1"/>
  <c r="Q97" i="1"/>
  <c r="Q105" i="1"/>
  <c r="P85" i="1"/>
  <c r="Q102" i="1"/>
  <c r="Q76" i="1"/>
  <c r="P88" i="1"/>
  <c r="Q98" i="1"/>
  <c r="Q72" i="1"/>
  <c r="R8" i="1"/>
  <c r="D4" i="2" s="1"/>
  <c r="P13" i="1"/>
  <c r="R39" i="1"/>
  <c r="D3" i="6" s="1"/>
  <c r="Q63" i="1"/>
  <c r="Q79" i="1"/>
  <c r="R107" i="1"/>
  <c r="D7" i="14" s="1"/>
  <c r="Q86" i="1"/>
  <c r="P80" i="1"/>
  <c r="Q108" i="1"/>
  <c r="Q82" i="1"/>
  <c r="Q81" i="1"/>
  <c r="Q109" i="1"/>
  <c r="R7" i="1" l="1"/>
  <c r="D3" i="2" s="1"/>
  <c r="R73" i="1"/>
  <c r="D5" i="10" s="1"/>
  <c r="R99" i="1"/>
  <c r="D7" i="13" s="1"/>
  <c r="R35" i="1"/>
  <c r="D7" i="5" s="1"/>
  <c r="R27" i="1"/>
  <c r="D7" i="4" s="1"/>
  <c r="R45" i="1"/>
  <c r="D9" i="6" s="1"/>
  <c r="R47" i="1"/>
  <c r="D3" i="7" s="1"/>
  <c r="R41" i="1"/>
  <c r="D5" i="6" s="1"/>
  <c r="R70" i="1"/>
  <c r="D10" i="9" s="1"/>
  <c r="R40" i="1"/>
  <c r="D4" i="6" s="1"/>
  <c r="R29" i="1"/>
  <c r="D9" i="4" s="1"/>
  <c r="R60" i="1"/>
  <c r="D8" i="8" s="1"/>
  <c r="R19" i="1"/>
  <c r="D7" i="3" s="1"/>
  <c r="R25" i="1"/>
  <c r="D5" i="4" s="1"/>
  <c r="R36" i="1"/>
  <c r="D8" i="5" s="1"/>
  <c r="R52" i="1"/>
  <c r="D8" i="7" s="1"/>
  <c r="R65" i="1"/>
  <c r="D5" i="9" s="1"/>
  <c r="R68" i="1"/>
  <c r="D8" i="9" s="1"/>
  <c r="R62" i="1"/>
  <c r="D10" i="8" s="1"/>
  <c r="R108" i="1"/>
  <c r="D8" i="14" s="1"/>
  <c r="C8" i="14"/>
  <c r="R85" i="1"/>
  <c r="D9" i="11" s="1"/>
  <c r="B9" i="11"/>
  <c r="R69" i="1"/>
  <c r="D9" i="9" s="1"/>
  <c r="C9" i="9"/>
  <c r="R44" i="1"/>
  <c r="D8" i="6" s="1"/>
  <c r="C8" i="6"/>
  <c r="R100" i="1"/>
  <c r="D8" i="13" s="1"/>
  <c r="B8" i="13"/>
  <c r="R67" i="1"/>
  <c r="D7" i="9" s="1"/>
  <c r="C7" i="9"/>
  <c r="R80" i="1"/>
  <c r="D4" i="11" s="1"/>
  <c r="B4" i="11"/>
  <c r="R13" i="1"/>
  <c r="D9" i="2" s="1"/>
  <c r="B9" i="2"/>
  <c r="R59" i="1"/>
  <c r="D7" i="8" s="1"/>
  <c r="C7" i="8"/>
  <c r="R87" i="1"/>
  <c r="D3" i="12" s="1"/>
  <c r="B3" i="12"/>
  <c r="R91" i="1"/>
  <c r="D7" i="12" s="1"/>
  <c r="B7" i="12"/>
  <c r="R103" i="1"/>
  <c r="D3" i="14" s="1"/>
  <c r="C3" i="14"/>
  <c r="R53" i="1"/>
  <c r="D9" i="7" s="1"/>
  <c r="C9" i="7"/>
  <c r="R42" i="1"/>
  <c r="D6" i="6" s="1"/>
  <c r="C6" i="6"/>
  <c r="R93" i="1"/>
  <c r="D9" i="12" s="1"/>
  <c r="R96" i="1"/>
  <c r="D4" i="13" s="1"/>
  <c r="R76" i="1"/>
  <c r="D8" i="10" s="1"/>
  <c r="C8" i="10"/>
  <c r="R97" i="1"/>
  <c r="D5" i="13" s="1"/>
  <c r="C5" i="13"/>
  <c r="R54" i="1"/>
  <c r="D10" i="7" s="1"/>
  <c r="C10" i="7"/>
  <c r="R51" i="1"/>
  <c r="D7" i="7" s="1"/>
  <c r="C7" i="7"/>
  <c r="R78" i="1"/>
  <c r="D10" i="10" s="1"/>
  <c r="B10" i="10"/>
  <c r="R92" i="1"/>
  <c r="D8" i="12" s="1"/>
  <c r="C8" i="12"/>
  <c r="R74" i="1"/>
  <c r="D6" i="10" s="1"/>
  <c r="B6" i="10"/>
  <c r="R83" i="1"/>
  <c r="D7" i="11" s="1"/>
  <c r="C7" i="11"/>
  <c r="R48" i="1"/>
  <c r="D4" i="7" s="1"/>
  <c r="C4" i="7"/>
  <c r="R34" i="1"/>
  <c r="D6" i="5" s="1"/>
  <c r="C6" i="5"/>
  <c r="R57" i="1"/>
  <c r="D5" i="8" s="1"/>
  <c r="R94" i="1"/>
  <c r="D10" i="12" s="1"/>
  <c r="B10" i="12"/>
  <c r="R31" i="1"/>
  <c r="D3" i="5" s="1"/>
  <c r="B3" i="5"/>
  <c r="R22" i="1"/>
  <c r="D10" i="3" s="1"/>
  <c r="R20" i="1"/>
  <c r="D8" i="3" s="1"/>
  <c r="R98" i="1"/>
  <c r="D6" i="13" s="1"/>
  <c r="C6" i="13"/>
  <c r="R95" i="1"/>
  <c r="D3" i="13" s="1"/>
  <c r="B3" i="13"/>
  <c r="R64" i="1"/>
  <c r="D4" i="9" s="1"/>
  <c r="B4" i="9"/>
  <c r="R9" i="1"/>
  <c r="D5" i="2" s="1"/>
  <c r="C5" i="2"/>
  <c r="R14" i="1"/>
  <c r="D10" i="2" s="1"/>
  <c r="B10" i="2"/>
  <c r="R50" i="1"/>
  <c r="D6" i="7" s="1"/>
  <c r="C6" i="7"/>
  <c r="R12" i="1"/>
  <c r="D8" i="2" s="1"/>
  <c r="B8" i="2"/>
  <c r="R58" i="1"/>
  <c r="D6" i="8" s="1"/>
  <c r="C6" i="8"/>
  <c r="R109" i="1"/>
  <c r="D9" i="14" s="1"/>
  <c r="C9" i="14"/>
  <c r="R88" i="1"/>
  <c r="D4" i="12" s="1"/>
  <c r="B4" i="12"/>
  <c r="R105" i="1"/>
  <c r="D5" i="14" s="1"/>
  <c r="C5" i="14"/>
  <c r="R104" i="1"/>
  <c r="D4" i="14" s="1"/>
  <c r="B4" i="14"/>
  <c r="R32" i="1"/>
  <c r="D4" i="5" s="1"/>
  <c r="R17" i="1"/>
  <c r="D5" i="3" s="1"/>
  <c r="R101" i="1"/>
  <c r="D9" i="13" s="1"/>
  <c r="R90" i="1"/>
  <c r="D6" i="12" s="1"/>
  <c r="R79" i="1"/>
  <c r="D3" i="11" s="1"/>
  <c r="C3" i="11"/>
  <c r="R81" i="1"/>
  <c r="D5" i="11" s="1"/>
  <c r="C5" i="11"/>
  <c r="R82" i="1"/>
  <c r="D6" i="11" s="1"/>
  <c r="C6" i="11"/>
  <c r="R86" i="1"/>
  <c r="D10" i="11" s="1"/>
  <c r="C10" i="11"/>
  <c r="R63" i="1"/>
  <c r="D3" i="9" s="1"/>
  <c r="C3" i="9"/>
  <c r="R72" i="1"/>
  <c r="D4" i="10" s="1"/>
  <c r="C4" i="10"/>
  <c r="R102" i="1"/>
  <c r="D10" i="13" s="1"/>
  <c r="C10" i="13"/>
  <c r="R77" i="1"/>
  <c r="D9" i="10" s="1"/>
  <c r="C9" i="10"/>
  <c r="R46" i="1"/>
  <c r="D10" i="6" s="1"/>
  <c r="C10" i="6"/>
  <c r="R37" i="1"/>
  <c r="D9" i="5" s="1"/>
  <c r="R106" i="1"/>
  <c r="D6" i="14" s="1"/>
  <c r="C6" i="14"/>
  <c r="R66" i="1"/>
  <c r="D6" i="9" s="1"/>
  <c r="C6" i="9"/>
  <c r="R84" i="1"/>
  <c r="D8" i="11" s="1"/>
  <c r="C8" i="11"/>
  <c r="R11" i="1"/>
  <c r="D7" i="2" s="1"/>
  <c r="B7" i="2"/>
  <c r="R75" i="1"/>
  <c r="D7" i="10" s="1"/>
  <c r="C7" i="10"/>
  <c r="R18" i="1"/>
  <c r="D6" i="3" s="1"/>
  <c r="R15" i="1"/>
  <c r="D3" i="3" s="1"/>
  <c r="R71" i="1"/>
  <c r="D3" i="10" s="1"/>
  <c r="C3" i="10"/>
  <c r="R43" i="1"/>
  <c r="D7" i="6" s="1"/>
  <c r="R89" i="1"/>
  <c r="D5" i="12" s="1"/>
  <c r="R10" i="1"/>
  <c r="D6" i="2" s="1"/>
  <c r="C6" i="2"/>
</calcChain>
</file>

<file path=xl/sharedStrings.xml><?xml version="1.0" encoding="utf-8"?>
<sst xmlns="http://schemas.openxmlformats.org/spreadsheetml/2006/main" count="12" uniqueCount="8">
  <si>
    <t>Average income</t>
  </si>
  <si>
    <t>Average tax</t>
  </si>
  <si>
    <t>Average tax rate</t>
  </si>
  <si>
    <t>In UTA</t>
  </si>
  <si>
    <t>UTA</t>
  </si>
  <si>
    <t>In CHL $</t>
  </si>
  <si>
    <t>Year</t>
  </si>
  <si>
    <t>UTA values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</si>
</sst>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%"/>
    <numFmt numFmtId="165" formatCode="0.0000"/>
    <numFmt numFmtId="166" formatCode="0.00000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0">
    <xf numFmtId="0" fontId="0" fillId="0" borderId="0" xfId="0"/>
    <xf numFmtId="0" fontId="0" fillId="0" borderId="0" xfId="0" applyAlignment="1">
      <alignment wrapText="1"/>
    </xf>
    <xf numFmtId="164" fontId="0" fillId="0" borderId="0" xfId="1" applyNumberFormat="1" applyFont="1"/>
    <xf numFmtId="1" fontId="0" fillId="0" borderId="0" xfId="0" applyNumberFormat="1"/>
    <xf numFmtId="0" fontId="0" fillId="2" borderId="0" xfId="0" applyFill="1"/>
    <xf numFmtId="1" fontId="0" fillId="2" borderId="0" xfId="0" applyNumberFormat="1" applyFill="1"/>
    <xf numFmtId="164" fontId="0" fillId="2" borderId="0" xfId="1" applyNumberFormat="1" applyFont="1" applyFill="1"/>
    <xf numFmtId="165" fontId="0" fillId="0" borderId="0" xfId="0" applyNumberFormat="1"/>
    <xf numFmtId="166" fontId="0" fillId="0" borderId="0" xfId="0" applyNumberFormat="1"/>
    <xf numFmtId="0" fontId="0" fillId="0" borderId="0" xfId="0" applyAlignment="1">
      <alignment horizontal="center"/>
    </xf>
  </cellXfs>
  <cellStyles count="2">
    <cellStyle name="Normal" xfId="0" builtinId="0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Mauricio%20de%20Rosa/Dropbox%20(Desigualdad)/LATAM-WIL/Data/Tax-data/CHL/raw_tabulations/tab_consolidados_2005_2021.xlsb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Usuario/Dropbox/LATAM-WIL/Data/Tax-data/CHL/Raw%20tabulations/tab_consolidados_2005_2017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ab"/>
      <sheetName val="Datos"/>
      <sheetName val="Notas"/>
    </sheetNames>
    <sheetDataSet>
      <sheetData sheetId="0">
        <row r="1">
          <cell r="A1" t="str">
            <v>year</v>
          </cell>
          <cell r="B1" t="str">
            <v>tramo</v>
          </cell>
          <cell r="C1" t="str">
            <v>tasa</v>
          </cell>
          <cell r="D1" t="str">
            <v>N_GC</v>
          </cell>
          <cell r="E1" t="str">
            <v>Y_GC</v>
          </cell>
          <cell r="F1" t="str">
            <v>I_GC</v>
          </cell>
        </row>
        <row r="2">
          <cell r="A2">
            <v>2005</v>
          </cell>
          <cell r="B2">
            <v>0</v>
          </cell>
          <cell r="C2">
            <v>0</v>
          </cell>
          <cell r="D2">
            <v>1187090</v>
          </cell>
          <cell r="E2">
            <v>1841112.1</v>
          </cell>
          <cell r="F2">
            <v>0.4</v>
          </cell>
        </row>
        <row r="3">
          <cell r="A3">
            <v>2005</v>
          </cell>
          <cell r="B3">
            <v>13.5</v>
          </cell>
          <cell r="C3">
            <v>0.05</v>
          </cell>
          <cell r="D3">
            <v>322125</v>
          </cell>
          <cell r="E3">
            <v>2472473.9</v>
          </cell>
          <cell r="F3">
            <v>41215.599999999999</v>
          </cell>
        </row>
        <row r="4">
          <cell r="A4">
            <v>2005</v>
          </cell>
          <cell r="B4">
            <v>30</v>
          </cell>
          <cell r="C4">
            <v>0.1</v>
          </cell>
          <cell r="D4">
            <v>142946</v>
          </cell>
          <cell r="E4">
            <v>2083451.6</v>
          </cell>
          <cell r="F4">
            <v>90505.7</v>
          </cell>
        </row>
        <row r="5">
          <cell r="A5">
            <v>2005</v>
          </cell>
          <cell r="B5">
            <v>50</v>
          </cell>
          <cell r="C5">
            <v>0.15</v>
          </cell>
          <cell r="D5">
            <v>66633</v>
          </cell>
          <cell r="E5">
            <v>1490430.4</v>
          </cell>
          <cell r="F5">
            <v>105489.9</v>
          </cell>
        </row>
        <row r="6">
          <cell r="A6">
            <v>2005</v>
          </cell>
          <cell r="B6">
            <v>70</v>
          </cell>
          <cell r="C6">
            <v>0.25</v>
          </cell>
          <cell r="D6">
            <v>35706</v>
          </cell>
          <cell r="E6">
            <v>1068038.5</v>
          </cell>
          <cell r="F6">
            <v>108998</v>
          </cell>
        </row>
        <row r="7">
          <cell r="A7">
            <v>2005</v>
          </cell>
          <cell r="B7">
            <v>90</v>
          </cell>
          <cell r="C7">
            <v>0.32</v>
          </cell>
          <cell r="D7">
            <v>24220</v>
          </cell>
          <cell r="E7">
            <v>942537.4</v>
          </cell>
          <cell r="F7">
            <v>136587.4</v>
          </cell>
        </row>
        <row r="8">
          <cell r="A8">
            <v>2005</v>
          </cell>
          <cell r="B8">
            <v>120</v>
          </cell>
          <cell r="C8">
            <v>0.37</v>
          </cell>
          <cell r="D8">
            <v>9460</v>
          </cell>
          <cell r="E8">
            <v>476080.1</v>
          </cell>
          <cell r="F8">
            <v>90166.5</v>
          </cell>
        </row>
        <row r="9">
          <cell r="A9">
            <v>2005</v>
          </cell>
          <cell r="B9">
            <v>150</v>
          </cell>
          <cell r="C9">
            <v>0.4</v>
          </cell>
          <cell r="D9">
            <v>10505</v>
          </cell>
          <cell r="E9">
            <v>1058296.2</v>
          </cell>
          <cell r="F9">
            <v>309593.40000000002</v>
          </cell>
        </row>
        <row r="10">
          <cell r="A10">
            <v>2006</v>
          </cell>
          <cell r="B10">
            <v>0</v>
          </cell>
          <cell r="C10">
            <v>0</v>
          </cell>
          <cell r="D10">
            <v>1200653</v>
          </cell>
          <cell r="E10">
            <v>1945336.2</v>
          </cell>
          <cell r="F10">
            <v>3</v>
          </cell>
        </row>
        <row r="11">
          <cell r="A11">
            <v>2006</v>
          </cell>
          <cell r="B11">
            <v>13.5</v>
          </cell>
          <cell r="C11">
            <v>0.05</v>
          </cell>
          <cell r="D11">
            <v>344808</v>
          </cell>
          <cell r="E11">
            <v>2702640</v>
          </cell>
          <cell r="F11">
            <v>45158.8</v>
          </cell>
        </row>
        <row r="12">
          <cell r="A12">
            <v>2006</v>
          </cell>
          <cell r="B12">
            <v>30</v>
          </cell>
          <cell r="C12">
            <v>0.1</v>
          </cell>
          <cell r="D12">
            <v>154107</v>
          </cell>
          <cell r="E12">
            <v>2291386.2999999998</v>
          </cell>
          <cell r="F12">
            <v>99560.2</v>
          </cell>
        </row>
        <row r="13">
          <cell r="A13">
            <v>2006</v>
          </cell>
          <cell r="B13">
            <v>50</v>
          </cell>
          <cell r="C13">
            <v>0.15</v>
          </cell>
          <cell r="D13">
            <v>72288</v>
          </cell>
          <cell r="E13">
            <v>1653387.1</v>
          </cell>
          <cell r="F13">
            <v>117339.3</v>
          </cell>
        </row>
        <row r="14">
          <cell r="A14">
            <v>2006</v>
          </cell>
          <cell r="B14">
            <v>70</v>
          </cell>
          <cell r="C14">
            <v>0.25</v>
          </cell>
          <cell r="D14">
            <v>42329</v>
          </cell>
          <cell r="E14">
            <v>1291867.2</v>
          </cell>
          <cell r="F14">
            <v>131904.29999999999</v>
          </cell>
        </row>
        <row r="15">
          <cell r="A15">
            <v>2006</v>
          </cell>
          <cell r="B15">
            <v>90</v>
          </cell>
          <cell r="C15">
            <v>0.32</v>
          </cell>
          <cell r="D15">
            <v>28036</v>
          </cell>
          <cell r="E15">
            <v>1110409.3</v>
          </cell>
          <cell r="F15">
            <v>160490.70000000001</v>
          </cell>
        </row>
        <row r="16">
          <cell r="A16">
            <v>2006</v>
          </cell>
          <cell r="B16">
            <v>120</v>
          </cell>
          <cell r="C16">
            <v>0.37</v>
          </cell>
          <cell r="D16">
            <v>10735</v>
          </cell>
          <cell r="E16">
            <v>551294.19999999995</v>
          </cell>
          <cell r="F16">
            <v>104413.7</v>
          </cell>
        </row>
        <row r="17">
          <cell r="A17">
            <v>2006</v>
          </cell>
          <cell r="B17">
            <v>150</v>
          </cell>
          <cell r="C17">
            <v>0.4</v>
          </cell>
          <cell r="D17">
            <v>11327</v>
          </cell>
          <cell r="E17">
            <v>1164833.3999999999</v>
          </cell>
          <cell r="F17">
            <v>340196.9</v>
          </cell>
        </row>
        <row r="18">
          <cell r="A18">
            <v>2007</v>
          </cell>
          <cell r="B18">
            <v>0</v>
          </cell>
          <cell r="C18">
            <v>0</v>
          </cell>
          <cell r="D18">
            <v>1186205</v>
          </cell>
          <cell r="E18">
            <v>2099057.2000000002</v>
          </cell>
          <cell r="F18">
            <v>1.4</v>
          </cell>
        </row>
        <row r="19">
          <cell r="A19">
            <v>2007</v>
          </cell>
          <cell r="B19">
            <v>13.5</v>
          </cell>
          <cell r="C19">
            <v>0.05</v>
          </cell>
          <cell r="D19">
            <v>366318</v>
          </cell>
          <cell r="E19">
            <v>3053353</v>
          </cell>
          <cell r="F19">
            <v>51096.800000000003</v>
          </cell>
        </row>
        <row r="20">
          <cell r="A20">
            <v>2007</v>
          </cell>
          <cell r="B20">
            <v>30</v>
          </cell>
          <cell r="C20">
            <v>0.1</v>
          </cell>
          <cell r="D20">
            <v>165466</v>
          </cell>
          <cell r="E20">
            <v>2622359.9</v>
          </cell>
          <cell r="F20">
            <v>114390.8</v>
          </cell>
        </row>
        <row r="21">
          <cell r="A21">
            <v>2007</v>
          </cell>
          <cell r="B21">
            <v>50</v>
          </cell>
          <cell r="C21">
            <v>0.15</v>
          </cell>
          <cell r="D21">
            <v>82676</v>
          </cell>
          <cell r="E21">
            <v>2005960.1</v>
          </cell>
          <cell r="F21">
            <v>142110.70000000001</v>
          </cell>
        </row>
        <row r="22">
          <cell r="A22">
            <v>2007</v>
          </cell>
          <cell r="B22">
            <v>70</v>
          </cell>
          <cell r="C22">
            <v>0.25</v>
          </cell>
          <cell r="D22">
            <v>45180</v>
          </cell>
          <cell r="E22">
            <v>1463426.2</v>
          </cell>
          <cell r="F22">
            <v>149174.79999999999</v>
          </cell>
        </row>
        <row r="23">
          <cell r="A23">
            <v>2007</v>
          </cell>
          <cell r="B23">
            <v>90</v>
          </cell>
          <cell r="C23">
            <v>0.32</v>
          </cell>
          <cell r="D23">
            <v>30173</v>
          </cell>
          <cell r="E23">
            <v>1271988</v>
          </cell>
          <cell r="F23">
            <v>184216.4</v>
          </cell>
        </row>
        <row r="24">
          <cell r="A24">
            <v>2007</v>
          </cell>
          <cell r="B24">
            <v>120</v>
          </cell>
          <cell r="C24">
            <v>0.37</v>
          </cell>
          <cell r="D24">
            <v>11829</v>
          </cell>
          <cell r="E24">
            <v>646778.5</v>
          </cell>
          <cell r="F24">
            <v>122798.2</v>
          </cell>
        </row>
        <row r="25">
          <cell r="A25">
            <v>2007</v>
          </cell>
          <cell r="B25">
            <v>150</v>
          </cell>
          <cell r="C25">
            <v>0.4</v>
          </cell>
          <cell r="D25">
            <v>12484</v>
          </cell>
          <cell r="E25">
            <v>1349216.6</v>
          </cell>
          <cell r="F25">
            <v>393313.8</v>
          </cell>
        </row>
        <row r="26">
          <cell r="A26">
            <v>2008</v>
          </cell>
          <cell r="B26">
            <v>0</v>
          </cell>
          <cell r="C26">
            <v>0</v>
          </cell>
          <cell r="D26">
            <v>1207673</v>
          </cell>
          <cell r="E26">
            <v>2394070.7000000002</v>
          </cell>
          <cell r="F26">
            <v>0.8</v>
          </cell>
        </row>
        <row r="27">
          <cell r="A27">
            <v>2008</v>
          </cell>
          <cell r="B27">
            <v>13.5</v>
          </cell>
          <cell r="C27">
            <v>0.05</v>
          </cell>
          <cell r="D27">
            <v>387722</v>
          </cell>
          <cell r="E27">
            <v>3549449.3</v>
          </cell>
          <cell r="F27">
            <v>59183.3</v>
          </cell>
        </row>
        <row r="28">
          <cell r="A28">
            <v>2008</v>
          </cell>
          <cell r="B28">
            <v>30</v>
          </cell>
          <cell r="C28">
            <v>0.1</v>
          </cell>
          <cell r="D28">
            <v>174711</v>
          </cell>
          <cell r="E28">
            <v>3044761.2</v>
          </cell>
          <cell r="F28">
            <v>132699.29999999999</v>
          </cell>
        </row>
        <row r="29">
          <cell r="A29">
            <v>2008</v>
          </cell>
          <cell r="B29">
            <v>50</v>
          </cell>
          <cell r="C29">
            <v>0.15</v>
          </cell>
          <cell r="D29">
            <v>85624</v>
          </cell>
          <cell r="E29">
            <v>2281341</v>
          </cell>
          <cell r="F29">
            <v>161242.70000000001</v>
          </cell>
        </row>
        <row r="30">
          <cell r="A30">
            <v>2008</v>
          </cell>
          <cell r="B30">
            <v>70</v>
          </cell>
          <cell r="C30">
            <v>0.25</v>
          </cell>
          <cell r="D30">
            <v>43775</v>
          </cell>
          <cell r="E30">
            <v>1559043.7</v>
          </cell>
          <cell r="F30">
            <v>158704.1</v>
          </cell>
        </row>
        <row r="31">
          <cell r="A31">
            <v>2008</v>
          </cell>
          <cell r="B31">
            <v>90</v>
          </cell>
          <cell r="C31">
            <v>0.32</v>
          </cell>
          <cell r="D31">
            <v>30125</v>
          </cell>
          <cell r="E31">
            <v>1396254.1</v>
          </cell>
          <cell r="F31">
            <v>201975.9</v>
          </cell>
        </row>
        <row r="32">
          <cell r="A32">
            <v>2008</v>
          </cell>
          <cell r="B32">
            <v>120</v>
          </cell>
          <cell r="C32">
            <v>0.37</v>
          </cell>
          <cell r="D32">
            <v>11964</v>
          </cell>
          <cell r="E32">
            <v>718803.4</v>
          </cell>
          <cell r="F32">
            <v>136230.79999999999</v>
          </cell>
        </row>
        <row r="33">
          <cell r="A33">
            <v>2008</v>
          </cell>
          <cell r="B33">
            <v>150</v>
          </cell>
          <cell r="C33">
            <v>0.4</v>
          </cell>
          <cell r="D33">
            <v>12601</v>
          </cell>
          <cell r="E33">
            <v>1525739.2</v>
          </cell>
          <cell r="F33">
            <v>447708.8</v>
          </cell>
        </row>
        <row r="34">
          <cell r="A34">
            <v>2009</v>
          </cell>
          <cell r="B34">
            <v>0</v>
          </cell>
          <cell r="C34">
            <v>0</v>
          </cell>
          <cell r="D34">
            <v>1211558</v>
          </cell>
          <cell r="E34">
            <v>2346371.2999999998</v>
          </cell>
          <cell r="F34">
            <v>2.2000000000000002</v>
          </cell>
        </row>
        <row r="35">
          <cell r="A35">
            <v>2009</v>
          </cell>
          <cell r="B35">
            <v>13.5</v>
          </cell>
          <cell r="C35">
            <v>0.05</v>
          </cell>
          <cell r="D35">
            <v>398336</v>
          </cell>
          <cell r="E35">
            <v>3578437.4</v>
          </cell>
          <cell r="F35">
            <v>59943.4</v>
          </cell>
        </row>
        <row r="36">
          <cell r="A36">
            <v>2009</v>
          </cell>
          <cell r="B36">
            <v>30</v>
          </cell>
          <cell r="C36">
            <v>0.1</v>
          </cell>
          <cell r="D36">
            <v>181589</v>
          </cell>
          <cell r="E36">
            <v>3099099.3</v>
          </cell>
          <cell r="F36">
            <v>135112.1</v>
          </cell>
        </row>
        <row r="37">
          <cell r="A37">
            <v>2009</v>
          </cell>
          <cell r="B37">
            <v>50</v>
          </cell>
          <cell r="C37">
            <v>0.15</v>
          </cell>
          <cell r="D37">
            <v>88434</v>
          </cell>
          <cell r="E37">
            <v>2311690.2000000002</v>
          </cell>
          <cell r="F37">
            <v>163779.9</v>
          </cell>
        </row>
        <row r="38">
          <cell r="A38">
            <v>2009</v>
          </cell>
          <cell r="B38">
            <v>70</v>
          </cell>
          <cell r="C38">
            <v>0.25</v>
          </cell>
          <cell r="D38">
            <v>50186</v>
          </cell>
          <cell r="E38">
            <v>1753662.7</v>
          </cell>
          <cell r="F38">
            <v>179108.6</v>
          </cell>
        </row>
        <row r="39">
          <cell r="A39">
            <v>2009</v>
          </cell>
          <cell r="B39">
            <v>90</v>
          </cell>
          <cell r="C39">
            <v>0.32</v>
          </cell>
          <cell r="D39">
            <v>35686</v>
          </cell>
          <cell r="E39">
            <v>1619432.2</v>
          </cell>
          <cell r="F39">
            <v>234284.3</v>
          </cell>
        </row>
        <row r="40">
          <cell r="A40">
            <v>2009</v>
          </cell>
          <cell r="B40">
            <v>120</v>
          </cell>
          <cell r="C40">
            <v>0.37</v>
          </cell>
          <cell r="D40">
            <v>13384</v>
          </cell>
          <cell r="E40">
            <v>785902.2</v>
          </cell>
          <cell r="F40">
            <v>148756.6</v>
          </cell>
        </row>
        <row r="41">
          <cell r="A41">
            <v>2009</v>
          </cell>
          <cell r="B41">
            <v>150</v>
          </cell>
          <cell r="C41">
            <v>0.4</v>
          </cell>
          <cell r="D41">
            <v>13672</v>
          </cell>
          <cell r="E41">
            <v>1562675.5</v>
          </cell>
          <cell r="F41">
            <v>452522.3</v>
          </cell>
        </row>
        <row r="42">
          <cell r="A42">
            <v>2010</v>
          </cell>
          <cell r="B42">
            <v>0</v>
          </cell>
          <cell r="C42">
            <v>0</v>
          </cell>
          <cell r="D42">
            <v>1233620</v>
          </cell>
          <cell r="E42">
            <v>2482860.5</v>
          </cell>
          <cell r="F42">
            <v>0.4</v>
          </cell>
        </row>
        <row r="43">
          <cell r="A43">
            <v>2010</v>
          </cell>
          <cell r="B43">
            <v>13.5</v>
          </cell>
          <cell r="C43">
            <v>0.05</v>
          </cell>
          <cell r="D43">
            <v>429070</v>
          </cell>
          <cell r="E43">
            <v>3948694.2</v>
          </cell>
          <cell r="F43">
            <v>66685.5</v>
          </cell>
        </row>
        <row r="44">
          <cell r="A44">
            <v>2010</v>
          </cell>
          <cell r="B44">
            <v>30</v>
          </cell>
          <cell r="C44">
            <v>0.1</v>
          </cell>
          <cell r="D44">
            <v>201282</v>
          </cell>
          <cell r="E44">
            <v>3507427.5</v>
          </cell>
          <cell r="F44">
            <v>153085.4</v>
          </cell>
        </row>
        <row r="45">
          <cell r="A45">
            <v>2010</v>
          </cell>
          <cell r="B45">
            <v>50</v>
          </cell>
          <cell r="C45">
            <v>0.15</v>
          </cell>
          <cell r="D45">
            <v>98761</v>
          </cell>
          <cell r="E45">
            <v>2634586.6</v>
          </cell>
          <cell r="F45">
            <v>186687.8</v>
          </cell>
        </row>
        <row r="46">
          <cell r="A46">
            <v>2010</v>
          </cell>
          <cell r="B46">
            <v>70</v>
          </cell>
          <cell r="C46">
            <v>0.25</v>
          </cell>
          <cell r="D46">
            <v>53249</v>
          </cell>
          <cell r="E46">
            <v>1900807.8</v>
          </cell>
          <cell r="F46">
            <v>194495.1</v>
          </cell>
        </row>
        <row r="47">
          <cell r="A47">
            <v>2010</v>
          </cell>
          <cell r="B47">
            <v>90</v>
          </cell>
          <cell r="C47">
            <v>0.32</v>
          </cell>
          <cell r="D47">
            <v>40619</v>
          </cell>
          <cell r="E47">
            <v>1884149.1</v>
          </cell>
          <cell r="F47">
            <v>273233.90000000002</v>
          </cell>
        </row>
        <row r="48">
          <cell r="A48">
            <v>2010</v>
          </cell>
          <cell r="B48">
            <v>120</v>
          </cell>
          <cell r="C48">
            <v>0.37</v>
          </cell>
          <cell r="D48">
            <v>15515</v>
          </cell>
          <cell r="E48">
            <v>929154.9</v>
          </cell>
          <cell r="F48">
            <v>175774.7</v>
          </cell>
        </row>
        <row r="49">
          <cell r="A49">
            <v>2010</v>
          </cell>
          <cell r="B49">
            <v>150</v>
          </cell>
          <cell r="C49">
            <v>0.4</v>
          </cell>
          <cell r="D49">
            <v>15537</v>
          </cell>
          <cell r="E49">
            <v>1813561.1</v>
          </cell>
          <cell r="F49">
            <v>525145</v>
          </cell>
        </row>
        <row r="50">
          <cell r="A50">
            <v>2011</v>
          </cell>
          <cell r="B50">
            <v>0</v>
          </cell>
          <cell r="C50">
            <v>0</v>
          </cell>
          <cell r="D50">
            <v>1262957</v>
          </cell>
          <cell r="E50">
            <v>2701833.5</v>
          </cell>
          <cell r="F50">
            <v>2.7</v>
          </cell>
        </row>
        <row r="51">
          <cell r="A51">
            <v>2011</v>
          </cell>
          <cell r="B51">
            <v>13.5</v>
          </cell>
          <cell r="C51">
            <v>0.05</v>
          </cell>
          <cell r="D51">
            <v>473487</v>
          </cell>
          <cell r="E51">
            <v>4524207.4000000004</v>
          </cell>
          <cell r="F51">
            <v>76500.3</v>
          </cell>
        </row>
        <row r="52">
          <cell r="A52">
            <v>2011</v>
          </cell>
          <cell r="B52">
            <v>30</v>
          </cell>
          <cell r="C52">
            <v>0.1</v>
          </cell>
          <cell r="D52">
            <v>217728</v>
          </cell>
          <cell r="E52">
            <v>3928707</v>
          </cell>
          <cell r="F52">
            <v>170985.4</v>
          </cell>
        </row>
        <row r="53">
          <cell r="A53">
            <v>2011</v>
          </cell>
          <cell r="B53">
            <v>50</v>
          </cell>
          <cell r="C53">
            <v>0.15</v>
          </cell>
          <cell r="D53">
            <v>107667</v>
          </cell>
          <cell r="E53">
            <v>2982155.3</v>
          </cell>
          <cell r="F53">
            <v>211454.4</v>
          </cell>
        </row>
        <row r="54">
          <cell r="A54">
            <v>2011</v>
          </cell>
          <cell r="B54">
            <v>70</v>
          </cell>
          <cell r="C54">
            <v>0.25</v>
          </cell>
          <cell r="D54">
            <v>61206</v>
          </cell>
          <cell r="E54">
            <v>2263793.2000000002</v>
          </cell>
          <cell r="F54">
            <v>231182.6</v>
          </cell>
        </row>
        <row r="55">
          <cell r="A55">
            <v>2011</v>
          </cell>
          <cell r="B55">
            <v>90</v>
          </cell>
          <cell r="C55">
            <v>0.32</v>
          </cell>
          <cell r="D55">
            <v>42893</v>
          </cell>
          <cell r="E55">
            <v>2064349.8</v>
          </cell>
          <cell r="F55">
            <v>299322.5</v>
          </cell>
        </row>
        <row r="56">
          <cell r="A56">
            <v>2011</v>
          </cell>
          <cell r="B56">
            <v>120</v>
          </cell>
          <cell r="C56">
            <v>0.37</v>
          </cell>
          <cell r="D56">
            <v>17241</v>
          </cell>
          <cell r="E56">
            <v>1073295.1000000001</v>
          </cell>
          <cell r="F56">
            <v>203387.7</v>
          </cell>
        </row>
        <row r="57">
          <cell r="A57">
            <v>2011</v>
          </cell>
          <cell r="B57">
            <v>150</v>
          </cell>
          <cell r="C57">
            <v>0.4</v>
          </cell>
          <cell r="D57">
            <v>18120</v>
          </cell>
          <cell r="E57">
            <v>2254499.2999999998</v>
          </cell>
          <cell r="F57">
            <v>659760.5</v>
          </cell>
        </row>
        <row r="58">
          <cell r="A58">
            <v>2012</v>
          </cell>
          <cell r="B58">
            <v>0</v>
          </cell>
          <cell r="C58">
            <v>0</v>
          </cell>
          <cell r="D58">
            <v>1415149</v>
          </cell>
          <cell r="E58">
            <v>3639868.8</v>
          </cell>
          <cell r="F58">
            <v>1.9</v>
          </cell>
        </row>
        <row r="59">
          <cell r="A59">
            <v>2012</v>
          </cell>
          <cell r="B59">
            <v>13.5</v>
          </cell>
          <cell r="C59">
            <v>0.05</v>
          </cell>
          <cell r="D59">
            <v>761028</v>
          </cell>
          <cell r="E59">
            <v>7345256.2000000002</v>
          </cell>
          <cell r="F59">
            <v>119310.8</v>
          </cell>
        </row>
        <row r="60">
          <cell r="A60">
            <v>2012</v>
          </cell>
          <cell r="B60">
            <v>30</v>
          </cell>
          <cell r="C60">
            <v>0.1</v>
          </cell>
          <cell r="D60">
            <v>282625</v>
          </cell>
          <cell r="E60">
            <v>5230594.7</v>
          </cell>
          <cell r="F60">
            <v>226274</v>
          </cell>
        </row>
        <row r="61">
          <cell r="A61">
            <v>2012</v>
          </cell>
          <cell r="B61">
            <v>50</v>
          </cell>
          <cell r="C61">
            <v>0.15</v>
          </cell>
          <cell r="D61">
            <v>127360</v>
          </cell>
          <cell r="E61">
            <v>3623064.3</v>
          </cell>
          <cell r="F61">
            <v>255955.3</v>
          </cell>
        </row>
        <row r="62">
          <cell r="A62">
            <v>2012</v>
          </cell>
          <cell r="B62">
            <v>70</v>
          </cell>
          <cell r="C62">
            <v>0.25</v>
          </cell>
          <cell r="D62">
            <v>67568</v>
          </cell>
          <cell r="E62">
            <v>2575328</v>
          </cell>
          <cell r="F62">
            <v>262995.8</v>
          </cell>
        </row>
        <row r="63">
          <cell r="A63">
            <v>2012</v>
          </cell>
          <cell r="B63">
            <v>90</v>
          </cell>
          <cell r="C63">
            <v>0.32</v>
          </cell>
          <cell r="D63">
            <v>51652</v>
          </cell>
          <cell r="E63">
            <v>2570133.7000000002</v>
          </cell>
          <cell r="F63">
            <v>374196.7</v>
          </cell>
        </row>
        <row r="64">
          <cell r="A64">
            <v>2012</v>
          </cell>
          <cell r="B64">
            <v>120</v>
          </cell>
          <cell r="C64">
            <v>0.37</v>
          </cell>
          <cell r="D64">
            <v>23436</v>
          </cell>
          <cell r="E64">
            <v>1500001.5</v>
          </cell>
          <cell r="F64">
            <v>283694.7</v>
          </cell>
        </row>
        <row r="65">
          <cell r="A65">
            <v>2012</v>
          </cell>
          <cell r="B65">
            <v>150</v>
          </cell>
          <cell r="C65">
            <v>0.4</v>
          </cell>
          <cell r="D65">
            <v>25139</v>
          </cell>
          <cell r="E65">
            <v>3097144.8</v>
          </cell>
          <cell r="F65">
            <v>892014.8</v>
          </cell>
        </row>
        <row r="66">
          <cell r="A66">
            <v>2013</v>
          </cell>
          <cell r="B66">
            <v>0</v>
          </cell>
          <cell r="C66">
            <v>0</v>
          </cell>
          <cell r="D66">
            <v>1396883</v>
          </cell>
          <cell r="E66">
            <v>3765657.1</v>
          </cell>
          <cell r="F66">
            <v>2.9</v>
          </cell>
        </row>
        <row r="67">
          <cell r="A67">
            <v>2013</v>
          </cell>
          <cell r="B67">
            <v>13.5</v>
          </cell>
          <cell r="C67">
            <v>0.04</v>
          </cell>
          <cell r="D67">
            <v>810612</v>
          </cell>
          <cell r="E67">
            <v>7946507.7999999998</v>
          </cell>
          <cell r="F67">
            <v>103613.1</v>
          </cell>
        </row>
        <row r="68">
          <cell r="A68">
            <v>2013</v>
          </cell>
          <cell r="B68">
            <v>30</v>
          </cell>
          <cell r="C68">
            <v>0.08</v>
          </cell>
          <cell r="D68">
            <v>304691</v>
          </cell>
          <cell r="E68">
            <v>5715260</v>
          </cell>
          <cell r="F68">
            <v>197655.5</v>
          </cell>
        </row>
        <row r="69">
          <cell r="A69">
            <v>2013</v>
          </cell>
          <cell r="B69">
            <v>50</v>
          </cell>
          <cell r="C69">
            <v>0.13500000000000001</v>
          </cell>
          <cell r="D69">
            <v>137876</v>
          </cell>
          <cell r="E69">
            <v>3980175.6</v>
          </cell>
          <cell r="F69">
            <v>234221</v>
          </cell>
        </row>
        <row r="70">
          <cell r="A70">
            <v>2013</v>
          </cell>
          <cell r="B70">
            <v>70</v>
          </cell>
          <cell r="C70">
            <v>0.23</v>
          </cell>
          <cell r="D70">
            <v>75989</v>
          </cell>
          <cell r="E70">
            <v>2935712.8</v>
          </cell>
          <cell r="F70">
            <v>260795.2</v>
          </cell>
        </row>
        <row r="71">
          <cell r="A71">
            <v>2013</v>
          </cell>
          <cell r="B71">
            <v>90</v>
          </cell>
          <cell r="C71">
            <v>0.30399999999999999</v>
          </cell>
          <cell r="D71">
            <v>56981</v>
          </cell>
          <cell r="E71">
            <v>2870978.1</v>
          </cell>
          <cell r="F71">
            <v>376223.2</v>
          </cell>
        </row>
        <row r="72">
          <cell r="A72">
            <v>2013</v>
          </cell>
          <cell r="B72">
            <v>120</v>
          </cell>
          <cell r="C72">
            <v>0.35499999999999998</v>
          </cell>
          <cell r="D72">
            <v>23951</v>
          </cell>
          <cell r="E72">
            <v>1556331.6</v>
          </cell>
          <cell r="F72">
            <v>271938.40000000002</v>
          </cell>
        </row>
        <row r="73">
          <cell r="A73">
            <v>2013</v>
          </cell>
          <cell r="B73">
            <v>150</v>
          </cell>
          <cell r="C73">
            <v>0.4</v>
          </cell>
          <cell r="D73">
            <v>27866</v>
          </cell>
          <cell r="E73">
            <v>3483073.2</v>
          </cell>
          <cell r="F73">
            <v>974206.4</v>
          </cell>
        </row>
        <row r="74">
          <cell r="A74">
            <v>2014</v>
          </cell>
          <cell r="B74">
            <v>0</v>
          </cell>
          <cell r="C74">
            <v>0</v>
          </cell>
          <cell r="D74">
            <v>1405059</v>
          </cell>
          <cell r="E74">
            <v>4106106.5</v>
          </cell>
          <cell r="F74">
            <v>2.4</v>
          </cell>
        </row>
        <row r="75">
          <cell r="A75">
            <v>2014</v>
          </cell>
          <cell r="B75">
            <v>13.5</v>
          </cell>
          <cell r="C75">
            <v>0.04</v>
          </cell>
          <cell r="D75">
            <v>900454</v>
          </cell>
          <cell r="E75">
            <v>9333963.3000000007</v>
          </cell>
          <cell r="F75">
            <v>121234.9</v>
          </cell>
        </row>
        <row r="76">
          <cell r="A76">
            <v>2014</v>
          </cell>
          <cell r="B76">
            <v>30</v>
          </cell>
          <cell r="C76">
            <v>0.08</v>
          </cell>
          <cell r="D76">
            <v>325043</v>
          </cell>
          <cell r="E76">
            <v>6452698.7000000002</v>
          </cell>
          <cell r="F76">
            <v>222938.4</v>
          </cell>
        </row>
        <row r="77">
          <cell r="A77">
            <v>2014</v>
          </cell>
          <cell r="B77">
            <v>50</v>
          </cell>
          <cell r="C77">
            <v>0.13500000000000001</v>
          </cell>
          <cell r="D77">
            <v>144018</v>
          </cell>
          <cell r="E77">
            <v>4405163.2</v>
          </cell>
          <cell r="F77">
            <v>259396</v>
          </cell>
        </row>
        <row r="78">
          <cell r="A78">
            <v>2014</v>
          </cell>
          <cell r="B78">
            <v>70</v>
          </cell>
          <cell r="C78">
            <v>0.23</v>
          </cell>
          <cell r="D78">
            <v>80133</v>
          </cell>
          <cell r="E78">
            <v>3280222.7</v>
          </cell>
          <cell r="F78">
            <v>291563.3</v>
          </cell>
        </row>
        <row r="79">
          <cell r="A79">
            <v>2014</v>
          </cell>
          <cell r="B79">
            <v>90</v>
          </cell>
          <cell r="C79">
            <v>0.30399999999999999</v>
          </cell>
          <cell r="D79">
            <v>59765</v>
          </cell>
          <cell r="E79">
            <v>3191610.3</v>
          </cell>
          <cell r="F79">
            <v>418616.5</v>
          </cell>
        </row>
        <row r="80">
          <cell r="A80">
            <v>2014</v>
          </cell>
          <cell r="B80">
            <v>120</v>
          </cell>
          <cell r="C80">
            <v>0.35499999999999998</v>
          </cell>
          <cell r="D80">
            <v>26554</v>
          </cell>
          <cell r="E80">
            <v>1831610.7</v>
          </cell>
          <cell r="F80">
            <v>320832</v>
          </cell>
        </row>
        <row r="81">
          <cell r="A81">
            <v>2014</v>
          </cell>
          <cell r="B81">
            <v>150</v>
          </cell>
          <cell r="C81">
            <v>0.4</v>
          </cell>
          <cell r="D81">
            <v>34493</v>
          </cell>
          <cell r="E81">
            <v>4591691.7</v>
          </cell>
          <cell r="F81">
            <v>1287584.6000000001</v>
          </cell>
        </row>
        <row r="82">
          <cell r="A82">
            <v>2015</v>
          </cell>
          <cell r="B82">
            <v>0</v>
          </cell>
          <cell r="C82">
            <v>0</v>
          </cell>
          <cell r="D82">
            <v>1457765</v>
          </cell>
          <cell r="E82">
            <v>4406525.8</v>
          </cell>
          <cell r="F82">
            <v>3.2</v>
          </cell>
        </row>
        <row r="83">
          <cell r="A83">
            <v>2015</v>
          </cell>
          <cell r="B83">
            <v>13.5</v>
          </cell>
          <cell r="C83">
            <v>0.04</v>
          </cell>
          <cell r="D83">
            <v>950010</v>
          </cell>
          <cell r="E83">
            <v>10236342.199999999</v>
          </cell>
          <cell r="F83">
            <v>132648.20000000001</v>
          </cell>
        </row>
        <row r="84">
          <cell r="A84">
            <v>2015</v>
          </cell>
          <cell r="B84">
            <v>30</v>
          </cell>
          <cell r="C84">
            <v>0.08</v>
          </cell>
          <cell r="D84">
            <v>342790</v>
          </cell>
          <cell r="E84">
            <v>7073844.0999999996</v>
          </cell>
          <cell r="F84">
            <v>244056.3</v>
          </cell>
        </row>
        <row r="85">
          <cell r="A85">
            <v>2015</v>
          </cell>
          <cell r="B85">
            <v>50</v>
          </cell>
          <cell r="C85">
            <v>0.13500000000000001</v>
          </cell>
          <cell r="D85">
            <v>150227</v>
          </cell>
          <cell r="E85">
            <v>4778642</v>
          </cell>
          <cell r="F85">
            <v>281146.09999999998</v>
          </cell>
        </row>
        <row r="86">
          <cell r="A86">
            <v>2015</v>
          </cell>
          <cell r="B86">
            <v>70</v>
          </cell>
          <cell r="C86">
            <v>0.23</v>
          </cell>
          <cell r="D86">
            <v>82177</v>
          </cell>
          <cell r="E86">
            <v>3497313.4</v>
          </cell>
          <cell r="F86">
            <v>310394.40000000002</v>
          </cell>
        </row>
        <row r="87">
          <cell r="A87">
            <v>2015</v>
          </cell>
          <cell r="B87">
            <v>90</v>
          </cell>
          <cell r="C87">
            <v>0.30399999999999999</v>
          </cell>
          <cell r="D87">
            <v>59979</v>
          </cell>
          <cell r="E87">
            <v>3338208.5</v>
          </cell>
          <cell r="F87">
            <v>438696.8</v>
          </cell>
        </row>
        <row r="88">
          <cell r="A88">
            <v>2015</v>
          </cell>
          <cell r="B88">
            <v>120</v>
          </cell>
          <cell r="C88">
            <v>0.35499999999999998</v>
          </cell>
          <cell r="D88">
            <v>29026</v>
          </cell>
          <cell r="E88">
            <v>2085191.1</v>
          </cell>
          <cell r="F88">
            <v>365576.8</v>
          </cell>
        </row>
        <row r="89">
          <cell r="A89">
            <v>2015</v>
          </cell>
          <cell r="B89">
            <v>150</v>
          </cell>
          <cell r="C89">
            <v>0.4</v>
          </cell>
          <cell r="D89">
            <v>38149</v>
          </cell>
          <cell r="E89">
            <v>5428439.7000000002</v>
          </cell>
          <cell r="F89">
            <v>1539710.6</v>
          </cell>
        </row>
        <row r="90">
          <cell r="A90">
            <v>2016</v>
          </cell>
          <cell r="B90">
            <v>0</v>
          </cell>
          <cell r="C90">
            <v>0</v>
          </cell>
          <cell r="D90">
            <v>1516418</v>
          </cell>
          <cell r="E90">
            <v>4689277.0999999996</v>
          </cell>
          <cell r="F90">
            <v>0</v>
          </cell>
        </row>
        <row r="91">
          <cell r="A91">
            <v>2016</v>
          </cell>
          <cell r="B91">
            <v>13.5</v>
          </cell>
          <cell r="C91">
            <v>0.04</v>
          </cell>
          <cell r="D91">
            <v>969059</v>
          </cell>
          <cell r="E91">
            <v>10724815.4</v>
          </cell>
          <cell r="F91">
            <v>138928.5</v>
          </cell>
        </row>
        <row r="92">
          <cell r="A92">
            <v>2016</v>
          </cell>
          <cell r="B92">
            <v>30</v>
          </cell>
          <cell r="C92">
            <v>0.08</v>
          </cell>
          <cell r="D92">
            <v>352980</v>
          </cell>
          <cell r="E92">
            <v>7485186.5999999996</v>
          </cell>
          <cell r="F92">
            <v>258359.1</v>
          </cell>
        </row>
        <row r="93">
          <cell r="A93">
            <v>2016</v>
          </cell>
          <cell r="B93">
            <v>50</v>
          </cell>
          <cell r="C93">
            <v>0.13500000000000001</v>
          </cell>
          <cell r="D93">
            <v>151884</v>
          </cell>
          <cell r="E93">
            <v>4961831</v>
          </cell>
          <cell r="F93">
            <v>291817.3</v>
          </cell>
        </row>
        <row r="94">
          <cell r="A94">
            <v>2016</v>
          </cell>
          <cell r="B94">
            <v>70</v>
          </cell>
          <cell r="C94">
            <v>0.23</v>
          </cell>
          <cell r="D94">
            <v>82939</v>
          </cell>
          <cell r="E94">
            <v>3632569</v>
          </cell>
          <cell r="F94">
            <v>323309.09999999998</v>
          </cell>
        </row>
        <row r="95">
          <cell r="A95">
            <v>2016</v>
          </cell>
          <cell r="B95">
            <v>90</v>
          </cell>
          <cell r="C95">
            <v>0.30399999999999999</v>
          </cell>
          <cell r="D95">
            <v>62366</v>
          </cell>
          <cell r="E95">
            <v>3566390</v>
          </cell>
          <cell r="F95">
            <v>468820.1</v>
          </cell>
        </row>
        <row r="96">
          <cell r="A96">
            <v>2016</v>
          </cell>
          <cell r="B96">
            <v>120</v>
          </cell>
          <cell r="C96">
            <v>0.35499999999999998</v>
          </cell>
          <cell r="D96">
            <v>29566</v>
          </cell>
          <cell r="E96">
            <v>2182335</v>
          </cell>
          <cell r="F96">
            <v>382619.4</v>
          </cell>
        </row>
        <row r="97">
          <cell r="A97">
            <v>2016</v>
          </cell>
          <cell r="B97">
            <v>150</v>
          </cell>
          <cell r="C97">
            <v>0.4</v>
          </cell>
          <cell r="D97">
            <v>39363</v>
          </cell>
          <cell r="E97">
            <v>5674856</v>
          </cell>
          <cell r="F97">
            <v>1597836</v>
          </cell>
        </row>
        <row r="98">
          <cell r="A98">
            <v>2017</v>
          </cell>
          <cell r="B98">
            <v>0</v>
          </cell>
          <cell r="C98">
            <v>0</v>
          </cell>
          <cell r="D98">
            <v>1758148</v>
          </cell>
          <cell r="E98">
            <v>5439018.5</v>
          </cell>
          <cell r="F98">
            <v>2.2999999999999998</v>
          </cell>
        </row>
        <row r="99">
          <cell r="A99">
            <v>2017</v>
          </cell>
          <cell r="B99">
            <v>13.5</v>
          </cell>
          <cell r="C99">
            <v>0.04</v>
          </cell>
          <cell r="D99">
            <v>984096</v>
          </cell>
          <cell r="E99">
            <v>11112148</v>
          </cell>
          <cell r="F99">
            <v>144895.79999999999</v>
          </cell>
        </row>
        <row r="100">
          <cell r="A100">
            <v>2017</v>
          </cell>
          <cell r="B100">
            <v>30</v>
          </cell>
          <cell r="C100">
            <v>0.08</v>
          </cell>
          <cell r="D100">
            <v>363411</v>
          </cell>
          <cell r="E100">
            <v>7831417.4000000004</v>
          </cell>
          <cell r="F100">
            <v>270016.7</v>
          </cell>
        </row>
        <row r="101">
          <cell r="A101">
            <v>2017</v>
          </cell>
          <cell r="B101">
            <v>50</v>
          </cell>
          <cell r="C101">
            <v>0.13500000000000001</v>
          </cell>
          <cell r="D101">
            <v>153579</v>
          </cell>
          <cell r="E101">
            <v>5092325.2</v>
          </cell>
          <cell r="F101">
            <v>298685.3</v>
          </cell>
        </row>
        <row r="102">
          <cell r="A102">
            <v>2017</v>
          </cell>
          <cell r="B102">
            <v>70</v>
          </cell>
          <cell r="C102">
            <v>0.23</v>
          </cell>
          <cell r="D102">
            <v>80247</v>
          </cell>
          <cell r="E102">
            <v>3572530.5</v>
          </cell>
          <cell r="F102">
            <v>317706.8</v>
          </cell>
        </row>
        <row r="103">
          <cell r="A103">
            <v>2017</v>
          </cell>
          <cell r="B103">
            <v>90</v>
          </cell>
          <cell r="C103">
            <v>0.30399999999999999</v>
          </cell>
          <cell r="D103">
            <v>60621</v>
          </cell>
          <cell r="E103">
            <v>3527916.5</v>
          </cell>
          <cell r="F103">
            <v>464098.2</v>
          </cell>
        </row>
        <row r="104">
          <cell r="A104">
            <v>2017</v>
          </cell>
          <cell r="B104">
            <v>120</v>
          </cell>
          <cell r="C104">
            <v>0.35</v>
          </cell>
          <cell r="D104">
            <v>75290</v>
          </cell>
          <cell r="E104">
            <v>9594476.8000000007</v>
          </cell>
          <cell r="F104">
            <v>2367375.4</v>
          </cell>
        </row>
        <row r="105">
          <cell r="A105">
            <v>2018</v>
          </cell>
          <cell r="B105">
            <v>0</v>
          </cell>
          <cell r="C105">
            <v>0</v>
          </cell>
          <cell r="D105">
            <v>1720518</v>
          </cell>
          <cell r="E105">
            <v>5544043.9000000004</v>
          </cell>
          <cell r="F105">
            <v>0.1</v>
          </cell>
        </row>
        <row r="106">
          <cell r="A106">
            <v>2018</v>
          </cell>
          <cell r="B106">
            <v>13.5</v>
          </cell>
          <cell r="C106">
            <v>0.04</v>
          </cell>
          <cell r="D106">
            <v>1059567</v>
          </cell>
          <cell r="E106">
            <v>12347045.6</v>
          </cell>
          <cell r="F106">
            <v>161838.1</v>
          </cell>
        </row>
        <row r="107">
          <cell r="A107">
            <v>2018</v>
          </cell>
          <cell r="B107">
            <v>30</v>
          </cell>
          <cell r="C107">
            <v>0.08</v>
          </cell>
          <cell r="D107">
            <v>392683</v>
          </cell>
          <cell r="E107">
            <v>8698888.8000000007</v>
          </cell>
          <cell r="F107">
            <v>299374.7</v>
          </cell>
        </row>
        <row r="108">
          <cell r="A108">
            <v>2018</v>
          </cell>
          <cell r="B108">
            <v>50</v>
          </cell>
          <cell r="C108">
            <v>0.13500000000000001</v>
          </cell>
          <cell r="D108">
            <v>162128</v>
          </cell>
          <cell r="E108">
            <v>5534952.2000000002</v>
          </cell>
          <cell r="F108">
            <v>324741</v>
          </cell>
        </row>
        <row r="109">
          <cell r="A109">
            <v>2018</v>
          </cell>
          <cell r="B109">
            <v>70</v>
          </cell>
          <cell r="C109">
            <v>0.23</v>
          </cell>
          <cell r="D109">
            <v>85126</v>
          </cell>
          <cell r="E109">
            <v>3899350.4</v>
          </cell>
          <cell r="F109">
            <v>346499.7</v>
          </cell>
        </row>
        <row r="110">
          <cell r="A110">
            <v>2018</v>
          </cell>
          <cell r="B110">
            <v>90</v>
          </cell>
          <cell r="C110">
            <v>0.30399999999999999</v>
          </cell>
          <cell r="D110">
            <v>66488</v>
          </cell>
          <cell r="E110">
            <v>3980552.4</v>
          </cell>
          <cell r="F110">
            <v>523205.1</v>
          </cell>
        </row>
        <row r="111">
          <cell r="A111">
            <v>2018</v>
          </cell>
          <cell r="B111">
            <v>120</v>
          </cell>
          <cell r="C111">
            <v>0.35</v>
          </cell>
          <cell r="D111">
            <v>81248</v>
          </cell>
          <cell r="E111">
            <v>10747057.300000001</v>
          </cell>
          <cell r="F111">
            <v>2661157.2999999998</v>
          </cell>
        </row>
        <row r="112">
          <cell r="A112">
            <v>2019</v>
          </cell>
          <cell r="B112">
            <v>0</v>
          </cell>
          <cell r="C112">
            <v>0</v>
          </cell>
          <cell r="D112">
            <v>1768962</v>
          </cell>
          <cell r="E112">
            <v>5853667.7999999998</v>
          </cell>
          <cell r="F112">
            <v>0.3</v>
          </cell>
        </row>
        <row r="113">
          <cell r="A113">
            <v>2019</v>
          </cell>
          <cell r="B113">
            <v>13.5</v>
          </cell>
          <cell r="C113">
            <v>0.04</v>
          </cell>
          <cell r="D113">
            <v>1112641</v>
          </cell>
          <cell r="E113">
            <v>13312447.6</v>
          </cell>
          <cell r="F113">
            <v>174660.1</v>
          </cell>
        </row>
        <row r="114">
          <cell r="A114">
            <v>2019</v>
          </cell>
          <cell r="B114">
            <v>30</v>
          </cell>
          <cell r="C114">
            <v>0.08</v>
          </cell>
          <cell r="D114">
            <v>415370</v>
          </cell>
          <cell r="E114">
            <v>9445648</v>
          </cell>
          <cell r="F114">
            <v>325192.40000000002</v>
          </cell>
        </row>
        <row r="115">
          <cell r="A115">
            <v>2019</v>
          </cell>
          <cell r="B115">
            <v>50</v>
          </cell>
          <cell r="C115">
            <v>0.13500000000000001</v>
          </cell>
          <cell r="D115">
            <v>169009</v>
          </cell>
          <cell r="E115">
            <v>5918762.2999999998</v>
          </cell>
          <cell r="F115">
            <v>347066.5</v>
          </cell>
        </row>
        <row r="116">
          <cell r="A116">
            <v>2019</v>
          </cell>
          <cell r="B116">
            <v>70</v>
          </cell>
          <cell r="C116">
            <v>0.23</v>
          </cell>
          <cell r="D116">
            <v>85328</v>
          </cell>
          <cell r="E116">
            <v>4010910.2</v>
          </cell>
          <cell r="F116">
            <v>356367.1</v>
          </cell>
        </row>
        <row r="117">
          <cell r="A117">
            <v>2019</v>
          </cell>
          <cell r="B117">
            <v>90</v>
          </cell>
          <cell r="C117">
            <v>0.30399999999999999</v>
          </cell>
          <cell r="D117">
            <v>64841</v>
          </cell>
          <cell r="E117">
            <v>3982331.9</v>
          </cell>
          <cell r="F117">
            <v>523152</v>
          </cell>
        </row>
        <row r="118">
          <cell r="A118">
            <v>2019</v>
          </cell>
          <cell r="B118">
            <v>120</v>
          </cell>
          <cell r="C118">
            <v>0.35</v>
          </cell>
          <cell r="D118">
            <v>83260</v>
          </cell>
          <cell r="E118">
            <v>11821986.800000001</v>
          </cell>
          <cell r="F118">
            <v>2981091.1</v>
          </cell>
        </row>
        <row r="119">
          <cell r="A119">
            <v>2020</v>
          </cell>
          <cell r="B119">
            <v>0</v>
          </cell>
          <cell r="C119">
            <v>0</v>
          </cell>
          <cell r="D119">
            <v>1798313</v>
          </cell>
          <cell r="E119">
            <v>6122647.0999999996</v>
          </cell>
          <cell r="F119">
            <v>0</v>
          </cell>
        </row>
        <row r="120">
          <cell r="A120">
            <v>2020</v>
          </cell>
          <cell r="B120">
            <v>13.5</v>
          </cell>
          <cell r="C120">
            <v>0.04</v>
          </cell>
          <cell r="D120">
            <v>1068614</v>
          </cell>
          <cell r="E120">
            <v>13167405.6</v>
          </cell>
          <cell r="F120">
            <v>173242.1</v>
          </cell>
        </row>
        <row r="121">
          <cell r="A121">
            <v>2020</v>
          </cell>
          <cell r="B121">
            <v>30</v>
          </cell>
          <cell r="C121">
            <v>0.08</v>
          </cell>
          <cell r="D121">
            <v>380323</v>
          </cell>
          <cell r="E121">
            <v>9056727.1999999993</v>
          </cell>
          <cell r="F121">
            <v>319175.7</v>
          </cell>
        </row>
        <row r="122">
          <cell r="A122">
            <v>2020</v>
          </cell>
          <cell r="B122">
            <v>50</v>
          </cell>
          <cell r="C122">
            <v>0.13500000000000001</v>
          </cell>
          <cell r="D122">
            <v>165435</v>
          </cell>
          <cell r="E122">
            <v>5947741.2000000002</v>
          </cell>
          <cell r="F122">
            <v>347945.7</v>
          </cell>
        </row>
        <row r="123">
          <cell r="A123">
            <v>2020</v>
          </cell>
          <cell r="B123">
            <v>70</v>
          </cell>
          <cell r="C123">
            <v>0.23</v>
          </cell>
          <cell r="D123">
            <v>79370</v>
          </cell>
          <cell r="E123">
            <v>3829099.4</v>
          </cell>
          <cell r="F123">
            <v>339055.4</v>
          </cell>
        </row>
        <row r="124">
          <cell r="A124">
            <v>2020</v>
          </cell>
          <cell r="B124">
            <v>90</v>
          </cell>
          <cell r="C124">
            <v>0.30399999999999999</v>
          </cell>
          <cell r="D124">
            <v>56099</v>
          </cell>
          <cell r="E124">
            <v>3538932.5</v>
          </cell>
          <cell r="F124">
            <v>464120.9</v>
          </cell>
        </row>
        <row r="125">
          <cell r="A125">
            <v>2020</v>
          </cell>
          <cell r="B125">
            <v>120</v>
          </cell>
          <cell r="C125">
            <v>0.35</v>
          </cell>
          <cell r="D125">
            <v>56675</v>
          </cell>
          <cell r="E125">
            <v>5858149</v>
          </cell>
          <cell r="F125">
            <v>1240361.8999999999</v>
          </cell>
        </row>
        <row r="126">
          <cell r="A126">
            <v>2020</v>
          </cell>
          <cell r="B126">
            <v>310</v>
          </cell>
          <cell r="C126">
            <v>0.4</v>
          </cell>
          <cell r="D126">
            <v>7448</v>
          </cell>
          <cell r="E126">
            <v>2643078.2999999998</v>
          </cell>
          <cell r="F126">
            <v>878533.1</v>
          </cell>
        </row>
        <row r="127">
          <cell r="A127">
            <v>2021</v>
          </cell>
          <cell r="B127">
            <v>0</v>
          </cell>
          <cell r="C127">
            <v>0</v>
          </cell>
          <cell r="D127">
            <v>1638378</v>
          </cell>
          <cell r="E127">
            <v>6065139.2999999998</v>
          </cell>
          <cell r="F127">
            <v>0</v>
          </cell>
        </row>
        <row r="128">
          <cell r="A128">
            <v>2021</v>
          </cell>
          <cell r="B128">
            <v>13.5</v>
          </cell>
          <cell r="C128">
            <v>0.04</v>
          </cell>
          <cell r="D128">
            <v>1069760</v>
          </cell>
          <cell r="E128">
            <v>14092234.5</v>
          </cell>
          <cell r="F128">
            <v>187991.3</v>
          </cell>
        </row>
        <row r="129">
          <cell r="A129">
            <v>2021</v>
          </cell>
          <cell r="B129">
            <v>30</v>
          </cell>
          <cell r="C129">
            <v>0.08</v>
          </cell>
          <cell r="D129">
            <v>380484</v>
          </cell>
          <cell r="E129">
            <v>9694373.5</v>
          </cell>
          <cell r="F129">
            <v>344939.1</v>
          </cell>
        </row>
        <row r="130">
          <cell r="A130">
            <v>2021</v>
          </cell>
          <cell r="B130">
            <v>50</v>
          </cell>
          <cell r="C130">
            <v>0.13500000000000001</v>
          </cell>
          <cell r="D130">
            <v>180592</v>
          </cell>
          <cell r="E130">
            <v>6897167.5999999996</v>
          </cell>
          <cell r="F130">
            <v>403707.8</v>
          </cell>
        </row>
        <row r="131">
          <cell r="A131">
            <v>2021</v>
          </cell>
          <cell r="B131">
            <v>70</v>
          </cell>
          <cell r="C131">
            <v>0.23</v>
          </cell>
          <cell r="D131">
            <v>91765</v>
          </cell>
          <cell r="E131">
            <v>4707057.4000000004</v>
          </cell>
          <cell r="F131">
            <v>417747.3</v>
          </cell>
        </row>
        <row r="132">
          <cell r="A132">
            <v>2021</v>
          </cell>
          <cell r="B132">
            <v>90</v>
          </cell>
          <cell r="C132">
            <v>0.30399999999999999</v>
          </cell>
          <cell r="D132">
            <v>68319</v>
          </cell>
          <cell r="E132">
            <v>4579344.0999999996</v>
          </cell>
          <cell r="F132">
            <v>601167.4</v>
          </cell>
        </row>
        <row r="133">
          <cell r="A133">
            <v>2021</v>
          </cell>
          <cell r="B133">
            <v>120</v>
          </cell>
          <cell r="C133">
            <v>0.35</v>
          </cell>
          <cell r="D133">
            <v>68240</v>
          </cell>
          <cell r="E133">
            <v>7464714.7000000002</v>
          </cell>
          <cell r="F133">
            <v>1577076</v>
          </cell>
        </row>
        <row r="134">
          <cell r="A134">
            <v>2021</v>
          </cell>
          <cell r="B134">
            <v>310</v>
          </cell>
          <cell r="C134">
            <v>0.4</v>
          </cell>
          <cell r="D134">
            <v>9136</v>
          </cell>
          <cell r="E134">
            <v>3871313.6</v>
          </cell>
          <cell r="F134">
            <v>1317789.3999999999</v>
          </cell>
        </row>
      </sheetData>
      <sheetData sheetId="1"/>
      <sheetData sheetId="2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ab"/>
      <sheetName val="Datos"/>
      <sheetName val="Notas"/>
      <sheetName val="UTA"/>
    </sheetNames>
    <sheetDataSet>
      <sheetData sheetId="0" refreshError="1"/>
      <sheetData sheetId="1" refreshError="1"/>
      <sheetData sheetId="2" refreshError="1"/>
      <sheetData sheetId="3" refreshError="1">
        <row r="2">
          <cell r="B2">
            <v>563664</v>
          </cell>
        </row>
        <row r="3">
          <cell r="B3">
            <v>554196</v>
          </cell>
        </row>
        <row r="4">
          <cell r="B4">
            <v>539460</v>
          </cell>
        </row>
        <row r="5">
          <cell r="B5">
            <v>518376</v>
          </cell>
        </row>
        <row r="6">
          <cell r="B6">
            <v>489264</v>
          </cell>
        </row>
        <row r="7">
          <cell r="B7">
            <v>482472</v>
          </cell>
        </row>
        <row r="8">
          <cell r="B8">
            <v>468252</v>
          </cell>
        </row>
        <row r="9">
          <cell r="B9">
            <v>451260</v>
          </cell>
        </row>
        <row r="10">
          <cell r="B10">
            <v>442356</v>
          </cell>
        </row>
        <row r="11">
          <cell r="B11">
            <v>451824</v>
          </cell>
        </row>
        <row r="12">
          <cell r="B12">
            <v>410664</v>
          </cell>
        </row>
        <row r="13">
          <cell r="B13">
            <v>386472</v>
          </cell>
        </row>
        <row r="14">
          <cell r="B14">
            <v>378852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D5:W139"/>
  <sheetViews>
    <sheetView topLeftCell="A108" zoomScale="115" zoomScaleNormal="115" workbookViewId="0">
      <selection activeCell="P124" sqref="P124"/>
    </sheetView>
  </sheetViews>
  <sheetFormatPr baseColWidth="10" defaultColWidth="9.140625" defaultRowHeight="15" x14ac:dyDescent="0.25"/>
  <cols>
    <col min="16" max="16" width="9.42578125" bestFit="1" customWidth="1"/>
  </cols>
  <sheetData>
    <row r="5" spans="4:23" x14ac:dyDescent="0.25">
      <c r="L5" s="9" t="s">
        <v>3</v>
      </c>
      <c r="M5" s="9"/>
      <c r="N5" s="9"/>
      <c r="P5" s="9" t="s">
        <v>5</v>
      </c>
      <c r="Q5" s="9"/>
      <c r="R5" s="9"/>
      <c r="V5" s="9" t="s">
        <v>7</v>
      </c>
      <c r="W5" s="9"/>
    </row>
    <row r="6" spans="4:23" ht="30" x14ac:dyDescent="0.25">
      <c r="D6" t="str">
        <f>+[1]tab!A1</f>
        <v>year</v>
      </c>
      <c r="E6" t="str">
        <f>+[1]tab!B1</f>
        <v>tramo</v>
      </c>
      <c r="F6" t="str">
        <f>+[1]tab!C1</f>
        <v>tasa</v>
      </c>
      <c r="G6" t="str">
        <f>+[1]tab!D1</f>
        <v>N_GC</v>
      </c>
      <c r="H6" t="str">
        <f>+[1]tab!E1</f>
        <v>Y_GC</v>
      </c>
      <c r="I6" t="str">
        <f>+[1]tab!F1</f>
        <v>I_GC</v>
      </c>
      <c r="J6" t="s">
        <v>4</v>
      </c>
      <c r="L6" s="1" t="s">
        <v>0</v>
      </c>
      <c r="M6" s="1" t="s">
        <v>1</v>
      </c>
      <c r="N6" s="1" t="s">
        <v>2</v>
      </c>
      <c r="P6" s="1" t="s">
        <v>0</v>
      </c>
      <c r="Q6" s="1" t="s">
        <v>1</v>
      </c>
      <c r="R6" s="1" t="s">
        <v>2</v>
      </c>
      <c r="V6" t="s">
        <v>6</v>
      </c>
      <c r="W6" t="s">
        <v>4</v>
      </c>
    </row>
    <row r="7" spans="4:23" s="4" customFormat="1" x14ac:dyDescent="0.25">
      <c r="D7">
        <f>+[1]tab!A2</f>
        <v>2005</v>
      </c>
      <c r="E7">
        <f>+[1]tab!B2</f>
        <v>0</v>
      </c>
      <c r="F7">
        <f>+[1]tab!C2</f>
        <v>0</v>
      </c>
      <c r="G7">
        <f>+[1]tab!D2</f>
        <v>1187090</v>
      </c>
      <c r="H7">
        <f>+[1]tab!E2</f>
        <v>1841112.1</v>
      </c>
      <c r="I7">
        <f>+[1]tab!F2</f>
        <v>0.4</v>
      </c>
      <c r="J7" s="4">
        <f t="shared" ref="J7:J14" si="0">+$W$7</f>
        <v>378852</v>
      </c>
      <c r="L7" s="5">
        <f>+H7/G7</f>
        <v>1.5509456738747696</v>
      </c>
      <c r="M7" s="5">
        <f>+I7/G7</f>
        <v>3.3695844459981975E-7</v>
      </c>
      <c r="N7" s="6">
        <f>+I7/H7</f>
        <v>2.1725999193639539E-7</v>
      </c>
      <c r="P7" s="5">
        <f>+L7*J7</f>
        <v>587578.87043880415</v>
      </c>
      <c r="Q7" s="5">
        <f>+M7*J7</f>
        <v>0.12765738065353091</v>
      </c>
      <c r="R7" s="6">
        <f>+Q7/P7</f>
        <v>2.1725999193639539E-7</v>
      </c>
      <c r="V7" s="4">
        <v>2005</v>
      </c>
      <c r="W7" s="4">
        <f>+[2]UTA!$B$14</f>
        <v>378852</v>
      </c>
    </row>
    <row r="8" spans="4:23" x14ac:dyDescent="0.25">
      <c r="D8">
        <f>+[1]tab!A3</f>
        <v>2005</v>
      </c>
      <c r="E8">
        <f>+[1]tab!B3</f>
        <v>13.5</v>
      </c>
      <c r="F8">
        <f>+[1]tab!C3</f>
        <v>0.05</v>
      </c>
      <c r="G8">
        <f>+[1]tab!D3</f>
        <v>322125</v>
      </c>
      <c r="H8">
        <f>+[1]tab!E3</f>
        <v>2472473.9</v>
      </c>
      <c r="I8">
        <f>+[1]tab!F3</f>
        <v>41215.599999999999</v>
      </c>
      <c r="J8">
        <f t="shared" si="0"/>
        <v>378852</v>
      </c>
      <c r="L8" s="3">
        <f t="shared" ref="L8:L15" si="1">+H8/G8</f>
        <v>7.6755107489328678</v>
      </c>
      <c r="M8" s="3">
        <f t="shared" ref="M8:M15" si="2">+I8/G8</f>
        <v>0.12794908808692276</v>
      </c>
      <c r="N8" s="2">
        <f t="shared" ref="N8:N15" si="3">+I8/H8</f>
        <v>1.6669781630455228E-2</v>
      </c>
      <c r="P8" s="3">
        <f t="shared" ref="P8:P71" si="4">+L8*J8</f>
        <v>2907882.5982547146</v>
      </c>
      <c r="Q8" s="3">
        <f t="shared" ref="Q8:Q71" si="5">+M8*J8</f>
        <v>48473.767919906866</v>
      </c>
      <c r="R8" s="2">
        <f t="shared" ref="R8:R71" si="6">+Q8/P8</f>
        <v>1.6669781630455231E-2</v>
      </c>
      <c r="V8">
        <v>2006</v>
      </c>
      <c r="W8">
        <f>+[2]UTA!$B$13</f>
        <v>386472</v>
      </c>
    </row>
    <row r="9" spans="4:23" x14ac:dyDescent="0.25">
      <c r="D9">
        <f>+[1]tab!A4</f>
        <v>2005</v>
      </c>
      <c r="E9">
        <f>+[1]tab!B4</f>
        <v>30</v>
      </c>
      <c r="F9">
        <f>+[1]tab!C4</f>
        <v>0.1</v>
      </c>
      <c r="G9">
        <f>+[1]tab!D4</f>
        <v>142946</v>
      </c>
      <c r="H9">
        <f>+[1]tab!E4</f>
        <v>2083451.6</v>
      </c>
      <c r="I9">
        <f>+[1]tab!F4</f>
        <v>90505.7</v>
      </c>
      <c r="J9">
        <f t="shared" si="0"/>
        <v>378852</v>
      </c>
      <c r="L9" s="3">
        <f t="shared" si="1"/>
        <v>14.575095490604845</v>
      </c>
      <c r="M9" s="3">
        <f t="shared" si="2"/>
        <v>0.63314608313628917</v>
      </c>
      <c r="N9" s="2">
        <f t="shared" si="3"/>
        <v>4.3440269982753618E-2</v>
      </c>
      <c r="P9" s="3">
        <f t="shared" si="4"/>
        <v>5521804.0768066263</v>
      </c>
      <c r="Q9" s="3">
        <f t="shared" si="5"/>
        <v>239868.65988834942</v>
      </c>
      <c r="R9" s="2">
        <f t="shared" si="6"/>
        <v>4.3440269982753611E-2</v>
      </c>
      <c r="V9">
        <v>2007</v>
      </c>
      <c r="W9">
        <f>+[2]UTA!$B$12</f>
        <v>410664</v>
      </c>
    </row>
    <row r="10" spans="4:23" x14ac:dyDescent="0.25">
      <c r="D10">
        <f>+[1]tab!A5</f>
        <v>2005</v>
      </c>
      <c r="E10">
        <f>+[1]tab!B5</f>
        <v>50</v>
      </c>
      <c r="F10">
        <f>+[1]tab!C5</f>
        <v>0.15</v>
      </c>
      <c r="G10">
        <f>+[1]tab!D5</f>
        <v>66633</v>
      </c>
      <c r="H10">
        <f>+[1]tab!E5</f>
        <v>1490430.4</v>
      </c>
      <c r="I10">
        <f>+[1]tab!F5</f>
        <v>105489.9</v>
      </c>
      <c r="J10">
        <f t="shared" si="0"/>
        <v>378852</v>
      </c>
      <c r="L10" s="3">
        <f t="shared" si="1"/>
        <v>22.367751714615881</v>
      </c>
      <c r="M10" s="3">
        <f t="shared" si="2"/>
        <v>1.583147989734816</v>
      </c>
      <c r="N10" s="2">
        <f t="shared" si="3"/>
        <v>7.0778145695364239E-2</v>
      </c>
      <c r="P10" s="3">
        <f t="shared" si="4"/>
        <v>8474067.4725856557</v>
      </c>
      <c r="Q10" s="3">
        <f t="shared" si="5"/>
        <v>599778.7822070145</v>
      </c>
      <c r="R10" s="2">
        <f t="shared" si="6"/>
        <v>7.0778145695364239E-2</v>
      </c>
      <c r="V10">
        <v>2008</v>
      </c>
      <c r="W10">
        <f>+[2]UTA!$B$11</f>
        <v>451824</v>
      </c>
    </row>
    <row r="11" spans="4:23" x14ac:dyDescent="0.25">
      <c r="D11">
        <f>+[1]tab!A6</f>
        <v>2005</v>
      </c>
      <c r="E11">
        <f>+[1]tab!B6</f>
        <v>70</v>
      </c>
      <c r="F11">
        <f>+[1]tab!C6</f>
        <v>0.25</v>
      </c>
      <c r="G11">
        <f>+[1]tab!D6</f>
        <v>35706</v>
      </c>
      <c r="H11">
        <f>+[1]tab!E6</f>
        <v>1068038.5</v>
      </c>
      <c r="I11">
        <f>+[1]tab!F6</f>
        <v>108998</v>
      </c>
      <c r="J11">
        <f t="shared" si="0"/>
        <v>378852</v>
      </c>
      <c r="L11" s="3">
        <f t="shared" si="1"/>
        <v>29.912017588080435</v>
      </c>
      <c r="M11" s="3">
        <f t="shared" si="2"/>
        <v>3.052652215313953</v>
      </c>
      <c r="N11" s="2">
        <f t="shared" si="3"/>
        <v>0.1020543735080711</v>
      </c>
      <c r="P11" s="3">
        <f t="shared" si="4"/>
        <v>11332227.687279448</v>
      </c>
      <c r="Q11" s="3">
        <f t="shared" si="5"/>
        <v>1156503.3970761218</v>
      </c>
      <c r="R11" s="2">
        <f t="shared" si="6"/>
        <v>0.10205437350807112</v>
      </c>
      <c r="V11">
        <v>2009</v>
      </c>
      <c r="W11">
        <f>+[2]UTA!$B$10</f>
        <v>442356</v>
      </c>
    </row>
    <row r="12" spans="4:23" x14ac:dyDescent="0.25">
      <c r="D12">
        <f>+[1]tab!A7</f>
        <v>2005</v>
      </c>
      <c r="E12">
        <f>+[1]tab!B7</f>
        <v>90</v>
      </c>
      <c r="F12">
        <f>+[1]tab!C7</f>
        <v>0.32</v>
      </c>
      <c r="G12">
        <f>+[1]tab!D7</f>
        <v>24220</v>
      </c>
      <c r="H12">
        <f>+[1]tab!E7</f>
        <v>942537.4</v>
      </c>
      <c r="I12">
        <f>+[1]tab!F7</f>
        <v>136587.4</v>
      </c>
      <c r="J12">
        <f t="shared" si="0"/>
        <v>378852</v>
      </c>
      <c r="L12" s="3">
        <f t="shared" si="1"/>
        <v>38.915664739884392</v>
      </c>
      <c r="M12" s="3">
        <f t="shared" si="2"/>
        <v>5.6394467382328655</v>
      </c>
      <c r="N12" s="2">
        <f t="shared" si="3"/>
        <v>0.14491456784632631</v>
      </c>
      <c r="P12" s="3">
        <f t="shared" si="4"/>
        <v>14743277.418034682</v>
      </c>
      <c r="Q12" s="3">
        <f t="shared" si="5"/>
        <v>2136515.6756729977</v>
      </c>
      <c r="R12" s="2">
        <f t="shared" si="6"/>
        <v>0.14491456784632634</v>
      </c>
      <c r="V12">
        <v>2010</v>
      </c>
      <c r="W12">
        <f>+[2]UTA!$B$9</f>
        <v>451260</v>
      </c>
    </row>
    <row r="13" spans="4:23" x14ac:dyDescent="0.25">
      <c r="D13">
        <f>+[1]tab!A8</f>
        <v>2005</v>
      </c>
      <c r="E13">
        <f>+[1]tab!B8</f>
        <v>120</v>
      </c>
      <c r="F13">
        <f>+[1]tab!C8</f>
        <v>0.37</v>
      </c>
      <c r="G13">
        <f>+[1]tab!D8</f>
        <v>9460</v>
      </c>
      <c r="H13">
        <f>+[1]tab!E8</f>
        <v>476080.1</v>
      </c>
      <c r="I13">
        <f>+[1]tab!F8</f>
        <v>90166.5</v>
      </c>
      <c r="J13">
        <f t="shared" si="0"/>
        <v>378852</v>
      </c>
      <c r="L13" s="3">
        <f t="shared" si="1"/>
        <v>50.325591966173356</v>
      </c>
      <c r="M13" s="3">
        <f t="shared" si="2"/>
        <v>9.5313424947145879</v>
      </c>
      <c r="N13" s="2">
        <f t="shared" si="3"/>
        <v>0.18939354953084575</v>
      </c>
      <c r="P13" s="3">
        <f t="shared" si="4"/>
        <v>19065951.16756871</v>
      </c>
      <c r="Q13" s="3">
        <f t="shared" si="5"/>
        <v>3610968.166807611</v>
      </c>
      <c r="R13" s="2">
        <f t="shared" si="6"/>
        <v>0.18939354953084575</v>
      </c>
      <c r="V13">
        <v>2011</v>
      </c>
      <c r="W13">
        <f>+[2]UTA!$B$8</f>
        <v>468252</v>
      </c>
    </row>
    <row r="14" spans="4:23" x14ac:dyDescent="0.25">
      <c r="D14">
        <f>+[1]tab!A9</f>
        <v>2005</v>
      </c>
      <c r="E14">
        <f>+[1]tab!B9</f>
        <v>150</v>
      </c>
      <c r="F14">
        <f>+[1]tab!C9</f>
        <v>0.4</v>
      </c>
      <c r="G14">
        <f>+[1]tab!D9</f>
        <v>10505</v>
      </c>
      <c r="H14">
        <f>+[1]tab!E9</f>
        <v>1058296.2</v>
      </c>
      <c r="I14">
        <f>+[1]tab!F9</f>
        <v>309593.40000000002</v>
      </c>
      <c r="J14">
        <f t="shared" si="0"/>
        <v>378852</v>
      </c>
      <c r="L14" s="3">
        <f t="shared" si="1"/>
        <v>100.74214183722037</v>
      </c>
      <c r="M14" s="3">
        <f t="shared" si="2"/>
        <v>29.471051880057118</v>
      </c>
      <c r="N14" s="2">
        <f t="shared" si="3"/>
        <v>0.29253946106959472</v>
      </c>
      <c r="P14" s="3">
        <f t="shared" si="4"/>
        <v>38166361.919314615</v>
      </c>
      <c r="Q14" s="3">
        <f t="shared" si="5"/>
        <v>11165166.9468634</v>
      </c>
      <c r="R14" s="2">
        <f t="shared" si="6"/>
        <v>0.29253946106959472</v>
      </c>
      <c r="V14">
        <v>2012</v>
      </c>
      <c r="W14">
        <f>+[2]UTA!$B$7</f>
        <v>482472</v>
      </c>
    </row>
    <row r="15" spans="4:23" s="4" customFormat="1" x14ac:dyDescent="0.25">
      <c r="D15">
        <f>+[1]tab!A10</f>
        <v>2006</v>
      </c>
      <c r="E15">
        <f>+[1]tab!B10</f>
        <v>0</v>
      </c>
      <c r="F15">
        <f>+[1]tab!C10</f>
        <v>0</v>
      </c>
      <c r="G15">
        <f>+[1]tab!D10</f>
        <v>1200653</v>
      </c>
      <c r="H15">
        <f>+[1]tab!E10</f>
        <v>1945336.2</v>
      </c>
      <c r="I15">
        <f>+[1]tab!F10</f>
        <v>3</v>
      </c>
      <c r="J15" s="4">
        <f t="shared" ref="J15:J22" si="7">+$W$8</f>
        <v>386472</v>
      </c>
      <c r="L15" s="5">
        <f t="shared" si="1"/>
        <v>1.6202318238491886</v>
      </c>
      <c r="M15" s="5">
        <f t="shared" si="2"/>
        <v>2.4986403232241122E-6</v>
      </c>
      <c r="N15" s="6">
        <f t="shared" si="3"/>
        <v>1.5421498864823469E-6</v>
      </c>
      <c r="P15" s="5">
        <f t="shared" si="4"/>
        <v>626174.23342664365</v>
      </c>
      <c r="Q15" s="5">
        <f t="shared" si="5"/>
        <v>0.96565452299706911</v>
      </c>
      <c r="R15" s="6">
        <f t="shared" si="6"/>
        <v>1.5421498864823469E-6</v>
      </c>
      <c r="V15" s="4">
        <v>2013</v>
      </c>
      <c r="W15" s="4">
        <f>+[2]UTA!$B$6</f>
        <v>489264</v>
      </c>
    </row>
    <row r="16" spans="4:23" x14ac:dyDescent="0.25">
      <c r="D16">
        <f>+[1]tab!A11</f>
        <v>2006</v>
      </c>
      <c r="E16">
        <f>+[1]tab!B11</f>
        <v>13.5</v>
      </c>
      <c r="F16">
        <f>+[1]tab!C11</f>
        <v>0.05</v>
      </c>
      <c r="G16">
        <f>+[1]tab!D11</f>
        <v>344808</v>
      </c>
      <c r="H16">
        <f>+[1]tab!E11</f>
        <v>2702640</v>
      </c>
      <c r="I16">
        <f>+[1]tab!F11</f>
        <v>45158.8</v>
      </c>
      <c r="J16">
        <f t="shared" si="7"/>
        <v>386472</v>
      </c>
      <c r="L16" s="3">
        <f t="shared" ref="L16:L79" si="8">+H16/G16</f>
        <v>7.838101204148396</v>
      </c>
      <c r="M16" s="3">
        <f t="shared" ref="M16:M79" si="9">+I16/G16</f>
        <v>0.13096795898007008</v>
      </c>
      <c r="N16" s="2">
        <f t="shared" ref="N16:N79" si="10">+I16/H16</f>
        <v>1.6709143652132729E-2</v>
      </c>
      <c r="P16" s="3">
        <f t="shared" si="4"/>
        <v>3029206.6485696388</v>
      </c>
      <c r="Q16" s="3">
        <f t="shared" si="5"/>
        <v>50615.449042945642</v>
      </c>
      <c r="R16" s="2">
        <f t="shared" si="6"/>
        <v>1.6709143652132729E-2</v>
      </c>
      <c r="V16">
        <v>2014</v>
      </c>
      <c r="W16">
        <f>+[2]UTA!$B$5</f>
        <v>518376</v>
      </c>
    </row>
    <row r="17" spans="4:23" x14ac:dyDescent="0.25">
      <c r="D17">
        <f>+[1]tab!A12</f>
        <v>2006</v>
      </c>
      <c r="E17">
        <f>+[1]tab!B12</f>
        <v>30</v>
      </c>
      <c r="F17">
        <f>+[1]tab!C12</f>
        <v>0.1</v>
      </c>
      <c r="G17">
        <f>+[1]tab!D12</f>
        <v>154107</v>
      </c>
      <c r="H17">
        <f>+[1]tab!E12</f>
        <v>2291386.2999999998</v>
      </c>
      <c r="I17">
        <f>+[1]tab!F12</f>
        <v>99560.2</v>
      </c>
      <c r="J17">
        <f t="shared" si="7"/>
        <v>386472</v>
      </c>
      <c r="L17" s="3">
        <f t="shared" si="8"/>
        <v>14.868800898077309</v>
      </c>
      <c r="M17" s="3">
        <f t="shared" si="9"/>
        <v>0.64604592912716485</v>
      </c>
      <c r="N17" s="2">
        <f t="shared" si="10"/>
        <v>4.3449766632540313E-2</v>
      </c>
      <c r="P17" s="3">
        <f t="shared" si="4"/>
        <v>5746375.2206817335</v>
      </c>
      <c r="Q17" s="3">
        <f t="shared" si="5"/>
        <v>249678.66232163366</v>
      </c>
      <c r="R17" s="2">
        <f t="shared" si="6"/>
        <v>4.3449766632540313E-2</v>
      </c>
      <c r="V17">
        <v>2015</v>
      </c>
      <c r="W17">
        <f>+[2]UTA!$B$4</f>
        <v>539460</v>
      </c>
    </row>
    <row r="18" spans="4:23" x14ac:dyDescent="0.25">
      <c r="D18">
        <f>+[1]tab!A13</f>
        <v>2006</v>
      </c>
      <c r="E18">
        <f>+[1]tab!B13</f>
        <v>50</v>
      </c>
      <c r="F18">
        <f>+[1]tab!C13</f>
        <v>0.15</v>
      </c>
      <c r="G18">
        <f>+[1]tab!D13</f>
        <v>72288</v>
      </c>
      <c r="H18">
        <f>+[1]tab!E13</f>
        <v>1653387.1</v>
      </c>
      <c r="I18">
        <f>+[1]tab!F13</f>
        <v>117339.3</v>
      </c>
      <c r="J18">
        <f t="shared" si="7"/>
        <v>386472</v>
      </c>
      <c r="L18" s="3">
        <f t="shared" si="8"/>
        <v>22.872220838866756</v>
      </c>
      <c r="M18" s="3">
        <f t="shared" si="9"/>
        <v>1.6232196215139443</v>
      </c>
      <c r="N18" s="2">
        <f t="shared" si="10"/>
        <v>7.0969042881730476E-2</v>
      </c>
      <c r="P18" s="3">
        <f t="shared" si="4"/>
        <v>8839472.9320385121</v>
      </c>
      <c r="Q18" s="3">
        <f t="shared" si="5"/>
        <v>627328.9335657371</v>
      </c>
      <c r="R18" s="2">
        <f t="shared" si="6"/>
        <v>7.096904288173049E-2</v>
      </c>
      <c r="V18">
        <v>2016</v>
      </c>
      <c r="W18">
        <f>+[2]UTA!$B$3</f>
        <v>554196</v>
      </c>
    </row>
    <row r="19" spans="4:23" x14ac:dyDescent="0.25">
      <c r="D19">
        <f>+[1]tab!A14</f>
        <v>2006</v>
      </c>
      <c r="E19">
        <f>+[1]tab!B14</f>
        <v>70</v>
      </c>
      <c r="F19">
        <f>+[1]tab!C14</f>
        <v>0.25</v>
      </c>
      <c r="G19">
        <f>+[1]tab!D14</f>
        <v>42329</v>
      </c>
      <c r="H19">
        <f>+[1]tab!E14</f>
        <v>1291867.2</v>
      </c>
      <c r="I19">
        <f>+[1]tab!F14</f>
        <v>131904.29999999999</v>
      </c>
      <c r="J19">
        <f t="shared" si="7"/>
        <v>386472</v>
      </c>
      <c r="L19" s="3">
        <f t="shared" si="8"/>
        <v>30.519672092418908</v>
      </c>
      <c r="M19" s="3">
        <f t="shared" si="9"/>
        <v>3.1161685841857825</v>
      </c>
      <c r="N19" s="2">
        <f t="shared" si="10"/>
        <v>0.10210360631495249</v>
      </c>
      <c r="P19" s="3">
        <f t="shared" si="4"/>
        <v>11794998.71290132</v>
      </c>
      <c r="Q19" s="3">
        <f t="shared" si="5"/>
        <v>1204311.9050674478</v>
      </c>
      <c r="R19" s="2">
        <f t="shared" si="6"/>
        <v>0.10210360631495249</v>
      </c>
      <c r="V19">
        <v>2017</v>
      </c>
      <c r="W19">
        <f>+[2]UTA!$B$2</f>
        <v>563664</v>
      </c>
    </row>
    <row r="20" spans="4:23" x14ac:dyDescent="0.25">
      <c r="D20">
        <f>+[1]tab!A15</f>
        <v>2006</v>
      </c>
      <c r="E20">
        <f>+[1]tab!B15</f>
        <v>90</v>
      </c>
      <c r="F20">
        <f>+[1]tab!C15</f>
        <v>0.32</v>
      </c>
      <c r="G20">
        <f>+[1]tab!D15</f>
        <v>28036</v>
      </c>
      <c r="H20">
        <f>+[1]tab!E15</f>
        <v>1110409.3</v>
      </c>
      <c r="I20">
        <f>+[1]tab!F15</f>
        <v>160490.70000000001</v>
      </c>
      <c r="J20">
        <f t="shared" si="7"/>
        <v>386472</v>
      </c>
      <c r="L20" s="3">
        <f t="shared" si="8"/>
        <v>39.606552289912969</v>
      </c>
      <c r="M20" s="3">
        <f t="shared" si="9"/>
        <v>5.7244507062348413</v>
      </c>
      <c r="N20" s="2">
        <f t="shared" si="10"/>
        <v>0.14453292132909909</v>
      </c>
      <c r="P20" s="3">
        <f t="shared" si="4"/>
        <v>15306823.476587245</v>
      </c>
      <c r="Q20" s="3">
        <f t="shared" si="5"/>
        <v>2212339.9133399916</v>
      </c>
      <c r="R20" s="2">
        <f t="shared" si="6"/>
        <v>0.14453292132909912</v>
      </c>
      <c r="V20">
        <v>2018</v>
      </c>
      <c r="W20">
        <v>580236</v>
      </c>
    </row>
    <row r="21" spans="4:23" x14ac:dyDescent="0.25">
      <c r="D21">
        <f>+[1]tab!A16</f>
        <v>2006</v>
      </c>
      <c r="E21">
        <f>+[1]tab!B16</f>
        <v>120</v>
      </c>
      <c r="F21">
        <f>+[1]tab!C16</f>
        <v>0.37</v>
      </c>
      <c r="G21">
        <f>+[1]tab!D16</f>
        <v>10735</v>
      </c>
      <c r="H21">
        <f>+[1]tab!E16</f>
        <v>551294.19999999995</v>
      </c>
      <c r="I21">
        <f>+[1]tab!F16</f>
        <v>104413.7</v>
      </c>
      <c r="J21">
        <f t="shared" si="7"/>
        <v>386472</v>
      </c>
      <c r="L21" s="3">
        <f t="shared" si="8"/>
        <v>51.354839310666044</v>
      </c>
      <c r="M21" s="3">
        <f t="shared" si="9"/>
        <v>9.7264741499767116</v>
      </c>
      <c r="N21" s="2">
        <f t="shared" si="10"/>
        <v>0.18939742155821701</v>
      </c>
      <c r="P21" s="3">
        <f t="shared" si="4"/>
        <v>19847207.458071727</v>
      </c>
      <c r="Q21" s="3">
        <f t="shared" si="5"/>
        <v>3759009.9176897998</v>
      </c>
      <c r="R21" s="2">
        <f t="shared" si="6"/>
        <v>0.18939742155821701</v>
      </c>
      <c r="V21">
        <v>2019</v>
      </c>
      <c r="W21">
        <v>595476</v>
      </c>
    </row>
    <row r="22" spans="4:23" x14ac:dyDescent="0.25">
      <c r="D22">
        <f>+[1]tab!A17</f>
        <v>2006</v>
      </c>
      <c r="E22">
        <f>+[1]tab!B17</f>
        <v>150</v>
      </c>
      <c r="F22">
        <f>+[1]tab!C17</f>
        <v>0.4</v>
      </c>
      <c r="G22">
        <f>+[1]tab!D17</f>
        <v>11327</v>
      </c>
      <c r="H22">
        <f>+[1]tab!E17</f>
        <v>1164833.3999999999</v>
      </c>
      <c r="I22">
        <f>+[1]tab!F17</f>
        <v>340196.9</v>
      </c>
      <c r="J22">
        <f t="shared" si="7"/>
        <v>386472</v>
      </c>
      <c r="L22" s="3">
        <f t="shared" si="8"/>
        <v>102.83688531826608</v>
      </c>
      <c r="M22" s="3">
        <f t="shared" si="9"/>
        <v>30.034157323210032</v>
      </c>
      <c r="N22" s="2">
        <f t="shared" si="10"/>
        <v>0.29205627173808724</v>
      </c>
      <c r="P22" s="3">
        <f t="shared" si="4"/>
        <v>39743576.742720932</v>
      </c>
      <c r="Q22" s="3">
        <f t="shared" si="5"/>
        <v>11607360.849015627</v>
      </c>
      <c r="R22" s="2">
        <f t="shared" si="6"/>
        <v>0.29205627173808718</v>
      </c>
      <c r="V22" s="4">
        <v>2020</v>
      </c>
      <c r="W22">
        <v>612348</v>
      </c>
    </row>
    <row r="23" spans="4:23" s="4" customFormat="1" x14ac:dyDescent="0.25">
      <c r="D23">
        <f>+[1]tab!A18</f>
        <v>2007</v>
      </c>
      <c r="E23">
        <f>+[1]tab!B18</f>
        <v>0</v>
      </c>
      <c r="F23">
        <f>+[1]tab!C18</f>
        <v>0</v>
      </c>
      <c r="G23">
        <f>+[1]tab!D18</f>
        <v>1186205</v>
      </c>
      <c r="H23">
        <f>+[1]tab!E18</f>
        <v>2099057.2000000002</v>
      </c>
      <c r="I23">
        <f>+[1]tab!F18</f>
        <v>1.4</v>
      </c>
      <c r="J23" s="4">
        <f t="shared" ref="J23:J30" si="11">+$W$9</f>
        <v>410664</v>
      </c>
      <c r="L23" s="5">
        <f t="shared" si="8"/>
        <v>1.7695568641170794</v>
      </c>
      <c r="M23" s="5">
        <f t="shared" si="9"/>
        <v>1.1802344451422815E-6</v>
      </c>
      <c r="N23" s="6">
        <f t="shared" si="10"/>
        <v>6.6696610268648218E-7</v>
      </c>
      <c r="P23" s="5">
        <f t="shared" si="4"/>
        <v>726693.3000457763</v>
      </c>
      <c r="Q23" s="5">
        <f t="shared" si="5"/>
        <v>0.48467979817990986</v>
      </c>
      <c r="R23" s="6">
        <f t="shared" si="6"/>
        <v>6.6696610268648218E-7</v>
      </c>
      <c r="V23">
        <v>2021</v>
      </c>
      <c r="W23" s="4">
        <v>650052</v>
      </c>
    </row>
    <row r="24" spans="4:23" x14ac:dyDescent="0.25">
      <c r="D24">
        <f>+[1]tab!A19</f>
        <v>2007</v>
      </c>
      <c r="E24">
        <f>+[1]tab!B19</f>
        <v>13.5</v>
      </c>
      <c r="F24">
        <f>+[1]tab!C19</f>
        <v>0.05</v>
      </c>
      <c r="G24">
        <f>+[1]tab!D19</f>
        <v>366318</v>
      </c>
      <c r="H24">
        <f>+[1]tab!E19</f>
        <v>3053353</v>
      </c>
      <c r="I24">
        <f>+[1]tab!F19</f>
        <v>51096.800000000003</v>
      </c>
      <c r="J24">
        <f t="shared" si="11"/>
        <v>410664</v>
      </c>
      <c r="L24" s="3">
        <f t="shared" si="8"/>
        <v>8.3352524309479747</v>
      </c>
      <c r="M24" s="3">
        <f t="shared" si="9"/>
        <v>0.13948754906938782</v>
      </c>
      <c r="N24" s="2">
        <f t="shared" si="10"/>
        <v>1.6734652036629896E-2</v>
      </c>
      <c r="P24" s="3">
        <f t="shared" si="4"/>
        <v>3422988.1043028189</v>
      </c>
      <c r="Q24" s="3">
        <f t="shared" si="5"/>
        <v>57282.514851031076</v>
      </c>
      <c r="R24" s="2">
        <f t="shared" si="6"/>
        <v>1.6734652036629896E-2</v>
      </c>
    </row>
    <row r="25" spans="4:23" x14ac:dyDescent="0.25">
      <c r="D25">
        <f>+[1]tab!A20</f>
        <v>2007</v>
      </c>
      <c r="E25">
        <f>+[1]tab!B20</f>
        <v>30</v>
      </c>
      <c r="F25">
        <f>+[1]tab!C20</f>
        <v>0.1</v>
      </c>
      <c r="G25">
        <f>+[1]tab!D20</f>
        <v>165466</v>
      </c>
      <c r="H25">
        <f>+[1]tab!E20</f>
        <v>2622359.9</v>
      </c>
      <c r="I25">
        <f>+[1]tab!F20</f>
        <v>114390.8</v>
      </c>
      <c r="J25">
        <f t="shared" si="11"/>
        <v>410664</v>
      </c>
      <c r="L25" s="3">
        <f t="shared" si="8"/>
        <v>15.848330774902397</v>
      </c>
      <c r="M25" s="3">
        <f t="shared" si="9"/>
        <v>0.6913251060640857</v>
      </c>
      <c r="N25" s="2">
        <f t="shared" si="10"/>
        <v>4.3621319865362496E-2</v>
      </c>
      <c r="P25" s="3">
        <f t="shared" si="4"/>
        <v>6508338.9093445176</v>
      </c>
      <c r="Q25" s="3">
        <f t="shared" si="5"/>
        <v>283902.33335670171</v>
      </c>
      <c r="R25" s="2">
        <f t="shared" si="6"/>
        <v>4.3621319865362503E-2</v>
      </c>
    </row>
    <row r="26" spans="4:23" x14ac:dyDescent="0.25">
      <c r="D26">
        <f>+[1]tab!A21</f>
        <v>2007</v>
      </c>
      <c r="E26">
        <f>+[1]tab!B21</f>
        <v>50</v>
      </c>
      <c r="F26">
        <f>+[1]tab!C21</f>
        <v>0.15</v>
      </c>
      <c r="G26">
        <f>+[1]tab!D21</f>
        <v>82676</v>
      </c>
      <c r="H26">
        <f>+[1]tab!E21</f>
        <v>2005960.1</v>
      </c>
      <c r="I26">
        <f>+[1]tab!F21</f>
        <v>142110.70000000001</v>
      </c>
      <c r="J26">
        <f t="shared" si="11"/>
        <v>410664</v>
      </c>
      <c r="L26" s="3">
        <f t="shared" si="8"/>
        <v>24.262907010498814</v>
      </c>
      <c r="M26" s="3">
        <f t="shared" si="9"/>
        <v>1.7188869805022016</v>
      </c>
      <c r="N26" s="2">
        <f t="shared" si="10"/>
        <v>7.0844230650450132E-2</v>
      </c>
      <c r="P26" s="3">
        <f t="shared" si="4"/>
        <v>9963902.4445594847</v>
      </c>
      <c r="Q26" s="3">
        <f t="shared" si="5"/>
        <v>705885.00296095607</v>
      </c>
      <c r="R26" s="2">
        <f t="shared" si="6"/>
        <v>7.0844230650450132E-2</v>
      </c>
    </row>
    <row r="27" spans="4:23" x14ac:dyDescent="0.25">
      <c r="D27">
        <f>+[1]tab!A22</f>
        <v>2007</v>
      </c>
      <c r="E27">
        <f>+[1]tab!B22</f>
        <v>70</v>
      </c>
      <c r="F27">
        <f>+[1]tab!C22</f>
        <v>0.25</v>
      </c>
      <c r="G27">
        <f>+[1]tab!D22</f>
        <v>45180</v>
      </c>
      <c r="H27">
        <f>+[1]tab!E22</f>
        <v>1463426.2</v>
      </c>
      <c r="I27">
        <f>+[1]tab!F22</f>
        <v>149174.79999999999</v>
      </c>
      <c r="J27">
        <f t="shared" si="11"/>
        <v>410664</v>
      </c>
      <c r="L27" s="3">
        <f t="shared" si="8"/>
        <v>32.391018149623726</v>
      </c>
      <c r="M27" s="3">
        <f t="shared" si="9"/>
        <v>3.3017884019477641</v>
      </c>
      <c r="N27" s="2">
        <f t="shared" si="10"/>
        <v>0.1019353077046181</v>
      </c>
      <c r="P27" s="3">
        <f t="shared" si="4"/>
        <v>13301825.077397078</v>
      </c>
      <c r="Q27" s="3">
        <f t="shared" si="5"/>
        <v>1355925.6322974765</v>
      </c>
      <c r="R27" s="2">
        <f t="shared" si="6"/>
        <v>0.10193530770461809</v>
      </c>
    </row>
    <row r="28" spans="4:23" x14ac:dyDescent="0.25">
      <c r="D28">
        <f>+[1]tab!A23</f>
        <v>2007</v>
      </c>
      <c r="E28">
        <f>+[1]tab!B23</f>
        <v>90</v>
      </c>
      <c r="F28">
        <f>+[1]tab!C23</f>
        <v>0.32</v>
      </c>
      <c r="G28">
        <f>+[1]tab!D23</f>
        <v>30173</v>
      </c>
      <c r="H28">
        <f>+[1]tab!E23</f>
        <v>1271988</v>
      </c>
      <c r="I28">
        <f>+[1]tab!F23</f>
        <v>184216.4</v>
      </c>
      <c r="J28">
        <f t="shared" si="11"/>
        <v>410664</v>
      </c>
      <c r="L28" s="3">
        <f t="shared" si="8"/>
        <v>42.156497530905114</v>
      </c>
      <c r="M28" s="3">
        <f t="shared" si="9"/>
        <v>6.1053392105524802</v>
      </c>
      <c r="N28" s="2">
        <f t="shared" si="10"/>
        <v>0.14482558011553567</v>
      </c>
      <c r="P28" s="3">
        <f t="shared" si="4"/>
        <v>17312155.902031619</v>
      </c>
      <c r="Q28" s="3">
        <f t="shared" si="5"/>
        <v>2507243.0215623239</v>
      </c>
      <c r="R28" s="2">
        <f t="shared" si="6"/>
        <v>0.14482558011553567</v>
      </c>
    </row>
    <row r="29" spans="4:23" x14ac:dyDescent="0.25">
      <c r="D29">
        <f>+[1]tab!A24</f>
        <v>2007</v>
      </c>
      <c r="E29">
        <f>+[1]tab!B24</f>
        <v>120</v>
      </c>
      <c r="F29">
        <f>+[1]tab!C24</f>
        <v>0.37</v>
      </c>
      <c r="G29">
        <f>+[1]tab!D24</f>
        <v>11829</v>
      </c>
      <c r="H29">
        <f>+[1]tab!E24</f>
        <v>646778.5</v>
      </c>
      <c r="I29">
        <f>+[1]tab!F24</f>
        <v>122798.2</v>
      </c>
      <c r="J29">
        <f t="shared" si="11"/>
        <v>410664</v>
      </c>
      <c r="L29" s="3">
        <f t="shared" si="8"/>
        <v>54.677360723645279</v>
      </c>
      <c r="M29" s="3">
        <f t="shared" si="9"/>
        <v>10.381114210837771</v>
      </c>
      <c r="N29" s="2">
        <f t="shared" si="10"/>
        <v>0.18986128945226224</v>
      </c>
      <c r="P29" s="3">
        <f t="shared" si="4"/>
        <v>22454023.664215066</v>
      </c>
      <c r="Q29" s="3">
        <f t="shared" si="5"/>
        <v>4263149.8862794824</v>
      </c>
      <c r="R29" s="2">
        <f t="shared" si="6"/>
        <v>0.18986128945226224</v>
      </c>
    </row>
    <row r="30" spans="4:23" x14ac:dyDescent="0.25">
      <c r="D30">
        <f>+[1]tab!A25</f>
        <v>2007</v>
      </c>
      <c r="E30">
        <f>+[1]tab!B25</f>
        <v>150</v>
      </c>
      <c r="F30">
        <f>+[1]tab!C25</f>
        <v>0.4</v>
      </c>
      <c r="G30">
        <f>+[1]tab!D25</f>
        <v>12484</v>
      </c>
      <c r="H30">
        <f>+[1]tab!E25</f>
        <v>1349216.6</v>
      </c>
      <c r="I30">
        <f>+[1]tab!F25</f>
        <v>393313.8</v>
      </c>
      <c r="J30">
        <f t="shared" si="11"/>
        <v>410664</v>
      </c>
      <c r="L30" s="3">
        <f t="shared" si="8"/>
        <v>108.07566485100929</v>
      </c>
      <c r="M30" s="3">
        <f t="shared" si="9"/>
        <v>31.50543095161807</v>
      </c>
      <c r="N30" s="2">
        <f t="shared" si="10"/>
        <v>0.2915127193068926</v>
      </c>
      <c r="P30" s="3">
        <f t="shared" si="4"/>
        <v>44382784.830374882</v>
      </c>
      <c r="Q30" s="3">
        <f t="shared" si="5"/>
        <v>12938146.296315283</v>
      </c>
      <c r="R30" s="2">
        <f t="shared" si="6"/>
        <v>0.2915127193068926</v>
      </c>
    </row>
    <row r="31" spans="4:23" s="4" customFormat="1" x14ac:dyDescent="0.25">
      <c r="D31">
        <f>+[1]tab!A26</f>
        <v>2008</v>
      </c>
      <c r="E31">
        <f>+[1]tab!B26</f>
        <v>0</v>
      </c>
      <c r="F31">
        <f>+[1]tab!C26</f>
        <v>0</v>
      </c>
      <c r="G31">
        <f>+[1]tab!D26</f>
        <v>1207673</v>
      </c>
      <c r="H31">
        <f>+[1]tab!E26</f>
        <v>2394070.7000000002</v>
      </c>
      <c r="I31">
        <f>+[1]tab!F26</f>
        <v>0.8</v>
      </c>
      <c r="J31" s="4">
        <f t="shared" ref="J31:J38" si="12">+$W$10</f>
        <v>451824</v>
      </c>
      <c r="L31" s="5">
        <f t="shared" si="8"/>
        <v>1.9823832279102043</v>
      </c>
      <c r="M31" s="5">
        <f t="shared" si="9"/>
        <v>6.62430972622556E-7</v>
      </c>
      <c r="N31" s="6">
        <f t="shared" si="10"/>
        <v>3.3415888678642616E-7</v>
      </c>
      <c r="P31" s="5">
        <f t="shared" si="4"/>
        <v>895688.31956730015</v>
      </c>
      <c r="Q31" s="5">
        <f t="shared" si="5"/>
        <v>0.29930221177421373</v>
      </c>
      <c r="R31" s="6">
        <f t="shared" si="6"/>
        <v>3.3415888678642616E-7</v>
      </c>
    </row>
    <row r="32" spans="4:23" x14ac:dyDescent="0.25">
      <c r="D32">
        <f>+[1]tab!A27</f>
        <v>2008</v>
      </c>
      <c r="E32">
        <f>+[1]tab!B27</f>
        <v>13.5</v>
      </c>
      <c r="F32">
        <f>+[1]tab!C27</f>
        <v>0.05</v>
      </c>
      <c r="G32">
        <f>+[1]tab!D27</f>
        <v>387722</v>
      </c>
      <c r="H32">
        <f>+[1]tab!E27</f>
        <v>3549449.3</v>
      </c>
      <c r="I32">
        <f>+[1]tab!F27</f>
        <v>59183.3</v>
      </c>
      <c r="J32">
        <f t="shared" si="12"/>
        <v>451824</v>
      </c>
      <c r="L32" s="3">
        <f t="shared" si="8"/>
        <v>9.1546244474133527</v>
      </c>
      <c r="M32" s="3">
        <f t="shared" si="9"/>
        <v>0.15264364673657932</v>
      </c>
      <c r="N32" s="2">
        <f t="shared" si="10"/>
        <v>1.6673938686770369E-2</v>
      </c>
      <c r="P32" s="3">
        <f t="shared" si="4"/>
        <v>4136279.0363280908</v>
      </c>
      <c r="Q32" s="3">
        <f t="shared" si="5"/>
        <v>68968.06304310821</v>
      </c>
      <c r="R32" s="2">
        <f t="shared" si="6"/>
        <v>1.6673938686770369E-2</v>
      </c>
    </row>
    <row r="33" spans="4:18" x14ac:dyDescent="0.25">
      <c r="D33">
        <f>+[1]tab!A28</f>
        <v>2008</v>
      </c>
      <c r="E33">
        <f>+[1]tab!B28</f>
        <v>30</v>
      </c>
      <c r="F33">
        <f>+[1]tab!C28</f>
        <v>0.1</v>
      </c>
      <c r="G33">
        <f>+[1]tab!D28</f>
        <v>174711</v>
      </c>
      <c r="H33">
        <f>+[1]tab!E28</f>
        <v>3044761.2</v>
      </c>
      <c r="I33">
        <f>+[1]tab!F28</f>
        <v>132699.29999999999</v>
      </c>
      <c r="J33">
        <f t="shared" si="12"/>
        <v>451824</v>
      </c>
      <c r="L33" s="3">
        <f t="shared" si="8"/>
        <v>17.427415560554287</v>
      </c>
      <c r="M33" s="3">
        <f t="shared" si="9"/>
        <v>0.75953603379294943</v>
      </c>
      <c r="N33" s="2">
        <f t="shared" si="10"/>
        <v>4.358282679114539E-2</v>
      </c>
      <c r="P33" s="3">
        <f t="shared" si="4"/>
        <v>7874124.6082318807</v>
      </c>
      <c r="Q33" s="3">
        <f t="shared" si="5"/>
        <v>343176.60893246561</v>
      </c>
      <c r="R33" s="2">
        <f t="shared" si="6"/>
        <v>4.358282679114539E-2</v>
      </c>
    </row>
    <row r="34" spans="4:18" x14ac:dyDescent="0.25">
      <c r="D34">
        <f>+[1]tab!A29</f>
        <v>2008</v>
      </c>
      <c r="E34">
        <f>+[1]tab!B29</f>
        <v>50</v>
      </c>
      <c r="F34">
        <f>+[1]tab!C29</f>
        <v>0.15</v>
      </c>
      <c r="G34">
        <f>+[1]tab!D29</f>
        <v>85624</v>
      </c>
      <c r="H34">
        <f>+[1]tab!E29</f>
        <v>2281341</v>
      </c>
      <c r="I34">
        <f>+[1]tab!F29</f>
        <v>161242.70000000001</v>
      </c>
      <c r="J34">
        <f t="shared" si="12"/>
        <v>451824</v>
      </c>
      <c r="L34" s="3">
        <f t="shared" si="8"/>
        <v>26.643709707558628</v>
      </c>
      <c r="M34" s="3">
        <f t="shared" si="9"/>
        <v>1.8831484163318697</v>
      </c>
      <c r="N34" s="2">
        <f t="shared" si="10"/>
        <v>7.0678912095999677E-2</v>
      </c>
      <c r="P34" s="3">
        <f t="shared" si="4"/>
        <v>12038267.49490797</v>
      </c>
      <c r="Q34" s="3">
        <f t="shared" si="5"/>
        <v>850851.65006073064</v>
      </c>
      <c r="R34" s="2">
        <f t="shared" si="6"/>
        <v>7.0678912095999677E-2</v>
      </c>
    </row>
    <row r="35" spans="4:18" x14ac:dyDescent="0.25">
      <c r="D35">
        <f>+[1]tab!A30</f>
        <v>2008</v>
      </c>
      <c r="E35">
        <f>+[1]tab!B30</f>
        <v>70</v>
      </c>
      <c r="F35">
        <f>+[1]tab!C30</f>
        <v>0.25</v>
      </c>
      <c r="G35">
        <f>+[1]tab!D30</f>
        <v>43775</v>
      </c>
      <c r="H35">
        <f>+[1]tab!E30</f>
        <v>1559043.7</v>
      </c>
      <c r="I35">
        <f>+[1]tab!F30</f>
        <v>158704.1</v>
      </c>
      <c r="J35">
        <f t="shared" si="12"/>
        <v>451824</v>
      </c>
      <c r="L35" s="3">
        <f t="shared" si="8"/>
        <v>35.614933181039405</v>
      </c>
      <c r="M35" s="3">
        <f t="shared" si="9"/>
        <v>3.6254505996573387</v>
      </c>
      <c r="N35" s="2">
        <f t="shared" si="10"/>
        <v>0.10179579956610582</v>
      </c>
      <c r="P35" s="3">
        <f t="shared" si="4"/>
        <v>16091681.569589948</v>
      </c>
      <c r="Q35" s="3">
        <f t="shared" si="5"/>
        <v>1638065.5917395775</v>
      </c>
      <c r="R35" s="2">
        <f t="shared" si="6"/>
        <v>0.10179579956610582</v>
      </c>
    </row>
    <row r="36" spans="4:18" x14ac:dyDescent="0.25">
      <c r="D36">
        <f>+[1]tab!A31</f>
        <v>2008</v>
      </c>
      <c r="E36">
        <f>+[1]tab!B31</f>
        <v>90</v>
      </c>
      <c r="F36">
        <f>+[1]tab!C31</f>
        <v>0.32</v>
      </c>
      <c r="G36">
        <f>+[1]tab!D31</f>
        <v>30125</v>
      </c>
      <c r="H36">
        <f>+[1]tab!E31</f>
        <v>1396254.1</v>
      </c>
      <c r="I36">
        <f>+[1]tab!F31</f>
        <v>201975.9</v>
      </c>
      <c r="J36">
        <f t="shared" si="12"/>
        <v>451824</v>
      </c>
      <c r="L36" s="3">
        <f t="shared" si="8"/>
        <v>46.348683817427386</v>
      </c>
      <c r="M36" s="3">
        <f t="shared" si="9"/>
        <v>6.7045941908713695</v>
      </c>
      <c r="N36" s="2">
        <f t="shared" si="10"/>
        <v>0.14465554657995272</v>
      </c>
      <c r="P36" s="3">
        <f t="shared" si="4"/>
        <v>20941447.717125311</v>
      </c>
      <c r="Q36" s="3">
        <f t="shared" si="5"/>
        <v>3029296.5656962655</v>
      </c>
      <c r="R36" s="2">
        <f t="shared" si="6"/>
        <v>0.14465554657995275</v>
      </c>
    </row>
    <row r="37" spans="4:18" x14ac:dyDescent="0.25">
      <c r="D37">
        <f>+[1]tab!A32</f>
        <v>2008</v>
      </c>
      <c r="E37">
        <f>+[1]tab!B32</f>
        <v>120</v>
      </c>
      <c r="F37">
        <f>+[1]tab!C32</f>
        <v>0.37</v>
      </c>
      <c r="G37">
        <f>+[1]tab!D32</f>
        <v>11964</v>
      </c>
      <c r="H37">
        <f>+[1]tab!E32</f>
        <v>718803.4</v>
      </c>
      <c r="I37">
        <f>+[1]tab!F32</f>
        <v>136230.79999999999</v>
      </c>
      <c r="J37">
        <f t="shared" si="12"/>
        <v>451824</v>
      </c>
      <c r="L37" s="3">
        <f t="shared" si="8"/>
        <v>60.080524908057505</v>
      </c>
      <c r="M37" s="3">
        <f t="shared" si="9"/>
        <v>11.386726847208291</v>
      </c>
      <c r="N37" s="2">
        <f t="shared" si="10"/>
        <v>0.18952442350717871</v>
      </c>
      <c r="P37" s="3">
        <f t="shared" si="4"/>
        <v>27145823.086058173</v>
      </c>
      <c r="Q37" s="3">
        <f t="shared" si="5"/>
        <v>5144796.4710130384</v>
      </c>
      <c r="R37" s="2">
        <f t="shared" si="6"/>
        <v>0.18952442350717871</v>
      </c>
    </row>
    <row r="38" spans="4:18" x14ac:dyDescent="0.25">
      <c r="D38">
        <f>+[1]tab!A33</f>
        <v>2008</v>
      </c>
      <c r="E38">
        <f>+[1]tab!B33</f>
        <v>150</v>
      </c>
      <c r="F38">
        <f>+[1]tab!C33</f>
        <v>0.4</v>
      </c>
      <c r="G38">
        <f>+[1]tab!D33</f>
        <v>12601</v>
      </c>
      <c r="H38">
        <f>+[1]tab!E33</f>
        <v>1525739.2</v>
      </c>
      <c r="I38">
        <f>+[1]tab!F33</f>
        <v>447708.8</v>
      </c>
      <c r="J38">
        <f t="shared" si="12"/>
        <v>451824</v>
      </c>
      <c r="L38" s="3">
        <f t="shared" si="8"/>
        <v>121.08080311086421</v>
      </c>
      <c r="M38" s="3">
        <f t="shared" si="9"/>
        <v>35.529624632965636</v>
      </c>
      <c r="N38" s="2">
        <f t="shared" si="10"/>
        <v>0.29343730566796739</v>
      </c>
      <c r="P38" s="3">
        <f t="shared" si="4"/>
        <v>54707212.784763113</v>
      </c>
      <c r="Q38" s="3">
        <f t="shared" si="5"/>
        <v>16053137.120165065</v>
      </c>
      <c r="R38" s="2">
        <f t="shared" si="6"/>
        <v>0.29343730566796733</v>
      </c>
    </row>
    <row r="39" spans="4:18" s="4" customFormat="1" x14ac:dyDescent="0.25">
      <c r="D39">
        <f>+[1]tab!A34</f>
        <v>2009</v>
      </c>
      <c r="E39">
        <f>+[1]tab!B34</f>
        <v>0</v>
      </c>
      <c r="F39">
        <f>+[1]tab!C34</f>
        <v>0</v>
      </c>
      <c r="G39">
        <f>+[1]tab!D34</f>
        <v>1211558</v>
      </c>
      <c r="H39">
        <f>+[1]tab!E34</f>
        <v>2346371.2999999998</v>
      </c>
      <c r="I39">
        <f>+[1]tab!F34</f>
        <v>2.2000000000000002</v>
      </c>
      <c r="J39" s="4">
        <f t="shared" ref="J39:J46" si="13">+$W$11</f>
        <v>442356</v>
      </c>
      <c r="L39" s="5">
        <f t="shared" si="8"/>
        <v>1.9366561897985897</v>
      </c>
      <c r="M39" s="5">
        <f t="shared" si="9"/>
        <v>1.8158437317899764E-6</v>
      </c>
      <c r="N39" s="6">
        <f t="shared" si="10"/>
        <v>9.376180146765349E-7</v>
      </c>
      <c r="P39" s="5">
        <f t="shared" si="4"/>
        <v>856691.48549454496</v>
      </c>
      <c r="Q39" s="5">
        <f t="shared" si="5"/>
        <v>0.80324936981968675</v>
      </c>
      <c r="R39" s="6">
        <f t="shared" si="6"/>
        <v>9.376180146765349E-7</v>
      </c>
    </row>
    <row r="40" spans="4:18" x14ac:dyDescent="0.25">
      <c r="D40">
        <f>+[1]tab!A35</f>
        <v>2009</v>
      </c>
      <c r="E40">
        <f>+[1]tab!B35</f>
        <v>13.5</v>
      </c>
      <c r="F40">
        <f>+[1]tab!C35</f>
        <v>0.05</v>
      </c>
      <c r="G40">
        <f>+[1]tab!D35</f>
        <v>398336</v>
      </c>
      <c r="H40">
        <f>+[1]tab!E35</f>
        <v>3578437.4</v>
      </c>
      <c r="I40">
        <f>+[1]tab!F35</f>
        <v>59943.4</v>
      </c>
      <c r="J40">
        <f t="shared" si="13"/>
        <v>442356</v>
      </c>
      <c r="L40" s="3">
        <f t="shared" si="8"/>
        <v>8.9834647132069403</v>
      </c>
      <c r="M40" s="3">
        <f t="shared" si="9"/>
        <v>0.15048451558483292</v>
      </c>
      <c r="N40" s="2">
        <f t="shared" si="10"/>
        <v>1.675127808579242E-2</v>
      </c>
      <c r="P40" s="3">
        <f t="shared" si="4"/>
        <v>3973889.5166753693</v>
      </c>
      <c r="Q40" s="3">
        <f t="shared" si="5"/>
        <v>66567.728376044353</v>
      </c>
      <c r="R40" s="2">
        <f t="shared" si="6"/>
        <v>1.6751278085792423E-2</v>
      </c>
    </row>
    <row r="41" spans="4:18" x14ac:dyDescent="0.25">
      <c r="D41">
        <f>+[1]tab!A36</f>
        <v>2009</v>
      </c>
      <c r="E41">
        <f>+[1]tab!B36</f>
        <v>30</v>
      </c>
      <c r="F41">
        <f>+[1]tab!C36</f>
        <v>0.1</v>
      </c>
      <c r="G41">
        <f>+[1]tab!D36</f>
        <v>181589</v>
      </c>
      <c r="H41">
        <f>+[1]tab!E36</f>
        <v>3099099.3</v>
      </c>
      <c r="I41">
        <f>+[1]tab!F36</f>
        <v>135112.1</v>
      </c>
      <c r="J41">
        <f t="shared" si="13"/>
        <v>442356</v>
      </c>
      <c r="L41" s="3">
        <f t="shared" si="8"/>
        <v>17.066558547048555</v>
      </c>
      <c r="M41" s="3">
        <f t="shared" si="9"/>
        <v>0.74405443060978371</v>
      </c>
      <c r="N41" s="2">
        <f t="shared" si="10"/>
        <v>4.359721548773865E-2</v>
      </c>
      <c r="P41" s="3">
        <f t="shared" si="4"/>
        <v>7549494.5726382108</v>
      </c>
      <c r="Q41" s="3">
        <f t="shared" si="5"/>
        <v>329136.9417068215</v>
      </c>
      <c r="R41" s="2">
        <f t="shared" si="6"/>
        <v>4.359721548773865E-2</v>
      </c>
    </row>
    <row r="42" spans="4:18" x14ac:dyDescent="0.25">
      <c r="D42">
        <f>+[1]tab!A37</f>
        <v>2009</v>
      </c>
      <c r="E42">
        <f>+[1]tab!B37</f>
        <v>50</v>
      </c>
      <c r="F42">
        <f>+[1]tab!C37</f>
        <v>0.15</v>
      </c>
      <c r="G42">
        <f>+[1]tab!D37</f>
        <v>88434</v>
      </c>
      <c r="H42">
        <f>+[1]tab!E37</f>
        <v>2311690.2000000002</v>
      </c>
      <c r="I42">
        <f>+[1]tab!F37</f>
        <v>163779.9</v>
      </c>
      <c r="J42">
        <f t="shared" si="13"/>
        <v>442356</v>
      </c>
      <c r="L42" s="3">
        <f t="shared" si="8"/>
        <v>26.140287672162291</v>
      </c>
      <c r="M42" s="3">
        <f t="shared" si="9"/>
        <v>1.8520014926385779</v>
      </c>
      <c r="N42" s="2">
        <f t="shared" si="10"/>
        <v>7.084855055404915E-2</v>
      </c>
      <c r="P42" s="3">
        <f t="shared" si="4"/>
        <v>11563313.093507022</v>
      </c>
      <c r="Q42" s="3">
        <f t="shared" si="5"/>
        <v>819243.97227763082</v>
      </c>
      <c r="R42" s="2">
        <f t="shared" si="6"/>
        <v>7.0848550554049164E-2</v>
      </c>
    </row>
    <row r="43" spans="4:18" x14ac:dyDescent="0.25">
      <c r="D43">
        <f>+[1]tab!A38</f>
        <v>2009</v>
      </c>
      <c r="E43">
        <f>+[1]tab!B38</f>
        <v>70</v>
      </c>
      <c r="F43">
        <f>+[1]tab!C38</f>
        <v>0.25</v>
      </c>
      <c r="G43">
        <f>+[1]tab!D38</f>
        <v>50186</v>
      </c>
      <c r="H43">
        <f>+[1]tab!E38</f>
        <v>1753662.7</v>
      </c>
      <c r="I43">
        <f>+[1]tab!F38</f>
        <v>179108.6</v>
      </c>
      <c r="J43">
        <f t="shared" si="13"/>
        <v>442356</v>
      </c>
      <c r="L43" s="3">
        <f t="shared" si="8"/>
        <v>34.94326505399912</v>
      </c>
      <c r="M43" s="3">
        <f t="shared" si="9"/>
        <v>3.568895707966365</v>
      </c>
      <c r="N43" s="2">
        <f t="shared" si="10"/>
        <v>0.10213400786821776</v>
      </c>
      <c r="P43" s="3">
        <f t="shared" si="4"/>
        <v>15457362.956226835</v>
      </c>
      <c r="Q43" s="3">
        <f t="shared" si="5"/>
        <v>1578722.4297931693</v>
      </c>
      <c r="R43" s="2">
        <f t="shared" si="6"/>
        <v>0.10213400786821776</v>
      </c>
    </row>
    <row r="44" spans="4:18" x14ac:dyDescent="0.25">
      <c r="D44">
        <f>+[1]tab!A39</f>
        <v>2009</v>
      </c>
      <c r="E44">
        <f>+[1]tab!B39</f>
        <v>90</v>
      </c>
      <c r="F44">
        <f>+[1]tab!C39</f>
        <v>0.32</v>
      </c>
      <c r="G44">
        <f>+[1]tab!D39</f>
        <v>35686</v>
      </c>
      <c r="H44">
        <f>+[1]tab!E39</f>
        <v>1619432.2</v>
      </c>
      <c r="I44">
        <f>+[1]tab!F39</f>
        <v>234284.3</v>
      </c>
      <c r="J44">
        <f t="shared" si="13"/>
        <v>442356</v>
      </c>
      <c r="L44" s="3">
        <f t="shared" si="8"/>
        <v>45.380042593734238</v>
      </c>
      <c r="M44" s="3">
        <f t="shared" si="9"/>
        <v>6.5651600067253257</v>
      </c>
      <c r="N44" s="2">
        <f t="shared" si="10"/>
        <v>0.1446706444394523</v>
      </c>
      <c r="P44" s="3">
        <f t="shared" si="4"/>
        <v>20074134.121593904</v>
      </c>
      <c r="Q44" s="3">
        <f t="shared" si="5"/>
        <v>2904137.919934988</v>
      </c>
      <c r="R44" s="2">
        <f t="shared" si="6"/>
        <v>0.14467064443945227</v>
      </c>
    </row>
    <row r="45" spans="4:18" x14ac:dyDescent="0.25">
      <c r="D45">
        <f>+[1]tab!A40</f>
        <v>2009</v>
      </c>
      <c r="E45">
        <f>+[1]tab!B40</f>
        <v>120</v>
      </c>
      <c r="F45">
        <f>+[1]tab!C40</f>
        <v>0.37</v>
      </c>
      <c r="G45">
        <f>+[1]tab!D40</f>
        <v>13384</v>
      </c>
      <c r="H45">
        <f>+[1]tab!E40</f>
        <v>785902.2</v>
      </c>
      <c r="I45">
        <f>+[1]tab!F40</f>
        <v>148756.6</v>
      </c>
      <c r="J45">
        <f t="shared" si="13"/>
        <v>442356</v>
      </c>
      <c r="L45" s="3">
        <f t="shared" si="8"/>
        <v>58.719530783024503</v>
      </c>
      <c r="M45" s="3">
        <f t="shared" si="9"/>
        <v>11.114509862522416</v>
      </c>
      <c r="N45" s="2">
        <f t="shared" si="10"/>
        <v>0.18928131261116207</v>
      </c>
      <c r="P45" s="3">
        <f t="shared" si="4"/>
        <v>25974936.759055588</v>
      </c>
      <c r="Q45" s="3">
        <f t="shared" si="5"/>
        <v>4916570.1247459659</v>
      </c>
      <c r="R45" s="2">
        <f t="shared" si="6"/>
        <v>0.18928131261116207</v>
      </c>
    </row>
    <row r="46" spans="4:18" x14ac:dyDescent="0.25">
      <c r="D46">
        <f>+[1]tab!A41</f>
        <v>2009</v>
      </c>
      <c r="E46">
        <f>+[1]tab!B41</f>
        <v>150</v>
      </c>
      <c r="F46">
        <f>+[1]tab!C41</f>
        <v>0.4</v>
      </c>
      <c r="G46">
        <f>+[1]tab!D41</f>
        <v>13672</v>
      </c>
      <c r="H46">
        <f>+[1]tab!E41</f>
        <v>1562675.5</v>
      </c>
      <c r="I46">
        <f>+[1]tab!F41</f>
        <v>452522.3</v>
      </c>
      <c r="J46">
        <f t="shared" si="13"/>
        <v>442356</v>
      </c>
      <c r="L46" s="3">
        <f t="shared" si="8"/>
        <v>114.29750585137508</v>
      </c>
      <c r="M46" s="3">
        <f t="shared" si="9"/>
        <v>33.098471328262143</v>
      </c>
      <c r="N46" s="2">
        <f t="shared" si="10"/>
        <v>0.28958174617826926</v>
      </c>
      <c r="P46" s="3">
        <f t="shared" si="4"/>
        <v>50560187.498390876</v>
      </c>
      <c r="Q46" s="3">
        <f t="shared" si="5"/>
        <v>14641307.382884728</v>
      </c>
      <c r="R46" s="2">
        <f t="shared" si="6"/>
        <v>0.28958174617826921</v>
      </c>
    </row>
    <row r="47" spans="4:18" s="4" customFormat="1" x14ac:dyDescent="0.25">
      <c r="D47">
        <f>+[1]tab!A42</f>
        <v>2010</v>
      </c>
      <c r="E47">
        <f>+[1]tab!B42</f>
        <v>0</v>
      </c>
      <c r="F47">
        <f>+[1]tab!C42</f>
        <v>0</v>
      </c>
      <c r="G47">
        <f>+[1]tab!D42</f>
        <v>1233620</v>
      </c>
      <c r="H47">
        <f>+[1]tab!E42</f>
        <v>2482860.5</v>
      </c>
      <c r="I47">
        <f>+[1]tab!F42</f>
        <v>0.4</v>
      </c>
      <c r="J47" s="4">
        <f t="shared" ref="J47:J54" si="14">+$W$12</f>
        <v>451260</v>
      </c>
      <c r="L47" s="5">
        <f t="shared" si="8"/>
        <v>2.0126623271347741</v>
      </c>
      <c r="M47" s="5">
        <f t="shared" si="9"/>
        <v>3.2424895835022132E-7</v>
      </c>
      <c r="N47" s="6">
        <f t="shared" si="10"/>
        <v>1.6110450023269533E-7</v>
      </c>
      <c r="P47" s="5">
        <f t="shared" si="4"/>
        <v>908234.00174283818</v>
      </c>
      <c r="Q47" s="5">
        <f t="shared" si="5"/>
        <v>0.14632058494512087</v>
      </c>
      <c r="R47" s="6">
        <f t="shared" si="6"/>
        <v>1.6110450023269533E-7</v>
      </c>
    </row>
    <row r="48" spans="4:18" x14ac:dyDescent="0.25">
      <c r="D48">
        <f>+[1]tab!A43</f>
        <v>2010</v>
      </c>
      <c r="E48">
        <f>+[1]tab!B43</f>
        <v>13.5</v>
      </c>
      <c r="F48">
        <f>+[1]tab!C43</f>
        <v>0.05</v>
      </c>
      <c r="G48">
        <f>+[1]tab!D43</f>
        <v>429070</v>
      </c>
      <c r="H48">
        <f>+[1]tab!E43</f>
        <v>3948694.2</v>
      </c>
      <c r="I48">
        <f>+[1]tab!F43</f>
        <v>66685.5</v>
      </c>
      <c r="J48">
        <f t="shared" si="14"/>
        <v>451260</v>
      </c>
      <c r="L48" s="3">
        <f t="shared" si="8"/>
        <v>9.202913743678188</v>
      </c>
      <c r="M48" s="3">
        <f t="shared" si="9"/>
        <v>0.15541869625002913</v>
      </c>
      <c r="N48" s="2">
        <f t="shared" si="10"/>
        <v>1.6887987932820932E-2</v>
      </c>
      <c r="P48" s="3">
        <f t="shared" si="4"/>
        <v>4152906.8559722193</v>
      </c>
      <c r="Q48" s="3">
        <f t="shared" si="5"/>
        <v>70134.240869788147</v>
      </c>
      <c r="R48" s="2">
        <f t="shared" si="6"/>
        <v>1.6887987932820932E-2</v>
      </c>
    </row>
    <row r="49" spans="4:18" x14ac:dyDescent="0.25">
      <c r="D49">
        <f>+[1]tab!A44</f>
        <v>2010</v>
      </c>
      <c r="E49">
        <f>+[1]tab!B44</f>
        <v>30</v>
      </c>
      <c r="F49">
        <f>+[1]tab!C44</f>
        <v>0.1</v>
      </c>
      <c r="G49">
        <f>+[1]tab!D44</f>
        <v>201282</v>
      </c>
      <c r="H49">
        <f>+[1]tab!E44</f>
        <v>3507427.5</v>
      </c>
      <c r="I49">
        <f>+[1]tab!F44</f>
        <v>153085.4</v>
      </c>
      <c r="J49">
        <f t="shared" si="14"/>
        <v>451260</v>
      </c>
      <c r="L49" s="3">
        <f t="shared" si="8"/>
        <v>17.425440426863805</v>
      </c>
      <c r="M49" s="3">
        <f t="shared" si="9"/>
        <v>0.76055186256098406</v>
      </c>
      <c r="N49" s="2">
        <f t="shared" si="10"/>
        <v>4.3646062534435849E-2</v>
      </c>
      <c r="P49" s="3">
        <f t="shared" si="4"/>
        <v>7863404.2470265608</v>
      </c>
      <c r="Q49" s="3">
        <f t="shared" si="5"/>
        <v>343206.63349926966</v>
      </c>
      <c r="R49" s="2">
        <f t="shared" si="6"/>
        <v>4.3646062534435842E-2</v>
      </c>
    </row>
    <row r="50" spans="4:18" x14ac:dyDescent="0.25">
      <c r="D50">
        <f>+[1]tab!A45</f>
        <v>2010</v>
      </c>
      <c r="E50">
        <f>+[1]tab!B45</f>
        <v>50</v>
      </c>
      <c r="F50">
        <f>+[1]tab!C45</f>
        <v>0.15</v>
      </c>
      <c r="G50">
        <f>+[1]tab!D45</f>
        <v>98761</v>
      </c>
      <c r="H50">
        <f>+[1]tab!E45</f>
        <v>2634586.6</v>
      </c>
      <c r="I50">
        <f>+[1]tab!F45</f>
        <v>186687.8</v>
      </c>
      <c r="J50">
        <f t="shared" si="14"/>
        <v>451260</v>
      </c>
      <c r="L50" s="3">
        <f t="shared" si="8"/>
        <v>26.676386427840949</v>
      </c>
      <c r="M50" s="3">
        <f t="shared" si="9"/>
        <v>1.8902988021587468</v>
      </c>
      <c r="N50" s="2">
        <f t="shared" si="10"/>
        <v>7.0860377108120112E-2</v>
      </c>
      <c r="P50" s="3">
        <f t="shared" si="4"/>
        <v>12037986.139427507</v>
      </c>
      <c r="Q50" s="3">
        <f t="shared" si="5"/>
        <v>853016.2374621561</v>
      </c>
      <c r="R50" s="2">
        <f t="shared" si="6"/>
        <v>7.0860377108120112E-2</v>
      </c>
    </row>
    <row r="51" spans="4:18" x14ac:dyDescent="0.25">
      <c r="D51">
        <f>+[1]tab!A46</f>
        <v>2010</v>
      </c>
      <c r="E51">
        <f>+[1]tab!B46</f>
        <v>70</v>
      </c>
      <c r="F51">
        <f>+[1]tab!C46</f>
        <v>0.25</v>
      </c>
      <c r="G51">
        <f>+[1]tab!D46</f>
        <v>53249</v>
      </c>
      <c r="H51">
        <f>+[1]tab!E46</f>
        <v>1900807.8</v>
      </c>
      <c r="I51">
        <f>+[1]tab!F46</f>
        <v>194495.1</v>
      </c>
      <c r="J51">
        <f t="shared" si="14"/>
        <v>451260</v>
      </c>
      <c r="L51" s="3">
        <f t="shared" si="8"/>
        <v>35.696591485286106</v>
      </c>
      <c r="M51" s="3">
        <f t="shared" si="9"/>
        <v>3.6525587334973428</v>
      </c>
      <c r="N51" s="2">
        <f t="shared" si="10"/>
        <v>0.10232233895504848</v>
      </c>
      <c r="P51" s="3">
        <f t="shared" si="4"/>
        <v>16108443.873650208</v>
      </c>
      <c r="Q51" s="3">
        <f t="shared" si="5"/>
        <v>1648253.6540780109</v>
      </c>
      <c r="R51" s="2">
        <f t="shared" si="6"/>
        <v>0.1023223389550485</v>
      </c>
    </row>
    <row r="52" spans="4:18" x14ac:dyDescent="0.25">
      <c r="D52">
        <f>+[1]tab!A47</f>
        <v>2010</v>
      </c>
      <c r="E52">
        <f>+[1]tab!B47</f>
        <v>90</v>
      </c>
      <c r="F52">
        <f>+[1]tab!C47</f>
        <v>0.32</v>
      </c>
      <c r="G52">
        <f>+[1]tab!D47</f>
        <v>40619</v>
      </c>
      <c r="H52">
        <f>+[1]tab!E47</f>
        <v>1884149.1</v>
      </c>
      <c r="I52">
        <f>+[1]tab!F47</f>
        <v>273233.90000000002</v>
      </c>
      <c r="J52">
        <f t="shared" si="14"/>
        <v>451260</v>
      </c>
      <c r="L52" s="3">
        <f t="shared" si="8"/>
        <v>46.385905610674811</v>
      </c>
      <c r="M52" s="3">
        <f t="shared" si="9"/>
        <v>6.7267510278441129</v>
      </c>
      <c r="N52" s="2">
        <f t="shared" si="10"/>
        <v>0.14501713266747307</v>
      </c>
      <c r="P52" s="3">
        <f t="shared" si="4"/>
        <v>20932103.765873116</v>
      </c>
      <c r="Q52" s="3">
        <f t="shared" si="5"/>
        <v>3035513.6688249344</v>
      </c>
      <c r="R52" s="2">
        <f t="shared" si="6"/>
        <v>0.14501713266747307</v>
      </c>
    </row>
    <row r="53" spans="4:18" x14ac:dyDescent="0.25">
      <c r="D53">
        <f>+[1]tab!A48</f>
        <v>2010</v>
      </c>
      <c r="E53">
        <f>+[1]tab!B48</f>
        <v>120</v>
      </c>
      <c r="F53">
        <f>+[1]tab!C48</f>
        <v>0.37</v>
      </c>
      <c r="G53">
        <f>+[1]tab!D48</f>
        <v>15515</v>
      </c>
      <c r="H53">
        <f>+[1]tab!E48</f>
        <v>929154.9</v>
      </c>
      <c r="I53">
        <f>+[1]tab!F48</f>
        <v>175774.7</v>
      </c>
      <c r="J53">
        <f t="shared" si="14"/>
        <v>451260</v>
      </c>
      <c r="L53" s="3">
        <f t="shared" si="8"/>
        <v>59.887521753142124</v>
      </c>
      <c r="M53" s="3">
        <f t="shared" si="9"/>
        <v>11.329339349017081</v>
      </c>
      <c r="N53" s="2">
        <f t="shared" si="10"/>
        <v>0.18917696069837225</v>
      </c>
      <c r="P53" s="3">
        <f t="shared" si="4"/>
        <v>27024843.066322915</v>
      </c>
      <c r="Q53" s="3">
        <f t="shared" si="5"/>
        <v>5112477.674637448</v>
      </c>
      <c r="R53" s="2">
        <f t="shared" si="6"/>
        <v>0.18917696069837225</v>
      </c>
    </row>
    <row r="54" spans="4:18" x14ac:dyDescent="0.25">
      <c r="D54">
        <f>+[1]tab!A49</f>
        <v>2010</v>
      </c>
      <c r="E54">
        <f>+[1]tab!B49</f>
        <v>150</v>
      </c>
      <c r="F54">
        <f>+[1]tab!C49</f>
        <v>0.4</v>
      </c>
      <c r="G54">
        <f>+[1]tab!D49</f>
        <v>15537</v>
      </c>
      <c r="H54">
        <f>+[1]tab!E49</f>
        <v>1813561.1</v>
      </c>
      <c r="I54">
        <f>+[1]tab!F49</f>
        <v>525145</v>
      </c>
      <c r="J54">
        <f t="shared" si="14"/>
        <v>451260</v>
      </c>
      <c r="L54" s="3">
        <f t="shared" si="8"/>
        <v>116.72530733088756</v>
      </c>
      <c r="M54" s="3">
        <f t="shared" si="9"/>
        <v>33.799639570058567</v>
      </c>
      <c r="N54" s="2">
        <f t="shared" si="10"/>
        <v>0.28956565069685269</v>
      </c>
      <c r="P54" s="3">
        <f t="shared" si="4"/>
        <v>52673462.18613632</v>
      </c>
      <c r="Q54" s="3">
        <f t="shared" si="5"/>
        <v>15252425.352384629</v>
      </c>
      <c r="R54" s="2">
        <f t="shared" si="6"/>
        <v>0.28956565069685269</v>
      </c>
    </row>
    <row r="55" spans="4:18" s="4" customFormat="1" x14ac:dyDescent="0.25">
      <c r="D55">
        <f>+[1]tab!A50</f>
        <v>2011</v>
      </c>
      <c r="E55">
        <f>+[1]tab!B50</f>
        <v>0</v>
      </c>
      <c r="F55">
        <f>+[1]tab!C50</f>
        <v>0</v>
      </c>
      <c r="G55">
        <f>+[1]tab!D50</f>
        <v>1262957</v>
      </c>
      <c r="H55">
        <f>+[1]tab!E50</f>
        <v>2701833.5</v>
      </c>
      <c r="I55">
        <f>+[1]tab!F50</f>
        <v>2.7</v>
      </c>
      <c r="J55" s="4">
        <f t="shared" ref="J55:J62" si="15">+$W$13</f>
        <v>468252</v>
      </c>
      <c r="L55" s="5">
        <f t="shared" si="8"/>
        <v>2.13929175735991</v>
      </c>
      <c r="M55" s="5">
        <f t="shared" si="9"/>
        <v>2.1378400056375632E-6</v>
      </c>
      <c r="N55" s="6">
        <f t="shared" si="10"/>
        <v>9.9932138675458732E-7</v>
      </c>
      <c r="P55" s="5">
        <f t="shared" si="4"/>
        <v>1001727.6439672925</v>
      </c>
      <c r="Q55" s="5">
        <f t="shared" si="5"/>
        <v>1.0010478583198004</v>
      </c>
      <c r="R55" s="6">
        <f t="shared" si="6"/>
        <v>9.9932138675458732E-7</v>
      </c>
    </row>
    <row r="56" spans="4:18" x14ac:dyDescent="0.25">
      <c r="D56">
        <f>+[1]tab!A51</f>
        <v>2011</v>
      </c>
      <c r="E56">
        <f>+[1]tab!B51</f>
        <v>13.5</v>
      </c>
      <c r="F56">
        <f>+[1]tab!C51</f>
        <v>0.05</v>
      </c>
      <c r="G56">
        <f>+[1]tab!D51</f>
        <v>473487</v>
      </c>
      <c r="H56">
        <f>+[1]tab!E51</f>
        <v>4524207.4000000004</v>
      </c>
      <c r="I56">
        <f>+[1]tab!F51</f>
        <v>76500.3</v>
      </c>
      <c r="J56">
        <f t="shared" si="15"/>
        <v>468252</v>
      </c>
      <c r="L56" s="3">
        <f t="shared" si="8"/>
        <v>9.555082610504618</v>
      </c>
      <c r="M56" s="3">
        <f t="shared" si="9"/>
        <v>0.16156789943546498</v>
      </c>
      <c r="N56" s="2">
        <f t="shared" si="10"/>
        <v>1.6909105449056116E-2</v>
      </c>
      <c r="P56" s="3">
        <f t="shared" si="4"/>
        <v>4474186.5425340086</v>
      </c>
      <c r="Q56" s="3">
        <f t="shared" si="5"/>
        <v>75654.492046455343</v>
      </c>
      <c r="R56" s="2">
        <f t="shared" si="6"/>
        <v>1.6909105449056116E-2</v>
      </c>
    </row>
    <row r="57" spans="4:18" x14ac:dyDescent="0.25">
      <c r="D57">
        <f>+[1]tab!A52</f>
        <v>2011</v>
      </c>
      <c r="E57">
        <f>+[1]tab!B52</f>
        <v>30</v>
      </c>
      <c r="F57">
        <f>+[1]tab!C52</f>
        <v>0.1</v>
      </c>
      <c r="G57">
        <f>+[1]tab!D52</f>
        <v>217728</v>
      </c>
      <c r="H57">
        <f>+[1]tab!E52</f>
        <v>3928707</v>
      </c>
      <c r="I57">
        <f>+[1]tab!F52</f>
        <v>170985.4</v>
      </c>
      <c r="J57">
        <f t="shared" si="15"/>
        <v>468252</v>
      </c>
      <c r="L57" s="3">
        <f t="shared" si="8"/>
        <v>18.044105489417991</v>
      </c>
      <c r="M57" s="3">
        <f t="shared" si="9"/>
        <v>0.78531654174015286</v>
      </c>
      <c r="N57" s="2">
        <f t="shared" si="10"/>
        <v>4.3522054457102555E-2</v>
      </c>
      <c r="P57" s="3">
        <f t="shared" si="4"/>
        <v>8449188.4836309534</v>
      </c>
      <c r="Q57" s="3">
        <f t="shared" si="5"/>
        <v>367726.04130291007</v>
      </c>
      <c r="R57" s="2">
        <f t="shared" si="6"/>
        <v>4.3522054457102548E-2</v>
      </c>
    </row>
    <row r="58" spans="4:18" x14ac:dyDescent="0.25">
      <c r="D58">
        <f>+[1]tab!A53</f>
        <v>2011</v>
      </c>
      <c r="E58">
        <f>+[1]tab!B53</f>
        <v>50</v>
      </c>
      <c r="F58">
        <f>+[1]tab!C53</f>
        <v>0.15</v>
      </c>
      <c r="G58">
        <f>+[1]tab!D53</f>
        <v>107667</v>
      </c>
      <c r="H58">
        <f>+[1]tab!E53</f>
        <v>2982155.3</v>
      </c>
      <c r="I58">
        <f>+[1]tab!F53</f>
        <v>211454.4</v>
      </c>
      <c r="J58">
        <f t="shared" si="15"/>
        <v>468252</v>
      </c>
      <c r="L58" s="3">
        <f t="shared" si="8"/>
        <v>27.697951089934705</v>
      </c>
      <c r="M58" s="3">
        <f t="shared" si="9"/>
        <v>1.9639666750257738</v>
      </c>
      <c r="N58" s="2">
        <f t="shared" si="10"/>
        <v>7.090656881618472E-2</v>
      </c>
      <c r="P58" s="3">
        <f t="shared" si="4"/>
        <v>12969620.993764106</v>
      </c>
      <c r="Q58" s="3">
        <f t="shared" si="5"/>
        <v>919631.32351416862</v>
      </c>
      <c r="R58" s="2">
        <f t="shared" si="6"/>
        <v>7.090656881618472E-2</v>
      </c>
    </row>
    <row r="59" spans="4:18" x14ac:dyDescent="0.25">
      <c r="D59">
        <f>+[1]tab!A54</f>
        <v>2011</v>
      </c>
      <c r="E59">
        <f>+[1]tab!B54</f>
        <v>70</v>
      </c>
      <c r="F59">
        <f>+[1]tab!C54</f>
        <v>0.25</v>
      </c>
      <c r="G59">
        <f>+[1]tab!D54</f>
        <v>61206</v>
      </c>
      <c r="H59">
        <f>+[1]tab!E54</f>
        <v>2263793.2000000002</v>
      </c>
      <c r="I59">
        <f>+[1]tab!F54</f>
        <v>231182.6</v>
      </c>
      <c r="J59">
        <f t="shared" si="15"/>
        <v>468252</v>
      </c>
      <c r="L59" s="3">
        <f t="shared" si="8"/>
        <v>36.986458843904195</v>
      </c>
      <c r="M59" s="3">
        <f t="shared" si="9"/>
        <v>3.7771231578603404</v>
      </c>
      <c r="N59" s="2">
        <f t="shared" si="10"/>
        <v>0.10212178391559794</v>
      </c>
      <c r="P59" s="3">
        <f t="shared" si="4"/>
        <v>17318983.326575827</v>
      </c>
      <c r="Q59" s="3">
        <f t="shared" si="5"/>
        <v>1768645.4729144201</v>
      </c>
      <c r="R59" s="2">
        <f t="shared" si="6"/>
        <v>0.10212178391559794</v>
      </c>
    </row>
    <row r="60" spans="4:18" x14ac:dyDescent="0.25">
      <c r="D60">
        <f>+[1]tab!A55</f>
        <v>2011</v>
      </c>
      <c r="E60">
        <f>+[1]tab!B55</f>
        <v>90</v>
      </c>
      <c r="F60">
        <f>+[1]tab!C55</f>
        <v>0.32</v>
      </c>
      <c r="G60">
        <f>+[1]tab!D55</f>
        <v>42893</v>
      </c>
      <c r="H60">
        <f>+[1]tab!E55</f>
        <v>2064349.8</v>
      </c>
      <c r="I60">
        <f>+[1]tab!F55</f>
        <v>299322.5</v>
      </c>
      <c r="J60">
        <f t="shared" si="15"/>
        <v>468252</v>
      </c>
      <c r="L60" s="3">
        <f t="shared" si="8"/>
        <v>48.127894994521249</v>
      </c>
      <c r="M60" s="3">
        <f t="shared" si="9"/>
        <v>6.9783531112302706</v>
      </c>
      <c r="N60" s="2">
        <f t="shared" si="10"/>
        <v>0.14499601763228306</v>
      </c>
      <c r="P60" s="3">
        <f t="shared" si="4"/>
        <v>22535983.086974565</v>
      </c>
      <c r="Q60" s="3">
        <f t="shared" si="5"/>
        <v>3267627.8010397968</v>
      </c>
      <c r="R60" s="2">
        <f t="shared" si="6"/>
        <v>0.14499601763228306</v>
      </c>
    </row>
    <row r="61" spans="4:18" x14ac:dyDescent="0.25">
      <c r="D61">
        <f>+[1]tab!A56</f>
        <v>2011</v>
      </c>
      <c r="E61">
        <f>+[1]tab!B56</f>
        <v>120</v>
      </c>
      <c r="F61">
        <f>+[1]tab!C56</f>
        <v>0.37</v>
      </c>
      <c r="G61">
        <f>+[1]tab!D56</f>
        <v>17241</v>
      </c>
      <c r="H61">
        <f>+[1]tab!E56</f>
        <v>1073295.1000000001</v>
      </c>
      <c r="I61">
        <f>+[1]tab!F56</f>
        <v>203387.7</v>
      </c>
      <c r="J61">
        <f t="shared" si="15"/>
        <v>468252</v>
      </c>
      <c r="L61" s="3">
        <f t="shared" si="8"/>
        <v>62.252485354677809</v>
      </c>
      <c r="M61" s="3">
        <f t="shared" si="9"/>
        <v>11.796746128414826</v>
      </c>
      <c r="N61" s="2">
        <f t="shared" si="10"/>
        <v>0.18949839610746383</v>
      </c>
      <c r="P61" s="3">
        <f t="shared" si="4"/>
        <v>29149850.772298593</v>
      </c>
      <c r="Q61" s="3">
        <f t="shared" si="5"/>
        <v>5523849.9681224991</v>
      </c>
      <c r="R61" s="2">
        <f t="shared" si="6"/>
        <v>0.18949839610746383</v>
      </c>
    </row>
    <row r="62" spans="4:18" x14ac:dyDescent="0.25">
      <c r="D62">
        <f>+[1]tab!A57</f>
        <v>2011</v>
      </c>
      <c r="E62">
        <f>+[1]tab!B57</f>
        <v>150</v>
      </c>
      <c r="F62">
        <f>+[1]tab!C57</f>
        <v>0.4</v>
      </c>
      <c r="G62">
        <f>+[1]tab!D57</f>
        <v>18120</v>
      </c>
      <c r="H62">
        <f>+[1]tab!E57</f>
        <v>2254499.2999999998</v>
      </c>
      <c r="I62">
        <f>+[1]tab!F57</f>
        <v>659760.5</v>
      </c>
      <c r="J62">
        <f t="shared" si="15"/>
        <v>468252</v>
      </c>
      <c r="L62" s="3">
        <f t="shared" si="8"/>
        <v>124.42049116997792</v>
      </c>
      <c r="M62" s="3">
        <f t="shared" si="9"/>
        <v>36.410623620309053</v>
      </c>
      <c r="N62" s="2">
        <f t="shared" si="10"/>
        <v>0.29264169653989247</v>
      </c>
      <c r="P62" s="3">
        <f t="shared" si="4"/>
        <v>58260143.831324503</v>
      </c>
      <c r="Q62" s="3">
        <f t="shared" si="5"/>
        <v>17049347.331456956</v>
      </c>
      <c r="R62" s="2">
        <f t="shared" si="6"/>
        <v>0.29264169653989253</v>
      </c>
    </row>
    <row r="63" spans="4:18" s="4" customFormat="1" x14ac:dyDescent="0.25">
      <c r="D63">
        <f>+[1]tab!A58</f>
        <v>2012</v>
      </c>
      <c r="E63">
        <f>+[1]tab!B58</f>
        <v>0</v>
      </c>
      <c r="F63">
        <f>+[1]tab!C58</f>
        <v>0</v>
      </c>
      <c r="G63">
        <f>+[1]tab!D58</f>
        <v>1415149</v>
      </c>
      <c r="H63">
        <f>+[1]tab!E58</f>
        <v>3639868.8</v>
      </c>
      <c r="I63">
        <f>+[1]tab!F58</f>
        <v>1.9</v>
      </c>
      <c r="J63" s="4">
        <f t="shared" ref="J63:J70" si="16">+$W$14</f>
        <v>482472</v>
      </c>
      <c r="L63" s="5">
        <f t="shared" si="8"/>
        <v>2.5720746013317326</v>
      </c>
      <c r="M63" s="5">
        <f t="shared" si="9"/>
        <v>1.3426148059320961E-6</v>
      </c>
      <c r="N63" s="6">
        <f t="shared" si="10"/>
        <v>5.21996836809063E-7</v>
      </c>
      <c r="P63" s="5">
        <f t="shared" si="4"/>
        <v>1240953.9770537238</v>
      </c>
      <c r="Q63" s="5">
        <f t="shared" si="5"/>
        <v>0.64777405064767024</v>
      </c>
      <c r="R63" s="6">
        <f t="shared" si="6"/>
        <v>5.219968368090629E-7</v>
      </c>
    </row>
    <row r="64" spans="4:18" x14ac:dyDescent="0.25">
      <c r="D64">
        <f>+[1]tab!A59</f>
        <v>2012</v>
      </c>
      <c r="E64">
        <f>+[1]tab!B59</f>
        <v>13.5</v>
      </c>
      <c r="F64">
        <f>+[1]tab!C59</f>
        <v>0.05</v>
      </c>
      <c r="G64">
        <f>+[1]tab!D59</f>
        <v>761028</v>
      </c>
      <c r="H64">
        <f>+[1]tab!E59</f>
        <v>7345256.2000000002</v>
      </c>
      <c r="I64">
        <f>+[1]tab!F59</f>
        <v>119310.8</v>
      </c>
      <c r="J64">
        <f t="shared" si="16"/>
        <v>482472</v>
      </c>
      <c r="L64" s="3">
        <f t="shared" si="8"/>
        <v>9.65175552016483</v>
      </c>
      <c r="M64" s="3">
        <f t="shared" si="9"/>
        <v>0.15677583479188678</v>
      </c>
      <c r="N64" s="2">
        <f t="shared" si="10"/>
        <v>1.6243245538528663E-2</v>
      </c>
      <c r="P64" s="3">
        <f t="shared" si="4"/>
        <v>4656701.7893249663</v>
      </c>
      <c r="Q64" s="3">
        <f t="shared" si="5"/>
        <v>75639.950563711202</v>
      </c>
      <c r="R64" s="2">
        <f t="shared" si="6"/>
        <v>1.6243245538528663E-2</v>
      </c>
    </row>
    <row r="65" spans="4:18" x14ac:dyDescent="0.25">
      <c r="D65">
        <f>+[1]tab!A60</f>
        <v>2012</v>
      </c>
      <c r="E65">
        <f>+[1]tab!B60</f>
        <v>30</v>
      </c>
      <c r="F65">
        <f>+[1]tab!C60</f>
        <v>0.1</v>
      </c>
      <c r="G65">
        <f>+[1]tab!D60</f>
        <v>282625</v>
      </c>
      <c r="H65">
        <f>+[1]tab!E60</f>
        <v>5230594.7</v>
      </c>
      <c r="I65">
        <f>+[1]tab!F60</f>
        <v>226274</v>
      </c>
      <c r="J65">
        <f t="shared" si="16"/>
        <v>482472</v>
      </c>
      <c r="L65" s="3">
        <f t="shared" si="8"/>
        <v>18.507190446705</v>
      </c>
      <c r="M65" s="3">
        <f t="shared" si="9"/>
        <v>0.80061565678903135</v>
      </c>
      <c r="N65" s="2">
        <f t="shared" si="10"/>
        <v>4.3259708116937447E-2</v>
      </c>
      <c r="P65" s="3">
        <f t="shared" si="4"/>
        <v>8929201.1892026551</v>
      </c>
      <c r="Q65" s="3">
        <f t="shared" si="5"/>
        <v>386274.63716231752</v>
      </c>
      <c r="R65" s="2">
        <f t="shared" si="6"/>
        <v>4.325970811693744E-2</v>
      </c>
    </row>
    <row r="66" spans="4:18" x14ac:dyDescent="0.25">
      <c r="D66">
        <f>+[1]tab!A61</f>
        <v>2012</v>
      </c>
      <c r="E66">
        <f>+[1]tab!B61</f>
        <v>50</v>
      </c>
      <c r="F66">
        <f>+[1]tab!C61</f>
        <v>0.15</v>
      </c>
      <c r="G66">
        <f>+[1]tab!D61</f>
        <v>127360</v>
      </c>
      <c r="H66">
        <f>+[1]tab!E61</f>
        <v>3623064.3</v>
      </c>
      <c r="I66">
        <f>+[1]tab!F61</f>
        <v>255955.3</v>
      </c>
      <c r="J66">
        <f t="shared" si="16"/>
        <v>482472</v>
      </c>
      <c r="L66" s="3">
        <f t="shared" si="8"/>
        <v>28.447426978643215</v>
      </c>
      <c r="M66" s="3">
        <f t="shared" si="9"/>
        <v>2.009699277638191</v>
      </c>
      <c r="N66" s="2">
        <f t="shared" si="10"/>
        <v>7.0646082654398382E-2</v>
      </c>
      <c r="P66" s="3">
        <f t="shared" si="4"/>
        <v>13725086.98923995</v>
      </c>
      <c r="Q66" s="3">
        <f t="shared" si="5"/>
        <v>969623.62988065335</v>
      </c>
      <c r="R66" s="2">
        <f t="shared" si="6"/>
        <v>7.0646082654398382E-2</v>
      </c>
    </row>
    <row r="67" spans="4:18" x14ac:dyDescent="0.25">
      <c r="D67">
        <f>+[1]tab!A62</f>
        <v>2012</v>
      </c>
      <c r="E67">
        <f>+[1]tab!B62</f>
        <v>70</v>
      </c>
      <c r="F67">
        <f>+[1]tab!C62</f>
        <v>0.25</v>
      </c>
      <c r="G67">
        <f>+[1]tab!D62</f>
        <v>67568</v>
      </c>
      <c r="H67">
        <f>+[1]tab!E62</f>
        <v>2575328</v>
      </c>
      <c r="I67">
        <f>+[1]tab!F62</f>
        <v>262995.8</v>
      </c>
      <c r="J67">
        <f t="shared" si="16"/>
        <v>482472</v>
      </c>
      <c r="L67" s="3">
        <f t="shared" si="8"/>
        <v>38.114610466493012</v>
      </c>
      <c r="M67" s="3">
        <f t="shared" si="9"/>
        <v>3.8923129291972529</v>
      </c>
      <c r="N67" s="2">
        <f t="shared" si="10"/>
        <v>0.10212128319188857</v>
      </c>
      <c r="P67" s="3">
        <f t="shared" si="4"/>
        <v>18389232.340989817</v>
      </c>
      <c r="Q67" s="3">
        <f t="shared" si="5"/>
        <v>1877932.003575657</v>
      </c>
      <c r="R67" s="2">
        <f t="shared" si="6"/>
        <v>0.10212128319188857</v>
      </c>
    </row>
    <row r="68" spans="4:18" x14ac:dyDescent="0.25">
      <c r="D68">
        <f>+[1]tab!A63</f>
        <v>2012</v>
      </c>
      <c r="E68">
        <f>+[1]tab!B63</f>
        <v>90</v>
      </c>
      <c r="F68">
        <f>+[1]tab!C63</f>
        <v>0.32</v>
      </c>
      <c r="G68">
        <f>+[1]tab!D63</f>
        <v>51652</v>
      </c>
      <c r="H68">
        <f>+[1]tab!E63</f>
        <v>2570133.7000000002</v>
      </c>
      <c r="I68">
        <f>+[1]tab!F63</f>
        <v>374196.7</v>
      </c>
      <c r="J68">
        <f t="shared" si="16"/>
        <v>482472</v>
      </c>
      <c r="L68" s="3">
        <f t="shared" si="8"/>
        <v>49.758648261441962</v>
      </c>
      <c r="M68" s="3">
        <f t="shared" si="9"/>
        <v>7.2445732982265936</v>
      </c>
      <c r="N68" s="2">
        <f t="shared" si="10"/>
        <v>0.14559425449345301</v>
      </c>
      <c r="P68" s="3">
        <f t="shared" si="4"/>
        <v>24007154.543994427</v>
      </c>
      <c r="Q68" s="3">
        <f t="shared" si="5"/>
        <v>3495303.7683419809</v>
      </c>
      <c r="R68" s="2">
        <f t="shared" si="6"/>
        <v>0.14559425449345298</v>
      </c>
    </row>
    <row r="69" spans="4:18" x14ac:dyDescent="0.25">
      <c r="D69">
        <f>+[1]tab!A64</f>
        <v>2012</v>
      </c>
      <c r="E69">
        <f>+[1]tab!B64</f>
        <v>120</v>
      </c>
      <c r="F69">
        <f>+[1]tab!C64</f>
        <v>0.37</v>
      </c>
      <c r="G69">
        <f>+[1]tab!D64</f>
        <v>23436</v>
      </c>
      <c r="H69">
        <f>+[1]tab!E64</f>
        <v>1500001.5</v>
      </c>
      <c r="I69">
        <f>+[1]tab!F64</f>
        <v>283694.7</v>
      </c>
      <c r="J69">
        <f t="shared" si="16"/>
        <v>482472</v>
      </c>
      <c r="L69" s="3">
        <f t="shared" si="8"/>
        <v>64.004160266257045</v>
      </c>
      <c r="M69" s="3">
        <f t="shared" si="9"/>
        <v>12.105081925243216</v>
      </c>
      <c r="N69" s="2">
        <f t="shared" si="10"/>
        <v>0.18912961087038913</v>
      </c>
      <c r="P69" s="3">
        <f t="shared" si="4"/>
        <v>30880215.211981568</v>
      </c>
      <c r="Q69" s="3">
        <f t="shared" si="5"/>
        <v>5840363.0866359444</v>
      </c>
      <c r="R69" s="2">
        <f t="shared" si="6"/>
        <v>0.1891296108703891</v>
      </c>
    </row>
    <row r="70" spans="4:18" x14ac:dyDescent="0.25">
      <c r="D70">
        <f>+[1]tab!A65</f>
        <v>2012</v>
      </c>
      <c r="E70">
        <f>+[1]tab!B65</f>
        <v>150</v>
      </c>
      <c r="F70">
        <f>+[1]tab!C65</f>
        <v>0.4</v>
      </c>
      <c r="G70">
        <f>+[1]tab!D65</f>
        <v>25139</v>
      </c>
      <c r="H70">
        <f>+[1]tab!E65</f>
        <v>3097144.8</v>
      </c>
      <c r="I70">
        <f>+[1]tab!F65</f>
        <v>892014.8</v>
      </c>
      <c r="J70">
        <f t="shared" si="16"/>
        <v>482472</v>
      </c>
      <c r="L70" s="3">
        <f t="shared" si="8"/>
        <v>123.20079557659413</v>
      </c>
      <c r="M70" s="3">
        <f t="shared" si="9"/>
        <v>35.483304825172048</v>
      </c>
      <c r="N70" s="2">
        <f t="shared" si="10"/>
        <v>0.28801197799986622</v>
      </c>
      <c r="P70" s="3">
        <f t="shared" si="4"/>
        <v>59440934.243430525</v>
      </c>
      <c r="Q70" s="3">
        <f t="shared" si="5"/>
        <v>17119701.045610409</v>
      </c>
      <c r="R70" s="2">
        <f t="shared" si="6"/>
        <v>0.28801197799986628</v>
      </c>
    </row>
    <row r="71" spans="4:18" s="4" customFormat="1" x14ac:dyDescent="0.25">
      <c r="D71">
        <f>+[1]tab!A66</f>
        <v>2013</v>
      </c>
      <c r="E71">
        <f>+[1]tab!B66</f>
        <v>0</v>
      </c>
      <c r="F71">
        <f>+[1]tab!C66</f>
        <v>0</v>
      </c>
      <c r="G71">
        <f>+[1]tab!D66</f>
        <v>1396883</v>
      </c>
      <c r="H71">
        <f>+[1]tab!E66</f>
        <v>3765657.1</v>
      </c>
      <c r="I71">
        <f>+[1]tab!F66</f>
        <v>2.9</v>
      </c>
      <c r="J71" s="4">
        <f t="shared" ref="J71:J78" si="17">+$W$15</f>
        <v>489264</v>
      </c>
      <c r="L71" s="5">
        <f t="shared" si="8"/>
        <v>2.6957569817944669</v>
      </c>
      <c r="M71" s="5">
        <f t="shared" si="9"/>
        <v>2.0760507501344065E-6</v>
      </c>
      <c r="N71" s="6">
        <f t="shared" si="10"/>
        <v>7.7011791647200162E-7</v>
      </c>
      <c r="P71" s="5">
        <f t="shared" si="4"/>
        <v>1318936.8439406881</v>
      </c>
      <c r="Q71" s="5">
        <f t="shared" si="5"/>
        <v>1.0157368942137603</v>
      </c>
      <c r="R71" s="6">
        <f t="shared" si="6"/>
        <v>7.7011791647200173E-7</v>
      </c>
    </row>
    <row r="72" spans="4:18" x14ac:dyDescent="0.25">
      <c r="D72">
        <f>+[1]tab!A67</f>
        <v>2013</v>
      </c>
      <c r="E72">
        <f>+[1]tab!B67</f>
        <v>13.5</v>
      </c>
      <c r="F72">
        <f>+[1]tab!C67</f>
        <v>0.04</v>
      </c>
      <c r="G72">
        <f>+[1]tab!D67</f>
        <v>810612</v>
      </c>
      <c r="H72">
        <f>+[1]tab!E67</f>
        <v>7946507.7999999998</v>
      </c>
      <c r="I72">
        <f>+[1]tab!F67</f>
        <v>103613.1</v>
      </c>
      <c r="J72">
        <f t="shared" si="17"/>
        <v>489264</v>
      </c>
      <c r="L72" s="3">
        <f t="shared" si="8"/>
        <v>9.803096672637464</v>
      </c>
      <c r="M72" s="3">
        <f t="shared" si="9"/>
        <v>0.12782083166792499</v>
      </c>
      <c r="N72" s="2">
        <f t="shared" si="10"/>
        <v>1.3038821908662823E-2</v>
      </c>
      <c r="P72" s="3">
        <f t="shared" ref="P72:P109" si="18">+L72*J72</f>
        <v>4796302.2904412961</v>
      </c>
      <c r="Q72" s="3">
        <f t="shared" ref="Q72:Q109" si="19">+M72*J72</f>
        <v>62538.131385175649</v>
      </c>
      <c r="R72" s="2">
        <f t="shared" ref="R72:R109" si="20">+Q72/P72</f>
        <v>1.3038821908662823E-2</v>
      </c>
    </row>
    <row r="73" spans="4:18" x14ac:dyDescent="0.25">
      <c r="D73">
        <f>+[1]tab!A68</f>
        <v>2013</v>
      </c>
      <c r="E73">
        <f>+[1]tab!B68</f>
        <v>30</v>
      </c>
      <c r="F73">
        <f>+[1]tab!C68</f>
        <v>0.08</v>
      </c>
      <c r="G73">
        <f>+[1]tab!D68</f>
        <v>304691</v>
      </c>
      <c r="H73">
        <f>+[1]tab!E68</f>
        <v>5715260</v>
      </c>
      <c r="I73">
        <f>+[1]tab!F68</f>
        <v>197655.5</v>
      </c>
      <c r="J73">
        <f t="shared" si="17"/>
        <v>489264</v>
      </c>
      <c r="L73" s="3">
        <f t="shared" si="8"/>
        <v>18.757560938787165</v>
      </c>
      <c r="M73" s="3">
        <f t="shared" si="9"/>
        <v>0.64870803535385024</v>
      </c>
      <c r="N73" s="2">
        <f t="shared" si="10"/>
        <v>3.4583815959378927E-2</v>
      </c>
      <c r="P73" s="3">
        <f t="shared" si="18"/>
        <v>9177399.2951547634</v>
      </c>
      <c r="Q73" s="3">
        <f t="shared" si="19"/>
        <v>317389.48820936616</v>
      </c>
      <c r="R73" s="2">
        <f t="shared" si="20"/>
        <v>3.458381595937892E-2</v>
      </c>
    </row>
    <row r="74" spans="4:18" x14ac:dyDescent="0.25">
      <c r="D74">
        <f>+[1]tab!A69</f>
        <v>2013</v>
      </c>
      <c r="E74">
        <f>+[1]tab!B69</f>
        <v>50</v>
      </c>
      <c r="F74">
        <f>+[1]tab!C69</f>
        <v>0.13500000000000001</v>
      </c>
      <c r="G74">
        <f>+[1]tab!D69</f>
        <v>137876</v>
      </c>
      <c r="H74">
        <f>+[1]tab!E69</f>
        <v>3980175.6</v>
      </c>
      <c r="I74">
        <f>+[1]tab!F69</f>
        <v>234221</v>
      </c>
      <c r="J74">
        <f t="shared" si="17"/>
        <v>489264</v>
      </c>
      <c r="L74" s="3">
        <f t="shared" si="8"/>
        <v>28.867791348748153</v>
      </c>
      <c r="M74" s="3">
        <f t="shared" si="9"/>
        <v>1.6987800632452348</v>
      </c>
      <c r="N74" s="2">
        <f t="shared" si="10"/>
        <v>5.8846901126673908E-2</v>
      </c>
      <c r="P74" s="3">
        <f t="shared" si="18"/>
        <v>14123971.066453917</v>
      </c>
      <c r="Q74" s="3">
        <f t="shared" si="19"/>
        <v>831151.92886361654</v>
      </c>
      <c r="R74" s="2">
        <f t="shared" si="20"/>
        <v>5.8846901126673901E-2</v>
      </c>
    </row>
    <row r="75" spans="4:18" x14ac:dyDescent="0.25">
      <c r="D75">
        <f>+[1]tab!A70</f>
        <v>2013</v>
      </c>
      <c r="E75">
        <f>+[1]tab!B70</f>
        <v>70</v>
      </c>
      <c r="F75">
        <f>+[1]tab!C70</f>
        <v>0.23</v>
      </c>
      <c r="G75">
        <f>+[1]tab!D70</f>
        <v>75989</v>
      </c>
      <c r="H75">
        <f>+[1]tab!E70</f>
        <v>2935712.8</v>
      </c>
      <c r="I75">
        <f>+[1]tab!F70</f>
        <v>260795.2</v>
      </c>
      <c r="J75">
        <f t="shared" si="17"/>
        <v>489264</v>
      </c>
      <c r="L75" s="3">
        <f t="shared" si="8"/>
        <v>38.633391675110872</v>
      </c>
      <c r="M75" s="3">
        <f t="shared" si="9"/>
        <v>3.4320125281290714</v>
      </c>
      <c r="N75" s="2">
        <f t="shared" si="10"/>
        <v>8.8835392889931211E-2</v>
      </c>
      <c r="P75" s="3">
        <f t="shared" si="18"/>
        <v>18901927.744531445</v>
      </c>
      <c r="Q75" s="3">
        <f t="shared" si="19"/>
        <v>1679160.177562542</v>
      </c>
      <c r="R75" s="2">
        <f t="shared" si="20"/>
        <v>8.8835392889931197E-2</v>
      </c>
    </row>
    <row r="76" spans="4:18" x14ac:dyDescent="0.25">
      <c r="D76">
        <f>+[1]tab!A71</f>
        <v>2013</v>
      </c>
      <c r="E76">
        <f>+[1]tab!B71</f>
        <v>90</v>
      </c>
      <c r="F76">
        <f>+[1]tab!C71</f>
        <v>0.30399999999999999</v>
      </c>
      <c r="G76">
        <f>+[1]tab!D71</f>
        <v>56981</v>
      </c>
      <c r="H76">
        <f>+[1]tab!E71</f>
        <v>2870978.1</v>
      </c>
      <c r="I76">
        <f>+[1]tab!F71</f>
        <v>376223.2</v>
      </c>
      <c r="J76">
        <f t="shared" si="17"/>
        <v>489264</v>
      </c>
      <c r="L76" s="3">
        <f t="shared" si="8"/>
        <v>50.384831786033942</v>
      </c>
      <c r="M76" s="3">
        <f t="shared" si="9"/>
        <v>6.6026078868394729</v>
      </c>
      <c r="N76" s="2">
        <f t="shared" si="10"/>
        <v>0.13104356316754906</v>
      </c>
      <c r="P76" s="3">
        <f t="shared" si="18"/>
        <v>24651484.338962112</v>
      </c>
      <c r="Q76" s="3">
        <f t="shared" si="19"/>
        <v>3230418.3451466276</v>
      </c>
      <c r="R76" s="2">
        <f t="shared" si="20"/>
        <v>0.13104356316754906</v>
      </c>
    </row>
    <row r="77" spans="4:18" x14ac:dyDescent="0.25">
      <c r="D77">
        <f>+[1]tab!A72</f>
        <v>2013</v>
      </c>
      <c r="E77">
        <f>+[1]tab!B72</f>
        <v>120</v>
      </c>
      <c r="F77">
        <f>+[1]tab!C72</f>
        <v>0.35499999999999998</v>
      </c>
      <c r="G77">
        <f>+[1]tab!D72</f>
        <v>23951</v>
      </c>
      <c r="H77">
        <f>+[1]tab!E72</f>
        <v>1556331.6</v>
      </c>
      <c r="I77">
        <f>+[1]tab!F72</f>
        <v>271938.40000000002</v>
      </c>
      <c r="J77">
        <f t="shared" si="17"/>
        <v>489264</v>
      </c>
      <c r="L77" s="3">
        <f t="shared" si="8"/>
        <v>64.979817126633549</v>
      </c>
      <c r="M77" s="3">
        <f t="shared" si="9"/>
        <v>11.353947643104673</v>
      </c>
      <c r="N77" s="2">
        <f t="shared" si="10"/>
        <v>0.17473037237051539</v>
      </c>
      <c r="P77" s="3">
        <f t="shared" si="18"/>
        <v>31792285.246645238</v>
      </c>
      <c r="Q77" s="3">
        <f t="shared" si="19"/>
        <v>5555077.8396559646</v>
      </c>
      <c r="R77" s="2">
        <f t="shared" si="20"/>
        <v>0.17473037237051536</v>
      </c>
    </row>
    <row r="78" spans="4:18" x14ac:dyDescent="0.25">
      <c r="D78">
        <f>+[1]tab!A73</f>
        <v>2013</v>
      </c>
      <c r="E78">
        <f>+[1]tab!B73</f>
        <v>150</v>
      </c>
      <c r="F78">
        <f>+[1]tab!C73</f>
        <v>0.4</v>
      </c>
      <c r="G78">
        <f>+[1]tab!D73</f>
        <v>27866</v>
      </c>
      <c r="H78">
        <f>+[1]tab!E73</f>
        <v>3483073.2</v>
      </c>
      <c r="I78">
        <f>+[1]tab!F73</f>
        <v>974206.4</v>
      </c>
      <c r="J78">
        <f t="shared" si="17"/>
        <v>489264</v>
      </c>
      <c r="L78" s="3">
        <f t="shared" si="8"/>
        <v>124.99365535060647</v>
      </c>
      <c r="M78" s="3">
        <f t="shared" si="9"/>
        <v>34.960396181726836</v>
      </c>
      <c r="N78" s="2">
        <f t="shared" si="10"/>
        <v>0.27969736610760865</v>
      </c>
      <c r="P78" s="3">
        <f t="shared" si="18"/>
        <v>61154895.791459128</v>
      </c>
      <c r="Q78" s="3">
        <f t="shared" si="19"/>
        <v>17104863.277456399</v>
      </c>
      <c r="R78" s="2">
        <f t="shared" si="20"/>
        <v>0.27969736610760865</v>
      </c>
    </row>
    <row r="79" spans="4:18" s="4" customFormat="1" x14ac:dyDescent="0.25">
      <c r="D79">
        <f>+[1]tab!A74</f>
        <v>2014</v>
      </c>
      <c r="E79">
        <f>+[1]tab!B74</f>
        <v>0</v>
      </c>
      <c r="F79">
        <f>+[1]tab!C74</f>
        <v>0</v>
      </c>
      <c r="G79">
        <f>+[1]tab!D74</f>
        <v>1405059</v>
      </c>
      <c r="H79">
        <f>+[1]tab!E74</f>
        <v>4106106.5</v>
      </c>
      <c r="I79">
        <f>+[1]tab!F74</f>
        <v>2.4</v>
      </c>
      <c r="J79" s="4">
        <f t="shared" ref="J79:J86" si="21">+$W$16</f>
        <v>518376</v>
      </c>
      <c r="L79" s="5">
        <f t="shared" si="8"/>
        <v>2.9223730106707264</v>
      </c>
      <c r="M79" s="5">
        <f t="shared" si="9"/>
        <v>1.7081133247785324E-6</v>
      </c>
      <c r="N79" s="6">
        <f t="shared" si="10"/>
        <v>5.8449531204317275E-7</v>
      </c>
      <c r="P79" s="5">
        <f t="shared" si="18"/>
        <v>1514888.0317794485</v>
      </c>
      <c r="Q79" s="5">
        <f t="shared" si="19"/>
        <v>0.88544495284539648</v>
      </c>
      <c r="R79" s="6">
        <f t="shared" si="20"/>
        <v>5.8449531204317275E-7</v>
      </c>
    </row>
    <row r="80" spans="4:18" x14ac:dyDescent="0.25">
      <c r="D80">
        <f>+[1]tab!A75</f>
        <v>2014</v>
      </c>
      <c r="E80">
        <f>+[1]tab!B75</f>
        <v>13.5</v>
      </c>
      <c r="F80">
        <f>+[1]tab!C75</f>
        <v>0.04</v>
      </c>
      <c r="G80">
        <f>+[1]tab!D75</f>
        <v>900454</v>
      </c>
      <c r="H80">
        <f>+[1]tab!E75</f>
        <v>9333963.3000000007</v>
      </c>
      <c r="I80">
        <f>+[1]tab!F75</f>
        <v>121234.9</v>
      </c>
      <c r="J80">
        <f t="shared" si="21"/>
        <v>518376</v>
      </c>
      <c r="L80" s="3">
        <f t="shared" ref="L80:L109" si="22">+H80/G80</f>
        <v>10.365841342256241</v>
      </c>
      <c r="M80" s="3">
        <f t="shared" ref="M80:M109" si="23">+I80/G80</f>
        <v>0.13463752729178835</v>
      </c>
      <c r="N80" s="2">
        <f t="shared" ref="N80:N109" si="24">+I80/H80</f>
        <v>1.2988576888876346E-2</v>
      </c>
      <c r="P80" s="3">
        <f t="shared" si="18"/>
        <v>5373403.3716334207</v>
      </c>
      <c r="Q80" s="3">
        <f t="shared" si="19"/>
        <v>69792.862847408076</v>
      </c>
      <c r="R80" s="2">
        <f t="shared" si="20"/>
        <v>1.2988576888876344E-2</v>
      </c>
    </row>
    <row r="81" spans="4:18" x14ac:dyDescent="0.25">
      <c r="D81">
        <f>+[1]tab!A76</f>
        <v>2014</v>
      </c>
      <c r="E81">
        <f>+[1]tab!B76</f>
        <v>30</v>
      </c>
      <c r="F81">
        <f>+[1]tab!C76</f>
        <v>0.08</v>
      </c>
      <c r="G81">
        <f>+[1]tab!D76</f>
        <v>325043</v>
      </c>
      <c r="H81">
        <f>+[1]tab!E76</f>
        <v>6452698.7000000002</v>
      </c>
      <c r="I81">
        <f>+[1]tab!F76</f>
        <v>222938.4</v>
      </c>
      <c r="J81">
        <f t="shared" si="21"/>
        <v>518376</v>
      </c>
      <c r="L81" s="3">
        <f t="shared" si="22"/>
        <v>19.851830988515367</v>
      </c>
      <c r="M81" s="3">
        <f t="shared" si="23"/>
        <v>0.68587356134419142</v>
      </c>
      <c r="N81" s="2">
        <f t="shared" si="24"/>
        <v>3.4549637347858812E-2</v>
      </c>
      <c r="P81" s="3">
        <f t="shared" si="18"/>
        <v>10290712.740502642</v>
      </c>
      <c r="Q81" s="3">
        <f t="shared" si="19"/>
        <v>355540.39323535655</v>
      </c>
      <c r="R81" s="2">
        <f t="shared" si="20"/>
        <v>3.4549637347858805E-2</v>
      </c>
    </row>
    <row r="82" spans="4:18" x14ac:dyDescent="0.25">
      <c r="D82">
        <f>+[1]tab!A77</f>
        <v>2014</v>
      </c>
      <c r="E82">
        <f>+[1]tab!B77</f>
        <v>50</v>
      </c>
      <c r="F82">
        <f>+[1]tab!C77</f>
        <v>0.13500000000000001</v>
      </c>
      <c r="G82">
        <f>+[1]tab!D77</f>
        <v>144018</v>
      </c>
      <c r="H82">
        <f>+[1]tab!E77</f>
        <v>4405163.2</v>
      </c>
      <c r="I82">
        <f>+[1]tab!F77</f>
        <v>259396</v>
      </c>
      <c r="J82">
        <f t="shared" si="21"/>
        <v>518376</v>
      </c>
      <c r="L82" s="3">
        <f t="shared" si="22"/>
        <v>30.587587662653281</v>
      </c>
      <c r="M82" s="3">
        <f t="shared" si="23"/>
        <v>1.8011359691149718</v>
      </c>
      <c r="N82" s="2">
        <f t="shared" si="24"/>
        <v>5.8884538034822409E-2</v>
      </c>
      <c r="P82" s="3">
        <f t="shared" si="18"/>
        <v>15855871.342215557</v>
      </c>
      <c r="Q82" s="3">
        <f t="shared" si="19"/>
        <v>933665.65912594262</v>
      </c>
      <c r="R82" s="2">
        <f t="shared" si="20"/>
        <v>5.8884538034822409E-2</v>
      </c>
    </row>
    <row r="83" spans="4:18" x14ac:dyDescent="0.25">
      <c r="D83">
        <f>+[1]tab!A78</f>
        <v>2014</v>
      </c>
      <c r="E83">
        <f>+[1]tab!B78</f>
        <v>70</v>
      </c>
      <c r="F83">
        <f>+[1]tab!C78</f>
        <v>0.23</v>
      </c>
      <c r="G83">
        <f>+[1]tab!D78</f>
        <v>80133</v>
      </c>
      <c r="H83">
        <f>+[1]tab!E78</f>
        <v>3280222.7</v>
      </c>
      <c r="I83">
        <f>+[1]tab!F78</f>
        <v>291563.3</v>
      </c>
      <c r="J83">
        <f t="shared" si="21"/>
        <v>518376</v>
      </c>
      <c r="L83" s="3">
        <f t="shared" si="22"/>
        <v>40.934729761771059</v>
      </c>
      <c r="M83" s="3">
        <f t="shared" si="23"/>
        <v>3.6384922566233637</v>
      </c>
      <c r="N83" s="2">
        <f t="shared" si="24"/>
        <v>8.8885215019090011E-2</v>
      </c>
      <c r="P83" s="3">
        <f t="shared" si="18"/>
        <v>21219581.474987835</v>
      </c>
      <c r="Q83" s="3">
        <f t="shared" si="19"/>
        <v>1886107.0620193928</v>
      </c>
      <c r="R83" s="2">
        <f t="shared" si="20"/>
        <v>8.8885215019090011E-2</v>
      </c>
    </row>
    <row r="84" spans="4:18" x14ac:dyDescent="0.25">
      <c r="D84">
        <f>+[1]tab!A79</f>
        <v>2014</v>
      </c>
      <c r="E84">
        <f>+[1]tab!B79</f>
        <v>90</v>
      </c>
      <c r="F84">
        <f>+[1]tab!C79</f>
        <v>0.30399999999999999</v>
      </c>
      <c r="G84">
        <f>+[1]tab!D79</f>
        <v>59765</v>
      </c>
      <c r="H84">
        <f>+[1]tab!E79</f>
        <v>3191610.3</v>
      </c>
      <c r="I84">
        <f>+[1]tab!F79</f>
        <v>418616.5</v>
      </c>
      <c r="J84">
        <f t="shared" si="21"/>
        <v>518376</v>
      </c>
      <c r="L84" s="3">
        <f t="shared" si="22"/>
        <v>53.402665439638582</v>
      </c>
      <c r="M84" s="3">
        <f t="shared" si="23"/>
        <v>7.0043754705931569</v>
      </c>
      <c r="N84" s="2">
        <f t="shared" si="24"/>
        <v>0.13116153309819811</v>
      </c>
      <c r="P84" s="3">
        <f t="shared" si="18"/>
        <v>27682660.099938091</v>
      </c>
      <c r="Q84" s="3">
        <f t="shared" si="19"/>
        <v>3630900.1389441984</v>
      </c>
      <c r="R84" s="2">
        <f t="shared" si="20"/>
        <v>0.13116153309819811</v>
      </c>
    </row>
    <row r="85" spans="4:18" x14ac:dyDescent="0.25">
      <c r="D85">
        <f>+[1]tab!A80</f>
        <v>2014</v>
      </c>
      <c r="E85">
        <f>+[1]tab!B80</f>
        <v>120</v>
      </c>
      <c r="F85">
        <f>+[1]tab!C80</f>
        <v>0.35499999999999998</v>
      </c>
      <c r="G85">
        <f>+[1]tab!D80</f>
        <v>26554</v>
      </c>
      <c r="H85">
        <f>+[1]tab!E80</f>
        <v>1831610.7</v>
      </c>
      <c r="I85">
        <f>+[1]tab!F80</f>
        <v>320832</v>
      </c>
      <c r="J85">
        <f t="shared" si="21"/>
        <v>518376</v>
      </c>
      <c r="L85" s="3">
        <f t="shared" si="22"/>
        <v>68.976828349777804</v>
      </c>
      <c r="M85" s="3">
        <f t="shared" si="23"/>
        <v>12.082247495669202</v>
      </c>
      <c r="N85" s="2">
        <f t="shared" si="24"/>
        <v>0.17516385987480856</v>
      </c>
      <c r="P85" s="3">
        <f t="shared" si="18"/>
        <v>35755932.372644417</v>
      </c>
      <c r="Q85" s="3">
        <f t="shared" si="19"/>
        <v>6263147.1278150184</v>
      </c>
      <c r="R85" s="2">
        <f t="shared" si="20"/>
        <v>0.17516385987480856</v>
      </c>
    </row>
    <row r="86" spans="4:18" x14ac:dyDescent="0.25">
      <c r="D86">
        <f>+[1]tab!A81</f>
        <v>2014</v>
      </c>
      <c r="E86">
        <f>+[1]tab!B81</f>
        <v>150</v>
      </c>
      <c r="F86">
        <f>+[1]tab!C81</f>
        <v>0.4</v>
      </c>
      <c r="G86">
        <f>+[1]tab!D81</f>
        <v>34493</v>
      </c>
      <c r="H86">
        <f>+[1]tab!E81</f>
        <v>4591691.7</v>
      </c>
      <c r="I86">
        <f>+[1]tab!F81</f>
        <v>1287584.6000000001</v>
      </c>
      <c r="J86">
        <f t="shared" si="21"/>
        <v>518376</v>
      </c>
      <c r="L86" s="3">
        <f t="shared" si="22"/>
        <v>133.1195228017279</v>
      </c>
      <c r="M86" s="3">
        <f t="shared" si="23"/>
        <v>37.328866726582206</v>
      </c>
      <c r="N86" s="2">
        <f t="shared" si="24"/>
        <v>0.28041616992708812</v>
      </c>
      <c r="P86" s="3">
        <f t="shared" si="18"/>
        <v>69005965.751868501</v>
      </c>
      <c r="Q86" s="3">
        <f t="shared" si="19"/>
        <v>19350388.618258778</v>
      </c>
      <c r="R86" s="2">
        <f t="shared" si="20"/>
        <v>0.28041616992708807</v>
      </c>
    </row>
    <row r="87" spans="4:18" s="4" customFormat="1" x14ac:dyDescent="0.25">
      <c r="D87">
        <f>+[1]tab!A82</f>
        <v>2015</v>
      </c>
      <c r="E87">
        <f>+[1]tab!B82</f>
        <v>0</v>
      </c>
      <c r="F87">
        <f>+[1]tab!C82</f>
        <v>0</v>
      </c>
      <c r="G87">
        <f>+[1]tab!D82</f>
        <v>1457765</v>
      </c>
      <c r="H87">
        <f>+[1]tab!E82</f>
        <v>4406525.8</v>
      </c>
      <c r="I87">
        <f>+[1]tab!F82</f>
        <v>3.2</v>
      </c>
      <c r="J87" s="4">
        <f t="shared" ref="J87:J94" si="25">+$W$17</f>
        <v>539460</v>
      </c>
      <c r="L87" s="5">
        <f t="shared" si="22"/>
        <v>3.0227957181027119</v>
      </c>
      <c r="M87" s="5">
        <f t="shared" si="23"/>
        <v>2.1951411921674621E-6</v>
      </c>
      <c r="N87" s="6">
        <f t="shared" si="24"/>
        <v>7.2619568005252581E-7</v>
      </c>
      <c r="P87" s="5">
        <f t="shared" si="18"/>
        <v>1630677.3780876889</v>
      </c>
      <c r="Q87" s="5">
        <f t="shared" si="19"/>
        <v>1.184190867526659</v>
      </c>
      <c r="R87" s="6">
        <f t="shared" si="20"/>
        <v>7.2619568005252581E-7</v>
      </c>
    </row>
    <row r="88" spans="4:18" x14ac:dyDescent="0.25">
      <c r="D88">
        <f>+[1]tab!A83</f>
        <v>2015</v>
      </c>
      <c r="E88">
        <f>+[1]tab!B83</f>
        <v>13.5</v>
      </c>
      <c r="F88">
        <f>+[1]tab!C83</f>
        <v>0.04</v>
      </c>
      <c r="G88">
        <f>+[1]tab!D83</f>
        <v>950010</v>
      </c>
      <c r="H88">
        <f>+[1]tab!E83</f>
        <v>10236342.199999999</v>
      </c>
      <c r="I88">
        <f>+[1]tab!F83</f>
        <v>132648.20000000001</v>
      </c>
      <c r="J88">
        <f t="shared" si="25"/>
        <v>539460</v>
      </c>
      <c r="L88" s="3">
        <f t="shared" si="22"/>
        <v>10.774983631751244</v>
      </c>
      <c r="M88" s="3">
        <f t="shared" si="23"/>
        <v>0.13962821443984802</v>
      </c>
      <c r="N88" s="2">
        <f t="shared" si="24"/>
        <v>1.2958554668092282E-2</v>
      </c>
      <c r="P88" s="3">
        <f t="shared" si="18"/>
        <v>5812672.669984526</v>
      </c>
      <c r="Q88" s="3">
        <f t="shared" si="19"/>
        <v>75323.836561720411</v>
      </c>
      <c r="R88" s="2">
        <f t="shared" si="20"/>
        <v>1.2958554668092282E-2</v>
      </c>
    </row>
    <row r="89" spans="4:18" x14ac:dyDescent="0.25">
      <c r="D89">
        <f>+[1]tab!A84</f>
        <v>2015</v>
      </c>
      <c r="E89">
        <f>+[1]tab!B84</f>
        <v>30</v>
      </c>
      <c r="F89">
        <f>+[1]tab!C84</f>
        <v>0.08</v>
      </c>
      <c r="G89">
        <f>+[1]tab!D84</f>
        <v>342790</v>
      </c>
      <c r="H89">
        <f>+[1]tab!E84</f>
        <v>7073844.0999999996</v>
      </c>
      <c r="I89">
        <f>+[1]tab!F84</f>
        <v>244056.3</v>
      </c>
      <c r="J89">
        <f t="shared" si="25"/>
        <v>539460</v>
      </c>
      <c r="L89" s="3">
        <f t="shared" si="22"/>
        <v>20.636086525277864</v>
      </c>
      <c r="M89" s="3">
        <f t="shared" si="23"/>
        <v>0.71197030251757631</v>
      </c>
      <c r="N89" s="2">
        <f t="shared" si="24"/>
        <v>3.4501226850617191E-2</v>
      </c>
      <c r="P89" s="3">
        <f t="shared" si="18"/>
        <v>11132343.236926397</v>
      </c>
      <c r="Q89" s="3">
        <f t="shared" si="19"/>
        <v>384079.49939613172</v>
      </c>
      <c r="R89" s="2">
        <f t="shared" si="20"/>
        <v>3.4501226850617191E-2</v>
      </c>
    </row>
    <row r="90" spans="4:18" x14ac:dyDescent="0.25">
      <c r="D90">
        <f>+[1]tab!A85</f>
        <v>2015</v>
      </c>
      <c r="E90">
        <f>+[1]tab!B85</f>
        <v>50</v>
      </c>
      <c r="F90">
        <f>+[1]tab!C85</f>
        <v>0.13500000000000001</v>
      </c>
      <c r="G90">
        <f>+[1]tab!D85</f>
        <v>150227</v>
      </c>
      <c r="H90">
        <f>+[1]tab!E85</f>
        <v>4778642</v>
      </c>
      <c r="I90">
        <f>+[1]tab!F85</f>
        <v>281146.09999999998</v>
      </c>
      <c r="J90">
        <f t="shared" si="25"/>
        <v>539460</v>
      </c>
      <c r="L90" s="3">
        <f t="shared" si="22"/>
        <v>31.80947499450831</v>
      </c>
      <c r="M90" s="3">
        <f t="shared" si="23"/>
        <v>1.8714751675797292</v>
      </c>
      <c r="N90" s="2">
        <f t="shared" si="24"/>
        <v>5.8833890465115397E-2</v>
      </c>
      <c r="P90" s="3">
        <f t="shared" si="18"/>
        <v>17159939.380537454</v>
      </c>
      <c r="Q90" s="3">
        <f t="shared" si="19"/>
        <v>1009585.9939025607</v>
      </c>
      <c r="R90" s="2">
        <f t="shared" si="20"/>
        <v>5.883389046511539E-2</v>
      </c>
    </row>
    <row r="91" spans="4:18" x14ac:dyDescent="0.25">
      <c r="D91">
        <f>+[1]tab!A86</f>
        <v>2015</v>
      </c>
      <c r="E91">
        <f>+[1]tab!B86</f>
        <v>70</v>
      </c>
      <c r="F91">
        <f>+[1]tab!C86</f>
        <v>0.23</v>
      </c>
      <c r="G91">
        <f>+[1]tab!D86</f>
        <v>82177</v>
      </c>
      <c r="H91">
        <f>+[1]tab!E86</f>
        <v>3497313.4</v>
      </c>
      <c r="I91">
        <f>+[1]tab!F86</f>
        <v>310394.40000000002</v>
      </c>
      <c r="J91">
        <f t="shared" si="25"/>
        <v>539460</v>
      </c>
      <c r="L91" s="3">
        <f t="shared" si="22"/>
        <v>42.558299767574866</v>
      </c>
      <c r="M91" s="3">
        <f t="shared" si="23"/>
        <v>3.7771444564780903</v>
      </c>
      <c r="N91" s="2">
        <f t="shared" si="24"/>
        <v>8.8752240505526339E-2</v>
      </c>
      <c r="P91" s="3">
        <f t="shared" si="18"/>
        <v>22958500.392615937</v>
      </c>
      <c r="Q91" s="3">
        <f t="shared" si="19"/>
        <v>2037618.3484916706</v>
      </c>
      <c r="R91" s="2">
        <f t="shared" si="20"/>
        <v>8.8752240505526339E-2</v>
      </c>
    </row>
    <row r="92" spans="4:18" x14ac:dyDescent="0.25">
      <c r="D92">
        <f>+[1]tab!A87</f>
        <v>2015</v>
      </c>
      <c r="E92">
        <f>+[1]tab!B87</f>
        <v>90</v>
      </c>
      <c r="F92">
        <f>+[1]tab!C87</f>
        <v>0.30399999999999999</v>
      </c>
      <c r="G92">
        <f>+[1]tab!D87</f>
        <v>59979</v>
      </c>
      <c r="H92">
        <f>+[1]tab!E87</f>
        <v>3338208.5</v>
      </c>
      <c r="I92">
        <f>+[1]tab!F87</f>
        <v>438696.8</v>
      </c>
      <c r="J92">
        <f t="shared" si="25"/>
        <v>539460</v>
      </c>
      <c r="L92" s="3">
        <f t="shared" si="22"/>
        <v>55.656288034145284</v>
      </c>
      <c r="M92" s="3">
        <f t="shared" si="23"/>
        <v>7.3141732939862285</v>
      </c>
      <c r="N92" s="2">
        <f t="shared" si="24"/>
        <v>0.13141683630606057</v>
      </c>
      <c r="P92" s="3">
        <f t="shared" si="18"/>
        <v>30024341.142900016</v>
      </c>
      <c r="Q92" s="3">
        <f t="shared" si="19"/>
        <v>3945703.9251738107</v>
      </c>
      <c r="R92" s="2">
        <f t="shared" si="20"/>
        <v>0.13141683630606057</v>
      </c>
    </row>
    <row r="93" spans="4:18" x14ac:dyDescent="0.25">
      <c r="D93">
        <f>+[1]tab!A88</f>
        <v>2015</v>
      </c>
      <c r="E93">
        <f>+[1]tab!B88</f>
        <v>120</v>
      </c>
      <c r="F93">
        <f>+[1]tab!C88</f>
        <v>0.35499999999999998</v>
      </c>
      <c r="G93">
        <f>+[1]tab!D88</f>
        <v>29026</v>
      </c>
      <c r="H93">
        <f>+[1]tab!E88</f>
        <v>2085191.1</v>
      </c>
      <c r="I93">
        <f>+[1]tab!F88</f>
        <v>365576.8</v>
      </c>
      <c r="J93">
        <f t="shared" si="25"/>
        <v>539460</v>
      </c>
      <c r="L93" s="3">
        <f t="shared" si="22"/>
        <v>71.83873423826914</v>
      </c>
      <c r="M93" s="3">
        <f t="shared" si="23"/>
        <v>12.594804657892924</v>
      </c>
      <c r="N93" s="2">
        <f t="shared" si="24"/>
        <v>0.17532052577818885</v>
      </c>
      <c r="P93" s="3">
        <f t="shared" si="18"/>
        <v>38754123.572176673</v>
      </c>
      <c r="Q93" s="3">
        <f t="shared" si="19"/>
        <v>6794393.3207469163</v>
      </c>
      <c r="R93" s="2">
        <f t="shared" si="20"/>
        <v>0.17532052577818885</v>
      </c>
    </row>
    <row r="94" spans="4:18" x14ac:dyDescent="0.25">
      <c r="D94">
        <f>+[1]tab!A89</f>
        <v>2015</v>
      </c>
      <c r="E94">
        <f>+[1]tab!B89</f>
        <v>150</v>
      </c>
      <c r="F94">
        <f>+[1]tab!C89</f>
        <v>0.4</v>
      </c>
      <c r="G94">
        <f>+[1]tab!D89</f>
        <v>38149</v>
      </c>
      <c r="H94">
        <f>+[1]tab!E89</f>
        <v>5428439.7000000002</v>
      </c>
      <c r="I94">
        <f>+[1]tab!F89</f>
        <v>1539710.6</v>
      </c>
      <c r="J94">
        <f t="shared" si="25"/>
        <v>539460</v>
      </c>
      <c r="L94" s="3">
        <f t="shared" si="22"/>
        <v>142.29572727987627</v>
      </c>
      <c r="M94" s="3">
        <f t="shared" si="23"/>
        <v>40.360444572596926</v>
      </c>
      <c r="N94" s="2">
        <f t="shared" si="24"/>
        <v>0.28363778269472167</v>
      </c>
      <c r="P94" s="3">
        <f t="shared" si="18"/>
        <v>76762853.038402051</v>
      </c>
      <c r="Q94" s="3">
        <f t="shared" si="19"/>
        <v>21772845.429133136</v>
      </c>
      <c r="R94" s="2">
        <f t="shared" si="20"/>
        <v>0.28363778269472167</v>
      </c>
    </row>
    <row r="95" spans="4:18" s="4" customFormat="1" x14ac:dyDescent="0.25">
      <c r="D95">
        <f>+[1]tab!A90</f>
        <v>2016</v>
      </c>
      <c r="E95">
        <f>+[1]tab!B90</f>
        <v>0</v>
      </c>
      <c r="F95">
        <f>+[1]tab!C90</f>
        <v>0</v>
      </c>
      <c r="G95">
        <f>+[1]tab!D90</f>
        <v>1516418</v>
      </c>
      <c r="H95">
        <f>+[1]tab!E90</f>
        <v>4689277.0999999996</v>
      </c>
      <c r="I95">
        <f>+[1]tab!F90</f>
        <v>0</v>
      </c>
      <c r="J95" s="4">
        <f t="shared" ref="J95:J102" si="26">+$W$18</f>
        <v>554196</v>
      </c>
      <c r="L95" s="5">
        <f t="shared" si="22"/>
        <v>3.0923380624603505</v>
      </c>
      <c r="M95" s="5">
        <f t="shared" si="23"/>
        <v>0</v>
      </c>
      <c r="N95" s="6">
        <f t="shared" si="24"/>
        <v>0</v>
      </c>
      <c r="P95" s="5">
        <f t="shared" si="18"/>
        <v>1713761.3848632765</v>
      </c>
      <c r="Q95" s="5">
        <f t="shared" si="19"/>
        <v>0</v>
      </c>
      <c r="R95" s="6">
        <f t="shared" si="20"/>
        <v>0</v>
      </c>
    </row>
    <row r="96" spans="4:18" x14ac:dyDescent="0.25">
      <c r="D96">
        <f>+[1]tab!A91</f>
        <v>2016</v>
      </c>
      <c r="E96">
        <f>+[1]tab!B91</f>
        <v>13.5</v>
      </c>
      <c r="F96">
        <f>+[1]tab!C91</f>
        <v>0.04</v>
      </c>
      <c r="G96">
        <f>+[1]tab!D91</f>
        <v>969059</v>
      </c>
      <c r="H96">
        <f>+[1]tab!E91</f>
        <v>10724815.4</v>
      </c>
      <c r="I96">
        <f>+[1]tab!F91</f>
        <v>138928.5</v>
      </c>
      <c r="J96">
        <f t="shared" si="26"/>
        <v>554196</v>
      </c>
      <c r="L96" s="3">
        <f t="shared" si="22"/>
        <v>11.067247092282308</v>
      </c>
      <c r="M96" s="3">
        <f t="shared" si="23"/>
        <v>0.14336433591762732</v>
      </c>
      <c r="N96" s="2">
        <f t="shared" si="24"/>
        <v>1.295392925830686E-2</v>
      </c>
      <c r="P96" s="3">
        <f t="shared" si="18"/>
        <v>6133424.0695544863</v>
      </c>
      <c r="Q96" s="3">
        <f t="shared" si="19"/>
        <v>79451.941508205389</v>
      </c>
      <c r="R96" s="2">
        <f t="shared" si="20"/>
        <v>1.295392925830686E-2</v>
      </c>
    </row>
    <row r="97" spans="4:18" x14ac:dyDescent="0.25">
      <c r="D97">
        <f>+[1]tab!A92</f>
        <v>2016</v>
      </c>
      <c r="E97">
        <f>+[1]tab!B92</f>
        <v>30</v>
      </c>
      <c r="F97">
        <f>+[1]tab!C92</f>
        <v>0.08</v>
      </c>
      <c r="G97">
        <f>+[1]tab!D92</f>
        <v>352980</v>
      </c>
      <c r="H97">
        <f>+[1]tab!E92</f>
        <v>7485186.5999999996</v>
      </c>
      <c r="I97">
        <f>+[1]tab!F92</f>
        <v>258359.1</v>
      </c>
      <c r="J97">
        <f t="shared" si="26"/>
        <v>554196</v>
      </c>
      <c r="L97" s="3">
        <f t="shared" si="22"/>
        <v>21.20569607343192</v>
      </c>
      <c r="M97" s="3">
        <f t="shared" si="23"/>
        <v>0.73193693693693695</v>
      </c>
      <c r="N97" s="2">
        <f t="shared" si="24"/>
        <v>3.4516053347287294E-2</v>
      </c>
      <c r="P97" s="3">
        <f t="shared" si="18"/>
        <v>11752111.941111676</v>
      </c>
      <c r="Q97" s="3">
        <f t="shared" si="19"/>
        <v>405636.52270270273</v>
      </c>
      <c r="R97" s="2">
        <f t="shared" si="20"/>
        <v>3.4516053347287301E-2</v>
      </c>
    </row>
    <row r="98" spans="4:18" x14ac:dyDescent="0.25">
      <c r="D98">
        <f>+[1]tab!A93</f>
        <v>2016</v>
      </c>
      <c r="E98">
        <f>+[1]tab!B93</f>
        <v>50</v>
      </c>
      <c r="F98">
        <f>+[1]tab!C93</f>
        <v>0.13500000000000001</v>
      </c>
      <c r="G98">
        <f>+[1]tab!D93</f>
        <v>151884</v>
      </c>
      <c r="H98">
        <f>+[1]tab!E93</f>
        <v>4961831</v>
      </c>
      <c r="I98">
        <f>+[1]tab!F93</f>
        <v>291817.3</v>
      </c>
      <c r="J98">
        <f t="shared" si="26"/>
        <v>554196</v>
      </c>
      <c r="L98" s="3">
        <f t="shared" si="22"/>
        <v>32.668556266624527</v>
      </c>
      <c r="M98" s="3">
        <f t="shared" si="23"/>
        <v>1.9213169260751626</v>
      </c>
      <c r="N98" s="2">
        <f t="shared" si="24"/>
        <v>5.8812422269117988E-2</v>
      </c>
      <c r="P98" s="3">
        <f t="shared" si="18"/>
        <v>18104783.208738245</v>
      </c>
      <c r="Q98" s="3">
        <f t="shared" si="19"/>
        <v>1064786.1551631507</v>
      </c>
      <c r="R98" s="2">
        <f t="shared" si="20"/>
        <v>5.8812422269117995E-2</v>
      </c>
    </row>
    <row r="99" spans="4:18" x14ac:dyDescent="0.25">
      <c r="D99">
        <f>+[1]tab!A94</f>
        <v>2016</v>
      </c>
      <c r="E99">
        <f>+[1]tab!B94</f>
        <v>70</v>
      </c>
      <c r="F99">
        <f>+[1]tab!C94</f>
        <v>0.23</v>
      </c>
      <c r="G99">
        <f>+[1]tab!D94</f>
        <v>82939</v>
      </c>
      <c r="H99">
        <f>+[1]tab!E94</f>
        <v>3632569</v>
      </c>
      <c r="I99">
        <f>+[1]tab!F94</f>
        <v>323309.09999999998</v>
      </c>
      <c r="J99">
        <f t="shared" si="26"/>
        <v>554196</v>
      </c>
      <c r="L99" s="3">
        <f t="shared" si="22"/>
        <v>43.798080517006476</v>
      </c>
      <c r="M99" s="3">
        <f t="shared" si="23"/>
        <v>3.8981552707411469</v>
      </c>
      <c r="N99" s="2">
        <f t="shared" si="24"/>
        <v>8.9002879229548013E-2</v>
      </c>
      <c r="P99" s="3">
        <f t="shared" si="18"/>
        <v>24272721.030202921</v>
      </c>
      <c r="Q99" s="3">
        <f t="shared" si="19"/>
        <v>2160342.0584236607</v>
      </c>
      <c r="R99" s="2">
        <f t="shared" si="20"/>
        <v>8.9002879229548013E-2</v>
      </c>
    </row>
    <row r="100" spans="4:18" x14ac:dyDescent="0.25">
      <c r="D100">
        <f>+[1]tab!A95</f>
        <v>2016</v>
      </c>
      <c r="E100">
        <f>+[1]tab!B95</f>
        <v>90</v>
      </c>
      <c r="F100">
        <f>+[1]tab!C95</f>
        <v>0.30399999999999999</v>
      </c>
      <c r="G100">
        <f>+[1]tab!D95</f>
        <v>62366</v>
      </c>
      <c r="H100">
        <f>+[1]tab!E95</f>
        <v>3566390</v>
      </c>
      <c r="I100">
        <f>+[1]tab!F95</f>
        <v>468820.1</v>
      </c>
      <c r="J100">
        <f t="shared" si="26"/>
        <v>554196</v>
      </c>
      <c r="L100" s="3">
        <f t="shared" si="22"/>
        <v>57.184844306192474</v>
      </c>
      <c r="M100" s="3">
        <f t="shared" si="23"/>
        <v>7.5172385594715063</v>
      </c>
      <c r="N100" s="2">
        <f t="shared" si="24"/>
        <v>0.13145508483368334</v>
      </c>
      <c r="P100" s="3">
        <f t="shared" si="18"/>
        <v>31691611.975114644</v>
      </c>
      <c r="Q100" s="3">
        <f t="shared" si="19"/>
        <v>4166023.5407048711</v>
      </c>
      <c r="R100" s="2">
        <f t="shared" si="20"/>
        <v>0.13145508483368337</v>
      </c>
    </row>
    <row r="101" spans="4:18" x14ac:dyDescent="0.25">
      <c r="D101">
        <f>+[1]tab!A96</f>
        <v>2016</v>
      </c>
      <c r="E101">
        <f>+[1]tab!B96</f>
        <v>120</v>
      </c>
      <c r="F101">
        <f>+[1]tab!C96</f>
        <v>0.35499999999999998</v>
      </c>
      <c r="G101">
        <f>+[1]tab!D96</f>
        <v>29566</v>
      </c>
      <c r="H101">
        <f>+[1]tab!E96</f>
        <v>2182335</v>
      </c>
      <c r="I101">
        <f>+[1]tab!F96</f>
        <v>382619.4</v>
      </c>
      <c r="J101">
        <f t="shared" si="26"/>
        <v>554196</v>
      </c>
      <c r="L101" s="3">
        <f t="shared" si="22"/>
        <v>73.812318203341675</v>
      </c>
      <c r="M101" s="3">
        <f t="shared" si="23"/>
        <v>12.941195968342015</v>
      </c>
      <c r="N101" s="2">
        <f t="shared" si="24"/>
        <v>0.17532569472606177</v>
      </c>
      <c r="P101" s="3">
        <f t="shared" si="18"/>
        <v>40906491.499019146</v>
      </c>
      <c r="Q101" s="3">
        <f t="shared" si="19"/>
        <v>7171959.0408712709</v>
      </c>
      <c r="R101" s="2">
        <f t="shared" si="20"/>
        <v>0.17532569472606174</v>
      </c>
    </row>
    <row r="102" spans="4:18" x14ac:dyDescent="0.25">
      <c r="D102">
        <f>+[1]tab!A97</f>
        <v>2016</v>
      </c>
      <c r="E102">
        <f>+[1]tab!B97</f>
        <v>150</v>
      </c>
      <c r="F102">
        <f>+[1]tab!C97</f>
        <v>0.4</v>
      </c>
      <c r="G102">
        <f>+[1]tab!D97</f>
        <v>39363</v>
      </c>
      <c r="H102">
        <f>+[1]tab!E97</f>
        <v>5674856</v>
      </c>
      <c r="I102">
        <f>+[1]tab!F97</f>
        <v>1597836</v>
      </c>
      <c r="J102">
        <f t="shared" si="26"/>
        <v>554196</v>
      </c>
      <c r="L102" s="3">
        <f t="shared" si="22"/>
        <v>144.16726367400858</v>
      </c>
      <c r="M102" s="3">
        <f t="shared" si="23"/>
        <v>40.592332901455684</v>
      </c>
      <c r="N102" s="2">
        <f t="shared" si="24"/>
        <v>0.2815641489405194</v>
      </c>
      <c r="P102" s="3">
        <f t="shared" si="18"/>
        <v>79896920.859080866</v>
      </c>
      <c r="Q102" s="3">
        <f t="shared" si="19"/>
        <v>22496108.524655133</v>
      </c>
      <c r="R102" s="2">
        <f t="shared" si="20"/>
        <v>0.28156414894051934</v>
      </c>
    </row>
    <row r="103" spans="4:18" s="4" customFormat="1" x14ac:dyDescent="0.25">
      <c r="D103">
        <f>+[1]tab!A98</f>
        <v>2017</v>
      </c>
      <c r="E103">
        <f>+[1]tab!B98</f>
        <v>0</v>
      </c>
      <c r="F103">
        <f>+[1]tab!C98</f>
        <v>0</v>
      </c>
      <c r="G103">
        <f>+[1]tab!D98</f>
        <v>1758148</v>
      </c>
      <c r="H103">
        <f>+[1]tab!E98</f>
        <v>5439018.5</v>
      </c>
      <c r="I103">
        <f>+[1]tab!F98</f>
        <v>2.2999999999999998</v>
      </c>
      <c r="J103" s="4">
        <f t="shared" ref="J103:J109" si="27">+$W$19</f>
        <v>563664</v>
      </c>
      <c r="L103" s="5">
        <f t="shared" si="22"/>
        <v>3.0936067384543282</v>
      </c>
      <c r="M103" s="5">
        <f t="shared" si="23"/>
        <v>1.3081947594855495E-6</v>
      </c>
      <c r="N103" s="6">
        <f t="shared" si="24"/>
        <v>4.2287041310854149E-7</v>
      </c>
      <c r="P103" s="5">
        <f t="shared" si="18"/>
        <v>1743754.7486241204</v>
      </c>
      <c r="Q103" s="5">
        <f t="shared" si="19"/>
        <v>0.73738229091066276</v>
      </c>
      <c r="R103" s="6">
        <f t="shared" si="20"/>
        <v>4.2287041310854154E-7</v>
      </c>
    </row>
    <row r="104" spans="4:18" x14ac:dyDescent="0.25">
      <c r="D104">
        <f>+[1]tab!A99</f>
        <v>2017</v>
      </c>
      <c r="E104">
        <f>+[1]tab!B99</f>
        <v>13.5</v>
      </c>
      <c r="F104">
        <f>+[1]tab!C99</f>
        <v>0.04</v>
      </c>
      <c r="G104">
        <f>+[1]tab!D99</f>
        <v>984096</v>
      </c>
      <c r="H104">
        <f>+[1]tab!E99</f>
        <v>11112148</v>
      </c>
      <c r="I104">
        <f>+[1]tab!F99</f>
        <v>144895.79999999999</v>
      </c>
      <c r="J104">
        <f t="shared" si="27"/>
        <v>563664</v>
      </c>
      <c r="L104" s="3">
        <f t="shared" si="22"/>
        <v>11.291731700972264</v>
      </c>
      <c r="M104" s="3">
        <f t="shared" si="23"/>
        <v>0.14723746463759632</v>
      </c>
      <c r="N104" s="2">
        <f t="shared" si="24"/>
        <v>1.3039405162710216E-2</v>
      </c>
      <c r="P104" s="3">
        <f t="shared" si="18"/>
        <v>6364742.6574968304</v>
      </c>
      <c r="Q104" s="3">
        <f t="shared" si="19"/>
        <v>82992.458267486087</v>
      </c>
      <c r="R104" s="2">
        <f t="shared" si="20"/>
        <v>1.3039405162710212E-2</v>
      </c>
    </row>
    <row r="105" spans="4:18" x14ac:dyDescent="0.25">
      <c r="D105">
        <f>+[1]tab!A100</f>
        <v>2017</v>
      </c>
      <c r="E105">
        <f>+[1]tab!B100</f>
        <v>30</v>
      </c>
      <c r="F105">
        <f>+[1]tab!C100</f>
        <v>0.08</v>
      </c>
      <c r="G105">
        <f>+[1]tab!D100</f>
        <v>363411</v>
      </c>
      <c r="H105">
        <f>+[1]tab!E100</f>
        <v>7831417.4000000004</v>
      </c>
      <c r="I105">
        <f>+[1]tab!F100</f>
        <v>270016.7</v>
      </c>
      <c r="J105">
        <f t="shared" si="27"/>
        <v>563664</v>
      </c>
      <c r="L105" s="3">
        <f t="shared" si="22"/>
        <v>21.549753309613635</v>
      </c>
      <c r="M105" s="3">
        <f t="shared" si="23"/>
        <v>0.74300640321839462</v>
      </c>
      <c r="N105" s="2">
        <f t="shared" si="24"/>
        <v>3.4478650058928029E-2</v>
      </c>
      <c r="P105" s="3">
        <f t="shared" si="18"/>
        <v>12146820.14951006</v>
      </c>
      <c r="Q105" s="3">
        <f t="shared" si="19"/>
        <v>418805.96126369317</v>
      </c>
      <c r="R105" s="2">
        <f t="shared" si="20"/>
        <v>3.4478650058928029E-2</v>
      </c>
    </row>
    <row r="106" spans="4:18" x14ac:dyDescent="0.25">
      <c r="D106">
        <f>+[1]tab!A101</f>
        <v>2017</v>
      </c>
      <c r="E106">
        <f>+[1]tab!B101</f>
        <v>50</v>
      </c>
      <c r="F106">
        <f>+[1]tab!C101</f>
        <v>0.13500000000000001</v>
      </c>
      <c r="G106">
        <f>+[1]tab!D101</f>
        <v>153579</v>
      </c>
      <c r="H106">
        <f>+[1]tab!E101</f>
        <v>5092325.2</v>
      </c>
      <c r="I106">
        <f>+[1]tab!F101</f>
        <v>298685.3</v>
      </c>
      <c r="J106">
        <f t="shared" si="27"/>
        <v>563664</v>
      </c>
      <c r="L106" s="3">
        <f t="shared" si="22"/>
        <v>33.157692132387893</v>
      </c>
      <c r="M106" s="3">
        <f t="shared" si="23"/>
        <v>1.9448316501605036</v>
      </c>
      <c r="N106" s="2">
        <f t="shared" si="24"/>
        <v>5.8654011334547132E-2</v>
      </c>
      <c r="P106" s="3">
        <f t="shared" si="18"/>
        <v>18689797.37811029</v>
      </c>
      <c r="Q106" s="3">
        <f t="shared" si="19"/>
        <v>1096231.5872560702</v>
      </c>
      <c r="R106" s="2">
        <f t="shared" si="20"/>
        <v>5.8654011334547132E-2</v>
      </c>
    </row>
    <row r="107" spans="4:18" x14ac:dyDescent="0.25">
      <c r="D107">
        <f>+[1]tab!A102</f>
        <v>2017</v>
      </c>
      <c r="E107">
        <f>+[1]tab!B102</f>
        <v>70</v>
      </c>
      <c r="F107">
        <f>+[1]tab!C102</f>
        <v>0.23</v>
      </c>
      <c r="G107">
        <f>+[1]tab!D102</f>
        <v>80247</v>
      </c>
      <c r="H107">
        <f>+[1]tab!E102</f>
        <v>3572530.5</v>
      </c>
      <c r="I107">
        <f>+[1]tab!F102</f>
        <v>317706.8</v>
      </c>
      <c r="J107">
        <f t="shared" si="27"/>
        <v>563664</v>
      </c>
      <c r="L107" s="3">
        <f t="shared" si="22"/>
        <v>44.51917828703877</v>
      </c>
      <c r="M107" s="3">
        <f t="shared" si="23"/>
        <v>3.9591112440340446</v>
      </c>
      <c r="N107" s="2">
        <f t="shared" si="24"/>
        <v>8.8930465394207264E-2</v>
      </c>
      <c r="P107" s="3">
        <f t="shared" si="18"/>
        <v>25093858.109985422</v>
      </c>
      <c r="Q107" s="3">
        <f t="shared" si="19"/>
        <v>2231608.4802572057</v>
      </c>
      <c r="R107" s="2">
        <f t="shared" si="20"/>
        <v>8.893046539420725E-2</v>
      </c>
    </row>
    <row r="108" spans="4:18" x14ac:dyDescent="0.25">
      <c r="D108">
        <f>+[1]tab!A103</f>
        <v>2017</v>
      </c>
      <c r="E108">
        <f>+[1]tab!B103</f>
        <v>90</v>
      </c>
      <c r="F108">
        <f>+[1]tab!C103</f>
        <v>0.30399999999999999</v>
      </c>
      <c r="G108">
        <f>+[1]tab!D103</f>
        <v>60621</v>
      </c>
      <c r="H108">
        <f>+[1]tab!E103</f>
        <v>3527916.5</v>
      </c>
      <c r="I108">
        <f>+[1]tab!F103</f>
        <v>464098.2</v>
      </c>
      <c r="J108">
        <f t="shared" si="27"/>
        <v>563664</v>
      </c>
      <c r="L108" s="3">
        <f t="shared" si="22"/>
        <v>58.196276867752097</v>
      </c>
      <c r="M108" s="3">
        <f t="shared" si="23"/>
        <v>7.6557331617756228</v>
      </c>
      <c r="N108" s="2">
        <f t="shared" si="24"/>
        <v>0.13155022234794955</v>
      </c>
      <c r="P108" s="3">
        <f t="shared" si="18"/>
        <v>32803146.204384618</v>
      </c>
      <c r="Q108" s="3">
        <f t="shared" si="19"/>
        <v>4315261.1768990951</v>
      </c>
      <c r="R108" s="2">
        <f t="shared" si="20"/>
        <v>0.13155022234794958</v>
      </c>
    </row>
    <row r="109" spans="4:18" x14ac:dyDescent="0.25">
      <c r="D109">
        <f>+[1]tab!A104</f>
        <v>2017</v>
      </c>
      <c r="E109">
        <f>+[1]tab!B104</f>
        <v>120</v>
      </c>
      <c r="F109">
        <f>+[1]tab!C104</f>
        <v>0.35</v>
      </c>
      <c r="G109">
        <f>+[1]tab!D104</f>
        <v>75290</v>
      </c>
      <c r="H109">
        <f>+[1]tab!E104</f>
        <v>9594476.8000000007</v>
      </c>
      <c r="I109">
        <f>+[1]tab!F104</f>
        <v>2367375.4</v>
      </c>
      <c r="J109">
        <f t="shared" si="27"/>
        <v>563664</v>
      </c>
      <c r="L109" s="3">
        <f t="shared" si="22"/>
        <v>127.43361402576704</v>
      </c>
      <c r="M109" s="3">
        <f t="shared" si="23"/>
        <v>31.443424093505111</v>
      </c>
      <c r="N109" s="2">
        <f t="shared" si="24"/>
        <v>0.24674356396380048</v>
      </c>
      <c r="P109" s="3">
        <f t="shared" si="18"/>
        <v>71829740.616219953</v>
      </c>
      <c r="Q109" s="3">
        <f t="shared" si="19"/>
        <v>17723526.198241465</v>
      </c>
      <c r="R109" s="2">
        <f t="shared" si="20"/>
        <v>0.24674356396380048</v>
      </c>
    </row>
    <row r="110" spans="4:18" x14ac:dyDescent="0.25">
      <c r="D110">
        <f>+[1]tab!A105</f>
        <v>2018</v>
      </c>
      <c r="E110">
        <f>+[1]tab!B105</f>
        <v>0</v>
      </c>
      <c r="F110">
        <f>+[1]tab!C105</f>
        <v>0</v>
      </c>
      <c r="G110">
        <f>+[1]tab!D105</f>
        <v>1720518</v>
      </c>
      <c r="H110">
        <f>+[1]tab!E105</f>
        <v>5544043.9000000004</v>
      </c>
      <c r="I110">
        <f>+[1]tab!F105</f>
        <v>0.1</v>
      </c>
      <c r="J110">
        <f>+$W$20</f>
        <v>580236</v>
      </c>
      <c r="L110" s="3">
        <f t="shared" ref="L110:L139" si="28">+H110/G110</f>
        <v>3.2223108970670462</v>
      </c>
      <c r="M110" s="3">
        <f t="shared" ref="M110:M139" si="29">+I110/G110</f>
        <v>5.8122030690757088E-8</v>
      </c>
      <c r="N110" s="2">
        <f t="shared" ref="N110:N139" si="30">+I110/H110</f>
        <v>1.8037375209096017E-8</v>
      </c>
      <c r="P110" s="3">
        <f t="shared" ref="P110:P139" si="31">+L110*J110</f>
        <v>1869700.7856705945</v>
      </c>
      <c r="Q110" s="3">
        <f t="shared" ref="Q110:Q139" si="32">+M110*J110</f>
        <v>3.3724494599882131E-2</v>
      </c>
      <c r="R110" s="2">
        <f t="shared" ref="R110:R139" si="33">+Q110/P110</f>
        <v>1.8037375209096017E-8</v>
      </c>
    </row>
    <row r="111" spans="4:18" x14ac:dyDescent="0.25">
      <c r="D111">
        <f>+[1]tab!A106</f>
        <v>2018</v>
      </c>
      <c r="E111">
        <f>+[1]tab!B106</f>
        <v>13.5</v>
      </c>
      <c r="F111">
        <f>+[1]tab!C106</f>
        <v>0.04</v>
      </c>
      <c r="G111">
        <f>+[1]tab!D106</f>
        <v>1059567</v>
      </c>
      <c r="H111">
        <f>+[1]tab!E106</f>
        <v>12347045.6</v>
      </c>
      <c r="I111">
        <f>+[1]tab!F106</f>
        <v>161838.1</v>
      </c>
      <c r="J111">
        <f t="shared" ref="J111:J116" si="34">+$W$20</f>
        <v>580236</v>
      </c>
      <c r="L111" s="3">
        <f t="shared" si="28"/>
        <v>11.652916332803871</v>
      </c>
      <c r="M111" s="3">
        <f t="shared" si="29"/>
        <v>0.15273984561618095</v>
      </c>
      <c r="N111" s="2">
        <f t="shared" si="30"/>
        <v>1.3107435190811964E-2</v>
      </c>
      <c r="P111" s="3">
        <f t="shared" si="31"/>
        <v>6761441.561280787</v>
      </c>
      <c r="Q111" s="3">
        <f t="shared" si="32"/>
        <v>88625.157060950369</v>
      </c>
      <c r="R111" s="2">
        <f t="shared" si="33"/>
        <v>1.3107435190811962E-2</v>
      </c>
    </row>
    <row r="112" spans="4:18" x14ac:dyDescent="0.25">
      <c r="D112">
        <f>+[1]tab!A107</f>
        <v>2018</v>
      </c>
      <c r="E112">
        <f>+[1]tab!B107</f>
        <v>30</v>
      </c>
      <c r="F112">
        <f>+[1]tab!C107</f>
        <v>0.08</v>
      </c>
      <c r="G112">
        <f>+[1]tab!D107</f>
        <v>392683</v>
      </c>
      <c r="H112">
        <f>+[1]tab!E107</f>
        <v>8698888.8000000007</v>
      </c>
      <c r="I112">
        <f>+[1]tab!F107</f>
        <v>299374.7</v>
      </c>
      <c r="J112">
        <f t="shared" si="34"/>
        <v>580236</v>
      </c>
      <c r="L112" s="3">
        <f t="shared" si="28"/>
        <v>22.152445611345541</v>
      </c>
      <c r="M112" s="3">
        <f t="shared" si="29"/>
        <v>0.76238263433863962</v>
      </c>
      <c r="N112" s="2">
        <f t="shared" si="30"/>
        <v>3.4415280719532822E-2</v>
      </c>
      <c r="P112" s="3">
        <f t="shared" si="31"/>
        <v>12853646.431744691</v>
      </c>
      <c r="Q112" s="3">
        <f t="shared" si="32"/>
        <v>442361.85021811491</v>
      </c>
      <c r="R112" s="2">
        <f t="shared" si="33"/>
        <v>3.4415280719532822E-2</v>
      </c>
    </row>
    <row r="113" spans="4:18" x14ac:dyDescent="0.25">
      <c r="D113">
        <f>+[1]tab!A108</f>
        <v>2018</v>
      </c>
      <c r="E113">
        <f>+[1]tab!B108</f>
        <v>50</v>
      </c>
      <c r="F113">
        <f>+[1]tab!C108</f>
        <v>0.13500000000000001</v>
      </c>
      <c r="G113">
        <f>+[1]tab!D108</f>
        <v>162128</v>
      </c>
      <c r="H113">
        <f>+[1]tab!E108</f>
        <v>5534952.2000000002</v>
      </c>
      <c r="I113">
        <f>+[1]tab!F108</f>
        <v>324741</v>
      </c>
      <c r="J113">
        <f t="shared" si="34"/>
        <v>580236</v>
      </c>
      <c r="L113" s="3">
        <f t="shared" si="28"/>
        <v>34.139397266357449</v>
      </c>
      <c r="M113" s="3">
        <f t="shared" si="29"/>
        <v>2.0029914635349848</v>
      </c>
      <c r="N113" s="2">
        <f t="shared" si="30"/>
        <v>5.8670967384325375E-2</v>
      </c>
      <c r="P113" s="3">
        <f t="shared" si="31"/>
        <v>19808907.31224218</v>
      </c>
      <c r="Q113" s="3">
        <f t="shared" si="32"/>
        <v>1162207.7548356855</v>
      </c>
      <c r="R113" s="2">
        <f t="shared" si="33"/>
        <v>5.8670967384325381E-2</v>
      </c>
    </row>
    <row r="114" spans="4:18" x14ac:dyDescent="0.25">
      <c r="D114">
        <f>+[1]tab!A109</f>
        <v>2018</v>
      </c>
      <c r="E114">
        <f>+[1]tab!B109</f>
        <v>70</v>
      </c>
      <c r="F114">
        <f>+[1]tab!C109</f>
        <v>0.23</v>
      </c>
      <c r="G114">
        <f>+[1]tab!D109</f>
        <v>85126</v>
      </c>
      <c r="H114">
        <f>+[1]tab!E109</f>
        <v>3899350.4</v>
      </c>
      <c r="I114">
        <f>+[1]tab!F109</f>
        <v>346499.7</v>
      </c>
      <c r="J114">
        <f t="shared" si="34"/>
        <v>580236</v>
      </c>
      <c r="L114" s="3">
        <f t="shared" si="28"/>
        <v>45.806808730587598</v>
      </c>
      <c r="M114" s="3">
        <f t="shared" si="29"/>
        <v>4.070433240138148</v>
      </c>
      <c r="N114" s="2">
        <f t="shared" si="30"/>
        <v>8.8860877955466641E-2</v>
      </c>
      <c r="P114" s="3">
        <f t="shared" si="31"/>
        <v>26578759.470601227</v>
      </c>
      <c r="Q114" s="3">
        <f t="shared" si="32"/>
        <v>2361811.9015247985</v>
      </c>
      <c r="R114" s="2">
        <f t="shared" si="33"/>
        <v>8.8860877955466627E-2</v>
      </c>
    </row>
    <row r="115" spans="4:18" x14ac:dyDescent="0.25">
      <c r="D115">
        <f>+[1]tab!A110</f>
        <v>2018</v>
      </c>
      <c r="E115">
        <f>+[1]tab!B110</f>
        <v>90</v>
      </c>
      <c r="F115">
        <f>+[1]tab!C110</f>
        <v>0.30399999999999999</v>
      </c>
      <c r="G115">
        <f>+[1]tab!D110</f>
        <v>66488</v>
      </c>
      <c r="H115">
        <f>+[1]tab!E110</f>
        <v>3980552.4</v>
      </c>
      <c r="I115">
        <f>+[1]tab!F110</f>
        <v>523205.1</v>
      </c>
      <c r="J115">
        <f t="shared" si="34"/>
        <v>580236</v>
      </c>
      <c r="L115" s="3">
        <f t="shared" si="28"/>
        <v>59.868734207676574</v>
      </c>
      <c r="M115" s="3">
        <f t="shared" si="29"/>
        <v>7.8691658645169049</v>
      </c>
      <c r="N115" s="2">
        <f t="shared" si="30"/>
        <v>0.13144032471473055</v>
      </c>
      <c r="P115" s="3">
        <f t="shared" si="31"/>
        <v>34737994.861725427</v>
      </c>
      <c r="Q115" s="3">
        <f t="shared" si="32"/>
        <v>4565973.3245638311</v>
      </c>
      <c r="R115" s="2">
        <f t="shared" si="33"/>
        <v>0.13144032471473055</v>
      </c>
    </row>
    <row r="116" spans="4:18" x14ac:dyDescent="0.25">
      <c r="D116">
        <f>+[1]tab!A111</f>
        <v>2018</v>
      </c>
      <c r="E116">
        <f>+[1]tab!B111</f>
        <v>120</v>
      </c>
      <c r="F116">
        <f>+[1]tab!C111</f>
        <v>0.35</v>
      </c>
      <c r="G116">
        <f>+[1]tab!D111</f>
        <v>81248</v>
      </c>
      <c r="H116">
        <f>+[1]tab!E111</f>
        <v>10747057.300000001</v>
      </c>
      <c r="I116">
        <f>+[1]tab!F111</f>
        <v>2661157.2999999998</v>
      </c>
      <c r="J116">
        <f t="shared" si="34"/>
        <v>580236</v>
      </c>
      <c r="L116" s="3">
        <f t="shared" si="28"/>
        <v>132.27473045490351</v>
      </c>
      <c r="M116" s="3">
        <f t="shared" si="29"/>
        <v>32.753511471051596</v>
      </c>
      <c r="N116" s="2">
        <f t="shared" si="30"/>
        <v>0.24761729892330617</v>
      </c>
      <c r="P116" s="3">
        <f t="shared" si="31"/>
        <v>76750560.500231385</v>
      </c>
      <c r="Q116" s="3">
        <f t="shared" si="32"/>
        <v>19004766.481917094</v>
      </c>
      <c r="R116" s="2">
        <f t="shared" si="33"/>
        <v>0.24761729892330622</v>
      </c>
    </row>
    <row r="117" spans="4:18" x14ac:dyDescent="0.25">
      <c r="D117">
        <f>+[1]tab!A112</f>
        <v>2019</v>
      </c>
      <c r="E117">
        <f>+[1]tab!B112</f>
        <v>0</v>
      </c>
      <c r="F117">
        <f>+[1]tab!C112</f>
        <v>0</v>
      </c>
      <c r="G117">
        <f>+[1]tab!D112</f>
        <v>1768962</v>
      </c>
      <c r="H117">
        <f>+[1]tab!E112</f>
        <v>5853667.7999999998</v>
      </c>
      <c r="I117">
        <f>+[1]tab!F112</f>
        <v>0.3</v>
      </c>
      <c r="J117">
        <f>+$W$21</f>
        <v>595476</v>
      </c>
      <c r="L117" s="3">
        <f t="shared" si="28"/>
        <v>3.3090975385565091</v>
      </c>
      <c r="M117" s="3">
        <f t="shared" si="29"/>
        <v>1.6959098047329449E-7</v>
      </c>
      <c r="N117" s="2">
        <f t="shared" si="30"/>
        <v>5.1249918897003344E-8</v>
      </c>
      <c r="P117" s="3">
        <f t="shared" si="31"/>
        <v>1970488.1658694758</v>
      </c>
      <c r="Q117" s="3">
        <f t="shared" si="32"/>
        <v>0.10098735868831551</v>
      </c>
      <c r="R117" s="2">
        <f t="shared" si="33"/>
        <v>5.1249918897003344E-8</v>
      </c>
    </row>
    <row r="118" spans="4:18" x14ac:dyDescent="0.25">
      <c r="D118">
        <f>+[1]tab!A113</f>
        <v>2019</v>
      </c>
      <c r="E118">
        <f>+[1]tab!B113</f>
        <v>13.5</v>
      </c>
      <c r="F118">
        <f>+[1]tab!C113</f>
        <v>0.04</v>
      </c>
      <c r="G118">
        <f>+[1]tab!D113</f>
        <v>1112641</v>
      </c>
      <c r="H118">
        <f>+[1]tab!E113</f>
        <v>13312447.6</v>
      </c>
      <c r="I118">
        <f>+[1]tab!F113</f>
        <v>174660.1</v>
      </c>
      <c r="J118">
        <f t="shared" ref="J118:J123" si="35">+$W$21</f>
        <v>595476</v>
      </c>
      <c r="L118" s="3">
        <f t="shared" si="28"/>
        <v>11.964728605183522</v>
      </c>
      <c r="M118" s="3">
        <f t="shared" si="29"/>
        <v>0.15697794706468665</v>
      </c>
      <c r="N118" s="2">
        <f t="shared" si="30"/>
        <v>1.312005915426101E-2</v>
      </c>
      <c r="P118" s="3">
        <f t="shared" si="31"/>
        <v>7124708.7309002625</v>
      </c>
      <c r="Q118" s="3">
        <f t="shared" si="32"/>
        <v>93476.600006291352</v>
      </c>
      <c r="R118" s="2">
        <f t="shared" si="33"/>
        <v>1.3120059154261014E-2</v>
      </c>
    </row>
    <row r="119" spans="4:18" x14ac:dyDescent="0.25">
      <c r="D119">
        <f>+[1]tab!A114</f>
        <v>2019</v>
      </c>
      <c r="E119">
        <f>+[1]tab!B114</f>
        <v>30</v>
      </c>
      <c r="F119">
        <f>+[1]tab!C114</f>
        <v>0.08</v>
      </c>
      <c r="G119">
        <f>+[1]tab!D114</f>
        <v>415370</v>
      </c>
      <c r="H119">
        <f>+[1]tab!E114</f>
        <v>9445648</v>
      </c>
      <c r="I119">
        <f>+[1]tab!F114</f>
        <v>325192.40000000002</v>
      </c>
      <c r="J119">
        <f t="shared" si="35"/>
        <v>595476</v>
      </c>
      <c r="L119" s="3">
        <f t="shared" si="28"/>
        <v>22.740323085441894</v>
      </c>
      <c r="M119" s="3">
        <f t="shared" si="29"/>
        <v>0.78289813900859484</v>
      </c>
      <c r="N119" s="2">
        <f t="shared" si="30"/>
        <v>3.442774916024819E-2</v>
      </c>
      <c r="P119" s="3">
        <f t="shared" si="31"/>
        <v>13541316.629626596</v>
      </c>
      <c r="Q119" s="3">
        <f t="shared" si="32"/>
        <v>466197.052224282</v>
      </c>
      <c r="R119" s="2">
        <f t="shared" si="33"/>
        <v>3.4427749160248197E-2</v>
      </c>
    </row>
    <row r="120" spans="4:18" x14ac:dyDescent="0.25">
      <c r="D120">
        <f>+[1]tab!A115</f>
        <v>2019</v>
      </c>
      <c r="E120">
        <f>+[1]tab!B115</f>
        <v>50</v>
      </c>
      <c r="F120">
        <f>+[1]tab!C115</f>
        <v>0.13500000000000001</v>
      </c>
      <c r="G120">
        <f>+[1]tab!D115</f>
        <v>169009</v>
      </c>
      <c r="H120">
        <f>+[1]tab!E115</f>
        <v>5918762.2999999998</v>
      </c>
      <c r="I120">
        <f>+[1]tab!F115</f>
        <v>347066.5</v>
      </c>
      <c r="J120">
        <f t="shared" si="35"/>
        <v>595476</v>
      </c>
      <c r="L120" s="3">
        <f t="shared" si="28"/>
        <v>35.020397138613916</v>
      </c>
      <c r="M120" s="3">
        <f t="shared" si="29"/>
        <v>2.0535385689519492</v>
      </c>
      <c r="N120" s="2">
        <f t="shared" si="30"/>
        <v>5.8638357549854636E-2</v>
      </c>
      <c r="P120" s="3">
        <f t="shared" si="31"/>
        <v>20853806.00651326</v>
      </c>
      <c r="Q120" s="3">
        <f t="shared" si="32"/>
        <v>1222832.932885231</v>
      </c>
      <c r="R120" s="2">
        <f t="shared" si="33"/>
        <v>5.8638357549854643E-2</v>
      </c>
    </row>
    <row r="121" spans="4:18" x14ac:dyDescent="0.25">
      <c r="D121">
        <f>+[1]tab!A116</f>
        <v>2019</v>
      </c>
      <c r="E121">
        <f>+[1]tab!B116</f>
        <v>70</v>
      </c>
      <c r="F121">
        <f>+[1]tab!C116</f>
        <v>0.23</v>
      </c>
      <c r="G121">
        <f>+[1]tab!D116</f>
        <v>85328</v>
      </c>
      <c r="H121">
        <f>+[1]tab!E116</f>
        <v>4010910.2</v>
      </c>
      <c r="I121">
        <f>+[1]tab!F116</f>
        <v>356367.1</v>
      </c>
      <c r="J121">
        <f t="shared" si="35"/>
        <v>595476</v>
      </c>
      <c r="L121" s="3">
        <f t="shared" si="28"/>
        <v>47.005791768235518</v>
      </c>
      <c r="M121" s="3">
        <f t="shared" si="29"/>
        <v>4.1764379804987808</v>
      </c>
      <c r="N121" s="2">
        <f t="shared" si="30"/>
        <v>8.884943372703781E-2</v>
      </c>
      <c r="P121" s="3">
        <f t="shared" si="31"/>
        <v>27990820.858981814</v>
      </c>
      <c r="Q121" s="3">
        <f t="shared" si="32"/>
        <v>2486968.5828754921</v>
      </c>
      <c r="R121" s="2">
        <f t="shared" si="33"/>
        <v>8.8849433727037797E-2</v>
      </c>
    </row>
    <row r="122" spans="4:18" x14ac:dyDescent="0.25">
      <c r="D122">
        <f>+[1]tab!A117</f>
        <v>2019</v>
      </c>
      <c r="E122">
        <f>+[1]tab!B117</f>
        <v>90</v>
      </c>
      <c r="F122">
        <f>+[1]tab!C117</f>
        <v>0.30399999999999999</v>
      </c>
      <c r="G122">
        <f>+[1]tab!D117</f>
        <v>64841</v>
      </c>
      <c r="H122">
        <f>+[1]tab!E117</f>
        <v>3982331.9</v>
      </c>
      <c r="I122">
        <f>+[1]tab!F117</f>
        <v>523152</v>
      </c>
      <c r="J122">
        <f t="shared" si="35"/>
        <v>595476</v>
      </c>
      <c r="L122" s="3">
        <f t="shared" si="28"/>
        <v>61.416879752008761</v>
      </c>
      <c r="M122" s="3">
        <f t="shared" si="29"/>
        <v>8.0682284357119727</v>
      </c>
      <c r="N122" s="2">
        <f t="shared" si="30"/>
        <v>0.13136825687482251</v>
      </c>
      <c r="P122" s="3">
        <f t="shared" si="31"/>
        <v>36572277.887207165</v>
      </c>
      <c r="Q122" s="3">
        <f t="shared" si="32"/>
        <v>4804436.3959840229</v>
      </c>
      <c r="R122" s="2">
        <f t="shared" si="33"/>
        <v>0.13136825687482254</v>
      </c>
    </row>
    <row r="123" spans="4:18" x14ac:dyDescent="0.25">
      <c r="D123">
        <f>+[1]tab!A118</f>
        <v>2019</v>
      </c>
      <c r="E123">
        <f>+[1]tab!B118</f>
        <v>120</v>
      </c>
      <c r="F123">
        <f>+[1]tab!C118</f>
        <v>0.35</v>
      </c>
      <c r="G123">
        <f>+[1]tab!D118</f>
        <v>83260</v>
      </c>
      <c r="H123">
        <f>+[1]tab!E118</f>
        <v>11821986.800000001</v>
      </c>
      <c r="I123">
        <f>+[1]tab!F118</f>
        <v>2981091.1</v>
      </c>
      <c r="J123">
        <f t="shared" si="35"/>
        <v>595476</v>
      </c>
      <c r="L123" s="3">
        <f t="shared" si="28"/>
        <v>141.98879173672833</v>
      </c>
      <c r="M123" s="3">
        <f t="shared" si="29"/>
        <v>35.804601249099207</v>
      </c>
      <c r="N123" s="2">
        <f t="shared" si="30"/>
        <v>0.2521649829620855</v>
      </c>
      <c r="P123" s="3">
        <f t="shared" si="31"/>
        <v>84550917.748220041</v>
      </c>
      <c r="Q123" s="3">
        <f t="shared" si="32"/>
        <v>21320780.7334086</v>
      </c>
      <c r="R123" s="2">
        <f t="shared" si="33"/>
        <v>0.2521649829620855</v>
      </c>
    </row>
    <row r="124" spans="4:18" x14ac:dyDescent="0.25">
      <c r="D124">
        <f>+[1]tab!A119</f>
        <v>2020</v>
      </c>
      <c r="E124">
        <f>+[1]tab!B119</f>
        <v>0</v>
      </c>
      <c r="F124">
        <f>+[1]tab!C119</f>
        <v>0</v>
      </c>
      <c r="G124">
        <f>+[1]tab!D119</f>
        <v>1798313</v>
      </c>
      <c r="H124">
        <f>+[1]tab!E119</f>
        <v>6122647.0999999996</v>
      </c>
      <c r="I124">
        <f>+[1]tab!F119</f>
        <v>0</v>
      </c>
      <c r="J124">
        <f>+$W$22</f>
        <v>612348</v>
      </c>
      <c r="L124" s="3">
        <f t="shared" si="28"/>
        <v>3.4046615355613841</v>
      </c>
      <c r="M124" s="3">
        <f t="shared" si="29"/>
        <v>0</v>
      </c>
      <c r="N124" s="2">
        <f t="shared" si="30"/>
        <v>0</v>
      </c>
      <c r="P124" s="3">
        <f t="shared" si="31"/>
        <v>2084837.6819779424</v>
      </c>
      <c r="Q124" s="3">
        <f t="shared" si="32"/>
        <v>0</v>
      </c>
      <c r="R124" s="2">
        <f t="shared" si="33"/>
        <v>0</v>
      </c>
    </row>
    <row r="125" spans="4:18" x14ac:dyDescent="0.25">
      <c r="D125">
        <f>+[1]tab!A120</f>
        <v>2020</v>
      </c>
      <c r="E125">
        <f>+[1]tab!B120</f>
        <v>13.5</v>
      </c>
      <c r="F125">
        <f>+[1]tab!C120</f>
        <v>0.04</v>
      </c>
      <c r="G125">
        <f>+[1]tab!D120</f>
        <v>1068614</v>
      </c>
      <c r="H125">
        <f>+[1]tab!E120</f>
        <v>13167405.6</v>
      </c>
      <c r="I125">
        <f>+[1]tab!F120</f>
        <v>173242.1</v>
      </c>
      <c r="J125">
        <f t="shared" ref="J125:J131" si="36">+$W$22</f>
        <v>612348</v>
      </c>
      <c r="L125" s="3">
        <f t="shared" si="28"/>
        <v>12.321947494605162</v>
      </c>
      <c r="M125" s="3">
        <f t="shared" si="29"/>
        <v>0.16211850116131737</v>
      </c>
      <c r="N125" s="2">
        <f t="shared" si="30"/>
        <v>1.3156889463479428E-2</v>
      </c>
      <c r="P125" s="3">
        <f t="shared" si="31"/>
        <v>7545319.9044264816</v>
      </c>
      <c r="Q125" s="3">
        <f t="shared" si="32"/>
        <v>99272.939949130377</v>
      </c>
      <c r="R125" s="2">
        <f t="shared" si="33"/>
        <v>1.3156889463479428E-2</v>
      </c>
    </row>
    <row r="126" spans="4:18" x14ac:dyDescent="0.25">
      <c r="D126">
        <f>+[1]tab!A121</f>
        <v>2020</v>
      </c>
      <c r="E126">
        <f>+[1]tab!B121</f>
        <v>30</v>
      </c>
      <c r="F126">
        <f>+[1]tab!C121</f>
        <v>0.08</v>
      </c>
      <c r="G126">
        <f>+[1]tab!D121</f>
        <v>380323</v>
      </c>
      <c r="H126">
        <f>+[1]tab!E121</f>
        <v>9056727.1999999993</v>
      </c>
      <c r="I126">
        <f>+[1]tab!F121</f>
        <v>319175.7</v>
      </c>
      <c r="J126">
        <f t="shared" si="36"/>
        <v>612348</v>
      </c>
      <c r="L126" s="3">
        <f t="shared" si="28"/>
        <v>23.813251367916216</v>
      </c>
      <c r="M126" s="3">
        <f t="shared" si="29"/>
        <v>0.83922271332525256</v>
      </c>
      <c r="N126" s="2">
        <f t="shared" si="30"/>
        <v>3.5241836587503711E-2</v>
      </c>
      <c r="P126" s="3">
        <f t="shared" si="31"/>
        <v>14581996.848640759</v>
      </c>
      <c r="Q126" s="3">
        <f t="shared" si="32"/>
        <v>513896.35005929176</v>
      </c>
      <c r="R126" s="2">
        <f t="shared" si="33"/>
        <v>3.5241836587503718E-2</v>
      </c>
    </row>
    <row r="127" spans="4:18" x14ac:dyDescent="0.25">
      <c r="D127">
        <f>+[1]tab!A122</f>
        <v>2020</v>
      </c>
      <c r="E127">
        <f>+[1]tab!B122</f>
        <v>50</v>
      </c>
      <c r="F127">
        <f>+[1]tab!C122</f>
        <v>0.13500000000000001</v>
      </c>
      <c r="G127">
        <f>+[1]tab!D122</f>
        <v>165435</v>
      </c>
      <c r="H127">
        <f>+[1]tab!E122</f>
        <v>5947741.2000000002</v>
      </c>
      <c r="I127">
        <f>+[1]tab!F122</f>
        <v>347945.7</v>
      </c>
      <c r="J127">
        <f t="shared" si="36"/>
        <v>612348</v>
      </c>
      <c r="L127" s="3">
        <f t="shared" si="28"/>
        <v>35.952133466316077</v>
      </c>
      <c r="M127" s="3">
        <f t="shared" si="29"/>
        <v>2.1032169734336748</v>
      </c>
      <c r="N127" s="2">
        <f t="shared" si="30"/>
        <v>5.8500477458568644E-2</v>
      </c>
      <c r="P127" s="3">
        <f t="shared" si="31"/>
        <v>22015217.023831718</v>
      </c>
      <c r="Q127" s="3">
        <f t="shared" si="32"/>
        <v>1287900.7072481639</v>
      </c>
      <c r="R127" s="2">
        <f t="shared" si="33"/>
        <v>5.8500477458568637E-2</v>
      </c>
    </row>
    <row r="128" spans="4:18" x14ac:dyDescent="0.25">
      <c r="D128">
        <f>+[1]tab!A123</f>
        <v>2020</v>
      </c>
      <c r="E128">
        <f>+[1]tab!B123</f>
        <v>70</v>
      </c>
      <c r="F128">
        <f>+[1]tab!C123</f>
        <v>0.23</v>
      </c>
      <c r="G128">
        <f>+[1]tab!D123</f>
        <v>79370</v>
      </c>
      <c r="H128">
        <f>+[1]tab!E123</f>
        <v>3829099.4</v>
      </c>
      <c r="I128">
        <f>+[1]tab!F123</f>
        <v>339055.4</v>
      </c>
      <c r="J128">
        <f t="shared" si="36"/>
        <v>612348</v>
      </c>
      <c r="L128" s="3">
        <f t="shared" si="28"/>
        <v>48.243661332997355</v>
      </c>
      <c r="M128" s="3">
        <f t="shared" si="29"/>
        <v>4.2718331863424472</v>
      </c>
      <c r="N128" s="2">
        <f t="shared" si="30"/>
        <v>8.8547035368159943E-2</v>
      </c>
      <c r="P128" s="3">
        <f t="shared" si="31"/>
        <v>29541909.529938266</v>
      </c>
      <c r="Q128" s="3">
        <f t="shared" si="32"/>
        <v>2615848.507990425</v>
      </c>
      <c r="R128" s="2">
        <f t="shared" si="33"/>
        <v>8.8547035368159943E-2</v>
      </c>
    </row>
    <row r="129" spans="4:18" x14ac:dyDescent="0.25">
      <c r="D129">
        <f>+[1]tab!A124</f>
        <v>2020</v>
      </c>
      <c r="E129">
        <f>+[1]tab!B124</f>
        <v>90</v>
      </c>
      <c r="F129">
        <f>+[1]tab!C124</f>
        <v>0.30399999999999999</v>
      </c>
      <c r="G129">
        <f>+[1]tab!D124</f>
        <v>56099</v>
      </c>
      <c r="H129">
        <f>+[1]tab!E124</f>
        <v>3538932.5</v>
      </c>
      <c r="I129">
        <f>+[1]tab!F124</f>
        <v>464120.9</v>
      </c>
      <c r="J129">
        <f t="shared" si="36"/>
        <v>612348</v>
      </c>
      <c r="L129" s="3">
        <f t="shared" si="28"/>
        <v>63.08370024421113</v>
      </c>
      <c r="M129" s="3">
        <f t="shared" si="29"/>
        <v>8.2732472949606954</v>
      </c>
      <c r="N129" s="2">
        <f t="shared" si="30"/>
        <v>0.13114714677377995</v>
      </c>
      <c r="P129" s="3">
        <f t="shared" si="31"/>
        <v>38629177.677142195</v>
      </c>
      <c r="Q129" s="3">
        <f t="shared" si="32"/>
        <v>5066106.4345745919</v>
      </c>
      <c r="R129" s="2">
        <f t="shared" si="33"/>
        <v>0.13114714677377995</v>
      </c>
    </row>
    <row r="130" spans="4:18" x14ac:dyDescent="0.25">
      <c r="D130">
        <f>+[1]tab!A125</f>
        <v>2020</v>
      </c>
      <c r="E130">
        <f>+[1]tab!B125</f>
        <v>120</v>
      </c>
      <c r="F130">
        <f>+[1]tab!C125</f>
        <v>0.35</v>
      </c>
      <c r="G130">
        <f>+[1]tab!D125</f>
        <v>56675</v>
      </c>
      <c r="H130">
        <f>+[1]tab!E125</f>
        <v>5858149</v>
      </c>
      <c r="I130">
        <f>+[1]tab!F125</f>
        <v>1240361.8999999999</v>
      </c>
      <c r="J130">
        <f t="shared" si="36"/>
        <v>612348</v>
      </c>
      <c r="L130" s="3">
        <f t="shared" si="28"/>
        <v>103.36389942655492</v>
      </c>
      <c r="M130" s="3">
        <f t="shared" si="29"/>
        <v>21.885520952801055</v>
      </c>
      <c r="N130" s="2">
        <f t="shared" si="30"/>
        <v>0.21173273332583378</v>
      </c>
      <c r="P130" s="3">
        <f t="shared" si="31"/>
        <v>63294677.086052053</v>
      </c>
      <c r="Q130" s="3">
        <f t="shared" si="32"/>
        <v>13401554.984405821</v>
      </c>
      <c r="R130" s="2">
        <f t="shared" si="33"/>
        <v>0.21173273332583378</v>
      </c>
    </row>
    <row r="131" spans="4:18" x14ac:dyDescent="0.25">
      <c r="D131">
        <f>+[1]tab!A126</f>
        <v>2020</v>
      </c>
      <c r="E131">
        <f>+[1]tab!B126</f>
        <v>310</v>
      </c>
      <c r="F131">
        <f>+[1]tab!C126</f>
        <v>0.4</v>
      </c>
      <c r="G131">
        <f>+[1]tab!D126</f>
        <v>7448</v>
      </c>
      <c r="H131">
        <f>+[1]tab!E126</f>
        <v>2643078.2999999998</v>
      </c>
      <c r="I131">
        <f>+[1]tab!F126</f>
        <v>878533.1</v>
      </c>
      <c r="J131">
        <f t="shared" si="36"/>
        <v>612348</v>
      </c>
      <c r="L131" s="3">
        <f t="shared" si="28"/>
        <v>354.87087808807729</v>
      </c>
      <c r="M131" s="3">
        <f t="shared" si="29"/>
        <v>117.95557196562835</v>
      </c>
      <c r="N131" s="2">
        <f t="shared" si="30"/>
        <v>0.33239011496556875</v>
      </c>
      <c r="P131" s="3">
        <f t="shared" si="31"/>
        <v>217304472.45547795</v>
      </c>
      <c r="Q131" s="3">
        <f t="shared" si="32"/>
        <v>72229858.582008585</v>
      </c>
      <c r="R131" s="2">
        <f t="shared" si="33"/>
        <v>0.33239011496556875</v>
      </c>
    </row>
    <row r="132" spans="4:18" x14ac:dyDescent="0.25">
      <c r="D132">
        <f>+[1]tab!A127</f>
        <v>2021</v>
      </c>
      <c r="E132">
        <f>+[1]tab!B127</f>
        <v>0</v>
      </c>
      <c r="F132">
        <f>+[1]tab!C127</f>
        <v>0</v>
      </c>
      <c r="G132">
        <f>+[1]tab!D127</f>
        <v>1638378</v>
      </c>
      <c r="H132">
        <f>+[1]tab!E127</f>
        <v>6065139.2999999998</v>
      </c>
      <c r="I132">
        <f>+[1]tab!F127</f>
        <v>0</v>
      </c>
      <c r="J132">
        <f>+$W$23</f>
        <v>650052</v>
      </c>
      <c r="L132" s="3">
        <f t="shared" si="28"/>
        <v>3.7019169568927315</v>
      </c>
      <c r="M132" s="3">
        <f t="shared" si="29"/>
        <v>0</v>
      </c>
      <c r="N132" s="2">
        <f t="shared" si="30"/>
        <v>0</v>
      </c>
      <c r="P132" s="3">
        <f t="shared" si="31"/>
        <v>2406438.5216620341</v>
      </c>
      <c r="Q132" s="3">
        <f t="shared" si="32"/>
        <v>0</v>
      </c>
      <c r="R132" s="2">
        <f t="shared" si="33"/>
        <v>0</v>
      </c>
    </row>
    <row r="133" spans="4:18" x14ac:dyDescent="0.25">
      <c r="D133">
        <f>+[1]tab!A128</f>
        <v>2021</v>
      </c>
      <c r="E133">
        <f>+[1]tab!B128</f>
        <v>13.5</v>
      </c>
      <c r="F133">
        <f>+[1]tab!C128</f>
        <v>0.04</v>
      </c>
      <c r="G133">
        <f>+[1]tab!D128</f>
        <v>1069760</v>
      </c>
      <c r="H133">
        <f>+[1]tab!E128</f>
        <v>14092234.5</v>
      </c>
      <c r="I133">
        <f>+[1]tab!F128</f>
        <v>187991.3</v>
      </c>
      <c r="J133">
        <f t="shared" ref="J133:J139" si="37">+$W$23</f>
        <v>650052</v>
      </c>
      <c r="L133" s="3">
        <f t="shared" si="28"/>
        <v>13.173267368381692</v>
      </c>
      <c r="M133" s="3">
        <f t="shared" si="29"/>
        <v>0.17573222031109781</v>
      </c>
      <c r="N133" s="2">
        <f t="shared" si="30"/>
        <v>1.3340063280950937E-2</v>
      </c>
      <c r="P133" s="3">
        <f t="shared" si="31"/>
        <v>8563308.7993512563</v>
      </c>
      <c r="Q133" s="3">
        <f t="shared" si="32"/>
        <v>114235.08127766976</v>
      </c>
      <c r="R133" s="2">
        <f t="shared" si="33"/>
        <v>1.3340063280950937E-2</v>
      </c>
    </row>
    <row r="134" spans="4:18" x14ac:dyDescent="0.25">
      <c r="D134">
        <f>+[1]tab!A129</f>
        <v>2021</v>
      </c>
      <c r="E134">
        <f>+[1]tab!B129</f>
        <v>30</v>
      </c>
      <c r="F134">
        <f>+[1]tab!C129</f>
        <v>0.08</v>
      </c>
      <c r="G134">
        <f>+[1]tab!D129</f>
        <v>380484</v>
      </c>
      <c r="H134">
        <f>+[1]tab!E129</f>
        <v>9694373.5</v>
      </c>
      <c r="I134">
        <f>+[1]tab!F129</f>
        <v>344939.1</v>
      </c>
      <c r="J134">
        <f t="shared" si="37"/>
        <v>650052</v>
      </c>
      <c r="L134" s="3">
        <f t="shared" si="28"/>
        <v>25.479056938005279</v>
      </c>
      <c r="M134" s="3">
        <f t="shared" si="29"/>
        <v>0.90657977733623485</v>
      </c>
      <c r="N134" s="2">
        <f t="shared" si="30"/>
        <v>3.5581370988027231E-2</v>
      </c>
      <c r="P134" s="3">
        <f t="shared" si="31"/>
        <v>16562711.920664208</v>
      </c>
      <c r="Q134" s="3">
        <f t="shared" si="32"/>
        <v>589323.99741697416</v>
      </c>
      <c r="R134" s="2">
        <f t="shared" si="33"/>
        <v>3.5581370988027224E-2</v>
      </c>
    </row>
    <row r="135" spans="4:18" x14ac:dyDescent="0.25">
      <c r="D135">
        <f>+[1]tab!A130</f>
        <v>2021</v>
      </c>
      <c r="E135">
        <f>+[1]tab!B130</f>
        <v>50</v>
      </c>
      <c r="F135">
        <f>+[1]tab!C130</f>
        <v>0.13500000000000001</v>
      </c>
      <c r="G135">
        <f>+[1]tab!D130</f>
        <v>180592</v>
      </c>
      <c r="H135">
        <f>+[1]tab!E130</f>
        <v>6897167.5999999996</v>
      </c>
      <c r="I135">
        <f>+[1]tab!F130</f>
        <v>403707.8</v>
      </c>
      <c r="J135">
        <f t="shared" si="37"/>
        <v>650052</v>
      </c>
      <c r="L135" s="3">
        <f t="shared" si="28"/>
        <v>38.191988570922298</v>
      </c>
      <c r="M135" s="3">
        <f t="shared" si="29"/>
        <v>2.2354689022769558</v>
      </c>
      <c r="N135" s="2">
        <f t="shared" si="30"/>
        <v>5.8532403939263421E-2</v>
      </c>
      <c r="P135" s="3">
        <f t="shared" si="31"/>
        <v>24826778.554505181</v>
      </c>
      <c r="Q135" s="3">
        <f t="shared" si="32"/>
        <v>1453171.0308629398</v>
      </c>
      <c r="R135" s="2">
        <f t="shared" si="33"/>
        <v>5.8532403939263428E-2</v>
      </c>
    </row>
    <row r="136" spans="4:18" x14ac:dyDescent="0.25">
      <c r="D136">
        <f>+[1]tab!A131</f>
        <v>2021</v>
      </c>
      <c r="E136">
        <f>+[1]tab!B131</f>
        <v>70</v>
      </c>
      <c r="F136">
        <f>+[1]tab!C131</f>
        <v>0.23</v>
      </c>
      <c r="G136">
        <f>+[1]tab!D131</f>
        <v>91765</v>
      </c>
      <c r="H136">
        <f>+[1]tab!E131</f>
        <v>4707057.4000000004</v>
      </c>
      <c r="I136">
        <f>+[1]tab!F131</f>
        <v>417747.3</v>
      </c>
      <c r="J136">
        <f t="shared" si="37"/>
        <v>650052</v>
      </c>
      <c r="L136" s="3">
        <f t="shared" si="28"/>
        <v>51.294691875987581</v>
      </c>
      <c r="M136" s="3">
        <f t="shared" si="29"/>
        <v>4.5523598321800254</v>
      </c>
      <c r="N136" s="2">
        <f t="shared" si="30"/>
        <v>8.8749140811412233E-2</v>
      </c>
      <c r="P136" s="3">
        <f t="shared" si="31"/>
        <v>33344217.043369479</v>
      </c>
      <c r="Q136" s="3">
        <f t="shared" si="32"/>
        <v>2959270.6136282897</v>
      </c>
      <c r="R136" s="2">
        <f t="shared" si="33"/>
        <v>8.8749140811412233E-2</v>
      </c>
    </row>
    <row r="137" spans="4:18" x14ac:dyDescent="0.25">
      <c r="D137">
        <f>+[1]tab!A132</f>
        <v>2021</v>
      </c>
      <c r="E137">
        <f>+[1]tab!B132</f>
        <v>90</v>
      </c>
      <c r="F137">
        <f>+[1]tab!C132</f>
        <v>0.30399999999999999</v>
      </c>
      <c r="G137">
        <f>+[1]tab!D132</f>
        <v>68319</v>
      </c>
      <c r="H137">
        <f>+[1]tab!E132</f>
        <v>4579344.0999999996</v>
      </c>
      <c r="I137">
        <f>+[1]tab!F132</f>
        <v>601167.4</v>
      </c>
      <c r="J137">
        <f t="shared" si="37"/>
        <v>650052</v>
      </c>
      <c r="L137" s="3">
        <f t="shared" si="28"/>
        <v>67.028851417614419</v>
      </c>
      <c r="M137" s="3">
        <f t="shared" si="29"/>
        <v>8.7994174387798427</v>
      </c>
      <c r="N137" s="2">
        <f t="shared" si="30"/>
        <v>0.13127805792100228</v>
      </c>
      <c r="P137" s="3">
        <f t="shared" si="31"/>
        <v>43572238.92172309</v>
      </c>
      <c r="Q137" s="3">
        <f t="shared" si="32"/>
        <v>5720078.9049137142</v>
      </c>
      <c r="R137" s="2">
        <f t="shared" si="33"/>
        <v>0.13127805792100228</v>
      </c>
    </row>
    <row r="138" spans="4:18" x14ac:dyDescent="0.25">
      <c r="D138">
        <f>+[1]tab!A133</f>
        <v>2021</v>
      </c>
      <c r="E138">
        <f>+[1]tab!B133</f>
        <v>120</v>
      </c>
      <c r="F138">
        <f>+[1]tab!C133</f>
        <v>0.35</v>
      </c>
      <c r="G138">
        <f>+[1]tab!D133</f>
        <v>68240</v>
      </c>
      <c r="H138">
        <f>+[1]tab!E133</f>
        <v>7464714.7000000002</v>
      </c>
      <c r="I138">
        <f>+[1]tab!F133</f>
        <v>1577076</v>
      </c>
      <c r="J138">
        <f t="shared" si="37"/>
        <v>650052</v>
      </c>
      <c r="L138" s="3">
        <f t="shared" si="28"/>
        <v>109.38913686987105</v>
      </c>
      <c r="M138" s="3">
        <f t="shared" si="29"/>
        <v>23.110726846424384</v>
      </c>
      <c r="N138" s="2">
        <f t="shared" si="30"/>
        <v>0.21127076698591038</v>
      </c>
      <c r="P138" s="3">
        <f t="shared" si="31"/>
        <v>71108627.20053342</v>
      </c>
      <c r="Q138" s="3">
        <f t="shared" si="32"/>
        <v>15023174.207971863</v>
      </c>
      <c r="R138" s="2">
        <f t="shared" si="33"/>
        <v>0.21127076698591035</v>
      </c>
    </row>
    <row r="139" spans="4:18" x14ac:dyDescent="0.25">
      <c r="D139">
        <f>+[1]tab!A134</f>
        <v>2021</v>
      </c>
      <c r="E139">
        <f>+[1]tab!B134</f>
        <v>310</v>
      </c>
      <c r="F139">
        <f>+[1]tab!C134</f>
        <v>0.4</v>
      </c>
      <c r="G139">
        <f>+[1]tab!D134</f>
        <v>9136</v>
      </c>
      <c r="H139">
        <f>+[1]tab!E134</f>
        <v>3871313.6</v>
      </c>
      <c r="I139">
        <f>+[1]tab!F134</f>
        <v>1317789.3999999999</v>
      </c>
      <c r="J139">
        <f t="shared" si="37"/>
        <v>650052</v>
      </c>
      <c r="L139" s="3">
        <f t="shared" si="28"/>
        <v>423.74273204903676</v>
      </c>
      <c r="M139" s="3">
        <f t="shared" si="29"/>
        <v>144.24139667250438</v>
      </c>
      <c r="N139" s="2">
        <f t="shared" si="30"/>
        <v>0.34039851486069223</v>
      </c>
      <c r="P139" s="3">
        <f t="shared" si="31"/>
        <v>275454810.45394045</v>
      </c>
      <c r="Q139" s="3">
        <f t="shared" si="32"/>
        <v>93764408.389754817</v>
      </c>
      <c r="R139" s="2">
        <f t="shared" si="33"/>
        <v>0.34039851486069228</v>
      </c>
    </row>
  </sheetData>
  <mergeCells count="3">
    <mergeCell ref="L5:N5"/>
    <mergeCell ref="P5:R5"/>
    <mergeCell ref="V5:W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X109"/>
  <sheetViews>
    <sheetView workbookViewId="0">
      <selection activeCell="B2" sqref="B2:D2"/>
    </sheetView>
  </sheetViews>
  <sheetFormatPr baseColWidth="10" defaultColWidth="9.140625" defaultRowHeight="15" x14ac:dyDescent="0.25"/>
  <cols>
    <col min="16" max="16" width="9.42578125" bestFit="1" customWidth="1"/>
  </cols>
  <sheetData>
    <row r="2" spans="2:24" x14ac:dyDescent="0.25">
      <c r="B2" t="str">
        <f>+Summary!P6</f>
        <v>Average income</v>
      </c>
      <c r="C2" t="str">
        <f>+Summary!Q6</f>
        <v>Average tax</v>
      </c>
      <c r="D2" t="str">
        <f>+Summary!R6</f>
        <v>Average tax rate</v>
      </c>
    </row>
    <row r="3" spans="2:24" x14ac:dyDescent="0.25">
      <c r="B3">
        <f>+Summary!P7</f>
        <v>587578.87043880415</v>
      </c>
      <c r="C3">
        <f>+Summary!Q7</f>
        <v>0.12765738065353091</v>
      </c>
      <c r="D3">
        <f>+Summary!R7</f>
        <v>2.1725999193639539E-7</v>
      </c>
    </row>
    <row r="4" spans="2:24" x14ac:dyDescent="0.25">
      <c r="B4">
        <f>+Summary!P8</f>
        <v>2907882.5982547146</v>
      </c>
      <c r="C4">
        <f>+Summary!Q8</f>
        <v>48473.767919906866</v>
      </c>
      <c r="D4">
        <f>+Summary!R8</f>
        <v>1.6669781630455231E-2</v>
      </c>
    </row>
    <row r="5" spans="2:24" x14ac:dyDescent="0.25">
      <c r="B5">
        <f>+Summary!P9</f>
        <v>5521804.0768066263</v>
      </c>
      <c r="C5">
        <f>+Summary!Q9</f>
        <v>239868.65988834942</v>
      </c>
      <c r="D5">
        <f>+Summary!R9</f>
        <v>4.3440269982753611E-2</v>
      </c>
      <c r="L5" s="9"/>
      <c r="M5" s="9"/>
      <c r="N5" s="9"/>
      <c r="P5" s="9"/>
      <c r="Q5" s="9"/>
      <c r="R5" s="9"/>
      <c r="W5" s="9"/>
      <c r="X5" s="9"/>
    </row>
    <row r="6" spans="2:24" x14ac:dyDescent="0.25">
      <c r="B6">
        <f>+Summary!P10</f>
        <v>8474067.4725856557</v>
      </c>
      <c r="C6">
        <f>+Summary!Q10</f>
        <v>599778.7822070145</v>
      </c>
      <c r="D6">
        <f>+Summary!R10</f>
        <v>7.0778145695364239E-2</v>
      </c>
      <c r="L6" s="1"/>
      <c r="M6" s="1"/>
      <c r="N6" s="1"/>
      <c r="P6" s="1"/>
      <c r="Q6" s="1"/>
      <c r="R6" s="1"/>
      <c r="S6" s="1"/>
    </row>
    <row r="7" spans="2:24" x14ac:dyDescent="0.25">
      <c r="B7">
        <f>+Summary!P11</f>
        <v>11332227.687279448</v>
      </c>
      <c r="C7">
        <f>+Summary!Q11</f>
        <v>1156503.3970761218</v>
      </c>
      <c r="D7">
        <f>+Summary!R11</f>
        <v>0.10205437350807112</v>
      </c>
      <c r="L7" s="3"/>
      <c r="M7" s="3"/>
      <c r="N7" s="2"/>
      <c r="P7" s="3"/>
      <c r="Q7" s="3"/>
      <c r="R7" s="2"/>
    </row>
    <row r="8" spans="2:24" x14ac:dyDescent="0.25">
      <c r="B8">
        <f>+Summary!P12</f>
        <v>14743277.418034682</v>
      </c>
      <c r="C8">
        <f>+Summary!Q12</f>
        <v>2136515.6756729977</v>
      </c>
      <c r="D8">
        <f>+Summary!R12</f>
        <v>0.14491456784632634</v>
      </c>
      <c r="L8" s="3"/>
      <c r="M8" s="3"/>
      <c r="N8" s="2"/>
      <c r="P8" s="3"/>
      <c r="Q8" s="3"/>
      <c r="R8" s="2"/>
    </row>
    <row r="9" spans="2:24" x14ac:dyDescent="0.25">
      <c r="B9">
        <f>+Summary!P13</f>
        <v>19065951.16756871</v>
      </c>
      <c r="C9">
        <f>+Summary!Q13</f>
        <v>3610968.166807611</v>
      </c>
      <c r="D9">
        <f>+Summary!R13</f>
        <v>0.18939354953084575</v>
      </c>
      <c r="L9" s="3"/>
      <c r="M9" s="3"/>
      <c r="N9" s="2"/>
      <c r="P9" s="3"/>
      <c r="Q9" s="3"/>
      <c r="R9" s="2"/>
    </row>
    <row r="10" spans="2:24" x14ac:dyDescent="0.25">
      <c r="B10">
        <f>+Summary!P14</f>
        <v>38166361.919314615</v>
      </c>
      <c r="C10">
        <f>+Summary!Q14</f>
        <v>11165166.9468634</v>
      </c>
      <c r="D10">
        <f>+Summary!R14</f>
        <v>0.29253946106959472</v>
      </c>
      <c r="L10" s="3"/>
      <c r="M10" s="3"/>
      <c r="N10" s="2"/>
      <c r="P10" s="3"/>
      <c r="Q10" s="3"/>
      <c r="R10" s="2"/>
    </row>
    <row r="11" spans="2:24" x14ac:dyDescent="0.25">
      <c r="L11" s="3"/>
      <c r="M11" s="3"/>
      <c r="N11" s="2"/>
      <c r="P11" s="3"/>
      <c r="Q11" s="3"/>
      <c r="R11" s="2"/>
    </row>
    <row r="12" spans="2:24" x14ac:dyDescent="0.25">
      <c r="L12" s="3"/>
      <c r="M12" s="3"/>
      <c r="N12" s="2"/>
      <c r="P12" s="3"/>
      <c r="Q12" s="3"/>
      <c r="R12" s="2"/>
    </row>
    <row r="13" spans="2:24" x14ac:dyDescent="0.25">
      <c r="L13" s="3"/>
      <c r="M13" s="3"/>
      <c r="N13" s="2"/>
      <c r="P13" s="3"/>
      <c r="Q13" s="3"/>
      <c r="R13" s="2"/>
    </row>
    <row r="14" spans="2:24" x14ac:dyDescent="0.25">
      <c r="L14" s="3"/>
      <c r="M14" s="3"/>
      <c r="N14" s="2"/>
      <c r="P14" s="3"/>
      <c r="Q14" s="3"/>
      <c r="R14" s="2"/>
    </row>
    <row r="15" spans="2:24" x14ac:dyDescent="0.25">
      <c r="L15" s="3"/>
      <c r="M15" s="3"/>
      <c r="N15" s="2"/>
      <c r="P15" s="3"/>
      <c r="Q15" s="3"/>
      <c r="R15" s="2"/>
    </row>
    <row r="16" spans="2:24" x14ac:dyDescent="0.25">
      <c r="L16" s="3"/>
      <c r="M16" s="3"/>
      <c r="N16" s="2"/>
      <c r="P16" s="3"/>
      <c r="Q16" s="3"/>
      <c r="R16" s="2"/>
    </row>
    <row r="17" spans="12:18" x14ac:dyDescent="0.25">
      <c r="L17" s="3"/>
      <c r="M17" s="3"/>
      <c r="N17" s="2"/>
      <c r="P17" s="3"/>
      <c r="Q17" s="3"/>
      <c r="R17" s="2"/>
    </row>
    <row r="18" spans="12:18" x14ac:dyDescent="0.25">
      <c r="L18" s="3"/>
      <c r="M18" s="3"/>
      <c r="N18" s="2"/>
      <c r="P18" s="3"/>
      <c r="Q18" s="3"/>
      <c r="R18" s="2"/>
    </row>
    <row r="19" spans="12:18" x14ac:dyDescent="0.25">
      <c r="L19" s="3"/>
      <c r="M19" s="3"/>
      <c r="N19" s="2"/>
      <c r="P19" s="3"/>
      <c r="Q19" s="3"/>
      <c r="R19" s="2"/>
    </row>
    <row r="20" spans="12:18" x14ac:dyDescent="0.25">
      <c r="L20" s="3"/>
      <c r="M20" s="3"/>
      <c r="N20" s="2"/>
      <c r="P20" s="3"/>
      <c r="Q20" s="3"/>
      <c r="R20" s="2"/>
    </row>
    <row r="21" spans="12:18" x14ac:dyDescent="0.25">
      <c r="L21" s="3"/>
      <c r="M21" s="3"/>
      <c r="N21" s="2"/>
      <c r="P21" s="3"/>
      <c r="Q21" s="3"/>
      <c r="R21" s="2"/>
    </row>
    <row r="22" spans="12:18" x14ac:dyDescent="0.25">
      <c r="L22" s="3"/>
      <c r="M22" s="3"/>
      <c r="N22" s="2"/>
      <c r="P22" s="3"/>
      <c r="Q22" s="3"/>
      <c r="R22" s="2"/>
    </row>
    <row r="23" spans="12:18" x14ac:dyDescent="0.25">
      <c r="L23" s="3"/>
      <c r="M23" s="3"/>
      <c r="N23" s="2"/>
      <c r="P23" s="3"/>
      <c r="Q23" s="3"/>
      <c r="R23" s="2"/>
    </row>
    <row r="24" spans="12:18" x14ac:dyDescent="0.25">
      <c r="L24" s="3"/>
      <c r="M24" s="3"/>
      <c r="N24" s="2"/>
      <c r="P24" s="3"/>
      <c r="Q24" s="3"/>
      <c r="R24" s="2"/>
    </row>
    <row r="25" spans="12:18" x14ac:dyDescent="0.25">
      <c r="L25" s="3"/>
      <c r="M25" s="3"/>
      <c r="N25" s="2"/>
      <c r="P25" s="3"/>
      <c r="Q25" s="3"/>
      <c r="R25" s="2"/>
    </row>
    <row r="26" spans="12:18" x14ac:dyDescent="0.25">
      <c r="L26" s="3"/>
      <c r="M26" s="3"/>
      <c r="N26" s="2"/>
      <c r="P26" s="3"/>
      <c r="Q26" s="3"/>
      <c r="R26" s="2"/>
    </row>
    <row r="27" spans="12:18" x14ac:dyDescent="0.25">
      <c r="L27" s="3"/>
      <c r="M27" s="3"/>
      <c r="N27" s="2"/>
      <c r="P27" s="3"/>
      <c r="Q27" s="3"/>
      <c r="R27" s="2"/>
    </row>
    <row r="28" spans="12:18" x14ac:dyDescent="0.25">
      <c r="L28" s="3"/>
      <c r="M28" s="3"/>
      <c r="N28" s="2"/>
      <c r="P28" s="3"/>
      <c r="Q28" s="3"/>
      <c r="R28" s="2"/>
    </row>
    <row r="29" spans="12:18" x14ac:dyDescent="0.25">
      <c r="L29" s="3"/>
      <c r="M29" s="3"/>
      <c r="N29" s="2"/>
      <c r="P29" s="3"/>
      <c r="Q29" s="3"/>
      <c r="R29" s="2"/>
    </row>
    <row r="30" spans="12:18" x14ac:dyDescent="0.25">
      <c r="L30" s="3"/>
      <c r="M30" s="3"/>
      <c r="N30" s="2"/>
      <c r="P30" s="3"/>
      <c r="Q30" s="3"/>
      <c r="R30" s="2"/>
    </row>
    <row r="31" spans="12:18" x14ac:dyDescent="0.25">
      <c r="L31" s="3"/>
      <c r="M31" s="3"/>
      <c r="N31" s="2"/>
      <c r="P31" s="3"/>
      <c r="Q31" s="3"/>
      <c r="R31" s="2"/>
    </row>
    <row r="32" spans="12:18" x14ac:dyDescent="0.25">
      <c r="L32" s="3"/>
      <c r="M32" s="3"/>
      <c r="N32" s="2"/>
      <c r="P32" s="3"/>
      <c r="Q32" s="3"/>
      <c r="R32" s="2"/>
    </row>
    <row r="33" spans="12:18" x14ac:dyDescent="0.25">
      <c r="L33" s="3"/>
      <c r="M33" s="3"/>
      <c r="N33" s="2"/>
      <c r="P33" s="3"/>
      <c r="Q33" s="3"/>
      <c r="R33" s="2"/>
    </row>
    <row r="34" spans="12:18" x14ac:dyDescent="0.25">
      <c r="L34" s="3"/>
      <c r="M34" s="3"/>
      <c r="N34" s="2"/>
      <c r="P34" s="3"/>
      <c r="Q34" s="3"/>
      <c r="R34" s="2"/>
    </row>
    <row r="35" spans="12:18" x14ac:dyDescent="0.25">
      <c r="L35" s="3"/>
      <c r="M35" s="3"/>
      <c r="N35" s="2"/>
      <c r="P35" s="3"/>
      <c r="Q35" s="3"/>
      <c r="R35" s="2"/>
    </row>
    <row r="36" spans="12:18" x14ac:dyDescent="0.25">
      <c r="L36" s="3"/>
      <c r="M36" s="3"/>
      <c r="N36" s="2"/>
      <c r="P36" s="3"/>
      <c r="Q36" s="3"/>
      <c r="R36" s="2"/>
    </row>
    <row r="37" spans="12:18" x14ac:dyDescent="0.25">
      <c r="L37" s="3"/>
      <c r="M37" s="3"/>
      <c r="N37" s="2"/>
      <c r="P37" s="3"/>
      <c r="Q37" s="3"/>
      <c r="R37" s="2"/>
    </row>
    <row r="38" spans="12:18" x14ac:dyDescent="0.25">
      <c r="L38" s="3"/>
      <c r="M38" s="3"/>
      <c r="N38" s="2"/>
      <c r="P38" s="3"/>
      <c r="Q38" s="3"/>
      <c r="R38" s="2"/>
    </row>
    <row r="39" spans="12:18" x14ac:dyDescent="0.25">
      <c r="L39" s="3"/>
      <c r="M39" s="3"/>
      <c r="N39" s="2"/>
      <c r="P39" s="3"/>
      <c r="Q39" s="3"/>
      <c r="R39" s="2"/>
    </row>
    <row r="40" spans="12:18" x14ac:dyDescent="0.25">
      <c r="L40" s="3"/>
      <c r="M40" s="3"/>
      <c r="N40" s="2"/>
      <c r="P40" s="3"/>
      <c r="Q40" s="3"/>
      <c r="R40" s="2"/>
    </row>
    <row r="41" spans="12:18" x14ac:dyDescent="0.25">
      <c r="L41" s="3"/>
      <c r="M41" s="3"/>
      <c r="N41" s="2"/>
      <c r="P41" s="3"/>
      <c r="Q41" s="3"/>
      <c r="R41" s="2"/>
    </row>
    <row r="42" spans="12:18" x14ac:dyDescent="0.25">
      <c r="L42" s="3"/>
      <c r="M42" s="3"/>
      <c r="N42" s="2"/>
      <c r="P42" s="3"/>
      <c r="Q42" s="3"/>
      <c r="R42" s="2"/>
    </row>
    <row r="43" spans="12:18" x14ac:dyDescent="0.25">
      <c r="L43" s="3"/>
      <c r="M43" s="3"/>
      <c r="N43" s="2"/>
      <c r="P43" s="3"/>
      <c r="Q43" s="3"/>
      <c r="R43" s="2"/>
    </row>
    <row r="44" spans="12:18" x14ac:dyDescent="0.25">
      <c r="L44" s="3"/>
      <c r="M44" s="3"/>
      <c r="N44" s="2"/>
      <c r="P44" s="3"/>
      <c r="Q44" s="3"/>
      <c r="R44" s="2"/>
    </row>
    <row r="45" spans="12:18" x14ac:dyDescent="0.25">
      <c r="L45" s="3"/>
      <c r="M45" s="3"/>
      <c r="N45" s="2"/>
      <c r="P45" s="3"/>
      <c r="Q45" s="3"/>
      <c r="R45" s="2"/>
    </row>
    <row r="46" spans="12:18" x14ac:dyDescent="0.25">
      <c r="L46" s="3"/>
      <c r="M46" s="3"/>
      <c r="N46" s="2"/>
      <c r="P46" s="3"/>
      <c r="Q46" s="3"/>
      <c r="R46" s="2"/>
    </row>
    <row r="47" spans="12:18" x14ac:dyDescent="0.25">
      <c r="L47" s="3"/>
      <c r="M47" s="3"/>
      <c r="N47" s="2"/>
      <c r="P47" s="3"/>
      <c r="Q47" s="3"/>
      <c r="R47" s="2"/>
    </row>
    <row r="48" spans="12:18" x14ac:dyDescent="0.25">
      <c r="L48" s="3"/>
      <c r="M48" s="3"/>
      <c r="N48" s="2"/>
      <c r="P48" s="3"/>
      <c r="Q48" s="3"/>
      <c r="R48" s="2"/>
    </row>
    <row r="49" spans="12:18" x14ac:dyDescent="0.25">
      <c r="L49" s="3"/>
      <c r="M49" s="3"/>
      <c r="N49" s="2"/>
      <c r="P49" s="3"/>
      <c r="Q49" s="3"/>
      <c r="R49" s="2"/>
    </row>
    <row r="50" spans="12:18" x14ac:dyDescent="0.25">
      <c r="L50" s="3"/>
      <c r="M50" s="3"/>
      <c r="N50" s="2"/>
      <c r="P50" s="3"/>
      <c r="Q50" s="3"/>
      <c r="R50" s="2"/>
    </row>
    <row r="51" spans="12:18" x14ac:dyDescent="0.25">
      <c r="L51" s="3"/>
      <c r="M51" s="3"/>
      <c r="N51" s="2"/>
      <c r="P51" s="3"/>
      <c r="Q51" s="3"/>
      <c r="R51" s="2"/>
    </row>
    <row r="52" spans="12:18" x14ac:dyDescent="0.25">
      <c r="L52" s="3"/>
      <c r="M52" s="3"/>
      <c r="N52" s="2"/>
      <c r="P52" s="3"/>
      <c r="Q52" s="3"/>
      <c r="R52" s="2"/>
    </row>
    <row r="53" spans="12:18" x14ac:dyDescent="0.25">
      <c r="L53" s="3"/>
      <c r="M53" s="3"/>
      <c r="N53" s="2"/>
      <c r="P53" s="3"/>
      <c r="Q53" s="3"/>
      <c r="R53" s="2"/>
    </row>
    <row r="54" spans="12:18" x14ac:dyDescent="0.25">
      <c r="L54" s="3"/>
      <c r="M54" s="3"/>
      <c r="N54" s="2"/>
      <c r="P54" s="3"/>
      <c r="Q54" s="3"/>
      <c r="R54" s="2"/>
    </row>
    <row r="55" spans="12:18" x14ac:dyDescent="0.25">
      <c r="L55" s="3"/>
      <c r="M55" s="3"/>
      <c r="N55" s="2"/>
      <c r="P55" s="3"/>
      <c r="Q55" s="3"/>
      <c r="R55" s="2"/>
    </row>
    <row r="56" spans="12:18" x14ac:dyDescent="0.25">
      <c r="L56" s="3"/>
      <c r="M56" s="3"/>
      <c r="N56" s="2"/>
      <c r="P56" s="3"/>
      <c r="Q56" s="3"/>
      <c r="R56" s="2"/>
    </row>
    <row r="57" spans="12:18" x14ac:dyDescent="0.25">
      <c r="L57" s="3"/>
      <c r="M57" s="3"/>
      <c r="N57" s="2"/>
      <c r="P57" s="3"/>
      <c r="Q57" s="3"/>
      <c r="R57" s="2"/>
    </row>
    <row r="58" spans="12:18" x14ac:dyDescent="0.25">
      <c r="L58" s="3"/>
      <c r="M58" s="3"/>
      <c r="N58" s="2"/>
      <c r="P58" s="3"/>
      <c r="Q58" s="3"/>
      <c r="R58" s="2"/>
    </row>
    <row r="59" spans="12:18" x14ac:dyDescent="0.25">
      <c r="L59" s="3"/>
      <c r="M59" s="3"/>
      <c r="N59" s="2"/>
      <c r="P59" s="3"/>
      <c r="Q59" s="3"/>
      <c r="R59" s="2"/>
    </row>
    <row r="60" spans="12:18" x14ac:dyDescent="0.25">
      <c r="L60" s="3"/>
      <c r="M60" s="3"/>
      <c r="N60" s="2"/>
      <c r="P60" s="3"/>
      <c r="Q60" s="3"/>
      <c r="R60" s="2"/>
    </row>
    <row r="61" spans="12:18" x14ac:dyDescent="0.25">
      <c r="L61" s="3"/>
      <c r="M61" s="3"/>
      <c r="N61" s="2"/>
      <c r="P61" s="3"/>
      <c r="Q61" s="3"/>
      <c r="R61" s="2"/>
    </row>
    <row r="62" spans="12:18" x14ac:dyDescent="0.25">
      <c r="L62" s="3"/>
      <c r="M62" s="3"/>
      <c r="N62" s="2"/>
      <c r="P62" s="3"/>
      <c r="Q62" s="3"/>
      <c r="R62" s="2"/>
    </row>
    <row r="63" spans="12:18" x14ac:dyDescent="0.25">
      <c r="L63" s="3"/>
      <c r="M63" s="3"/>
      <c r="N63" s="2"/>
      <c r="P63" s="3"/>
      <c r="Q63" s="3"/>
      <c r="R63" s="2"/>
    </row>
    <row r="64" spans="12:18" x14ac:dyDescent="0.25">
      <c r="L64" s="3"/>
      <c r="M64" s="3"/>
      <c r="N64" s="2"/>
      <c r="P64" s="3"/>
      <c r="Q64" s="3"/>
      <c r="R64" s="2"/>
    </row>
    <row r="65" spans="12:18" x14ac:dyDescent="0.25">
      <c r="L65" s="3"/>
      <c r="M65" s="3"/>
      <c r="N65" s="2"/>
      <c r="P65" s="3"/>
      <c r="Q65" s="3"/>
      <c r="R65" s="2"/>
    </row>
    <row r="66" spans="12:18" x14ac:dyDescent="0.25">
      <c r="L66" s="3"/>
      <c r="M66" s="3"/>
      <c r="N66" s="2"/>
      <c r="P66" s="3"/>
      <c r="Q66" s="3"/>
      <c r="R66" s="2"/>
    </row>
    <row r="67" spans="12:18" x14ac:dyDescent="0.25">
      <c r="L67" s="3"/>
      <c r="M67" s="3"/>
      <c r="N67" s="2"/>
      <c r="P67" s="3"/>
      <c r="Q67" s="3"/>
      <c r="R67" s="2"/>
    </row>
    <row r="68" spans="12:18" x14ac:dyDescent="0.25">
      <c r="L68" s="3"/>
      <c r="M68" s="3"/>
      <c r="N68" s="2"/>
      <c r="P68" s="3"/>
      <c r="Q68" s="3"/>
      <c r="R68" s="2"/>
    </row>
    <row r="69" spans="12:18" x14ac:dyDescent="0.25">
      <c r="L69" s="3"/>
      <c r="M69" s="3"/>
      <c r="N69" s="2"/>
      <c r="P69" s="3"/>
      <c r="Q69" s="3"/>
      <c r="R69" s="2"/>
    </row>
    <row r="70" spans="12:18" x14ac:dyDescent="0.25">
      <c r="L70" s="3"/>
      <c r="M70" s="3"/>
      <c r="N70" s="2"/>
      <c r="P70" s="3"/>
      <c r="Q70" s="3"/>
      <c r="R70" s="2"/>
    </row>
    <row r="71" spans="12:18" x14ac:dyDescent="0.25">
      <c r="L71" s="3"/>
      <c r="M71" s="3"/>
      <c r="N71" s="2"/>
      <c r="P71" s="3"/>
      <c r="Q71" s="3"/>
      <c r="R71" s="2"/>
    </row>
    <row r="72" spans="12:18" x14ac:dyDescent="0.25">
      <c r="L72" s="3"/>
      <c r="M72" s="3"/>
      <c r="N72" s="2"/>
      <c r="P72" s="3"/>
      <c r="Q72" s="3"/>
      <c r="R72" s="2"/>
    </row>
    <row r="73" spans="12:18" x14ac:dyDescent="0.25">
      <c r="L73" s="3"/>
      <c r="M73" s="3"/>
      <c r="N73" s="2"/>
      <c r="P73" s="3"/>
      <c r="Q73" s="3"/>
      <c r="R73" s="2"/>
    </row>
    <row r="74" spans="12:18" x14ac:dyDescent="0.25">
      <c r="L74" s="3"/>
      <c r="M74" s="3"/>
      <c r="N74" s="2"/>
      <c r="P74" s="3"/>
      <c r="Q74" s="3"/>
      <c r="R74" s="2"/>
    </row>
    <row r="75" spans="12:18" x14ac:dyDescent="0.25">
      <c r="L75" s="3"/>
      <c r="M75" s="3"/>
      <c r="N75" s="2"/>
      <c r="P75" s="3"/>
      <c r="Q75" s="3"/>
      <c r="R75" s="2"/>
    </row>
    <row r="76" spans="12:18" x14ac:dyDescent="0.25">
      <c r="L76" s="3"/>
      <c r="M76" s="3"/>
      <c r="N76" s="2"/>
      <c r="P76" s="3"/>
      <c r="Q76" s="3"/>
      <c r="R76" s="2"/>
    </row>
    <row r="77" spans="12:18" x14ac:dyDescent="0.25">
      <c r="L77" s="3"/>
      <c r="M77" s="3"/>
      <c r="N77" s="2"/>
      <c r="P77" s="3"/>
      <c r="Q77" s="3"/>
      <c r="R77" s="2"/>
    </row>
    <row r="78" spans="12:18" x14ac:dyDescent="0.25">
      <c r="L78" s="3"/>
      <c r="M78" s="3"/>
      <c r="N78" s="2"/>
      <c r="P78" s="3"/>
      <c r="Q78" s="3"/>
      <c r="R78" s="2"/>
    </row>
    <row r="79" spans="12:18" x14ac:dyDescent="0.25">
      <c r="L79" s="3"/>
      <c r="M79" s="3"/>
      <c r="N79" s="2"/>
      <c r="P79" s="3"/>
      <c r="Q79" s="3"/>
      <c r="R79" s="2"/>
    </row>
    <row r="80" spans="12:18" x14ac:dyDescent="0.25">
      <c r="L80" s="3"/>
      <c r="M80" s="3"/>
      <c r="N80" s="2"/>
      <c r="P80" s="3"/>
      <c r="Q80" s="3"/>
      <c r="R80" s="2"/>
    </row>
    <row r="81" spans="12:18" x14ac:dyDescent="0.25">
      <c r="L81" s="3"/>
      <c r="M81" s="3"/>
      <c r="N81" s="2"/>
      <c r="P81" s="3"/>
      <c r="Q81" s="3"/>
      <c r="R81" s="2"/>
    </row>
    <row r="82" spans="12:18" x14ac:dyDescent="0.25">
      <c r="L82" s="3"/>
      <c r="M82" s="3"/>
      <c r="N82" s="2"/>
      <c r="P82" s="3"/>
      <c r="Q82" s="3"/>
      <c r="R82" s="2"/>
    </row>
    <row r="83" spans="12:18" x14ac:dyDescent="0.25">
      <c r="L83" s="3"/>
      <c r="M83" s="3"/>
      <c r="N83" s="2"/>
      <c r="P83" s="3"/>
      <c r="Q83" s="3"/>
      <c r="R83" s="2"/>
    </row>
    <row r="84" spans="12:18" x14ac:dyDescent="0.25">
      <c r="L84" s="3"/>
      <c r="M84" s="3"/>
      <c r="N84" s="2"/>
      <c r="P84" s="3"/>
      <c r="Q84" s="3"/>
      <c r="R84" s="2"/>
    </row>
    <row r="85" spans="12:18" x14ac:dyDescent="0.25">
      <c r="L85" s="3"/>
      <c r="M85" s="3"/>
      <c r="N85" s="2"/>
      <c r="P85" s="3"/>
      <c r="Q85" s="3"/>
      <c r="R85" s="2"/>
    </row>
    <row r="86" spans="12:18" x14ac:dyDescent="0.25">
      <c r="L86" s="3"/>
      <c r="M86" s="3"/>
      <c r="N86" s="2"/>
      <c r="P86" s="3"/>
      <c r="Q86" s="3"/>
      <c r="R86" s="2"/>
    </row>
    <row r="87" spans="12:18" x14ac:dyDescent="0.25">
      <c r="L87" s="3"/>
      <c r="M87" s="3"/>
      <c r="N87" s="2"/>
      <c r="P87" s="3"/>
      <c r="Q87" s="3"/>
      <c r="R87" s="2"/>
    </row>
    <row r="88" spans="12:18" x14ac:dyDescent="0.25">
      <c r="L88" s="3"/>
      <c r="M88" s="3"/>
      <c r="N88" s="2"/>
      <c r="P88" s="3"/>
      <c r="Q88" s="3"/>
      <c r="R88" s="2"/>
    </row>
    <row r="89" spans="12:18" x14ac:dyDescent="0.25">
      <c r="L89" s="3"/>
      <c r="M89" s="3"/>
      <c r="N89" s="2"/>
      <c r="P89" s="3"/>
      <c r="Q89" s="3"/>
      <c r="R89" s="2"/>
    </row>
    <row r="90" spans="12:18" x14ac:dyDescent="0.25">
      <c r="L90" s="3"/>
      <c r="M90" s="3"/>
      <c r="N90" s="2"/>
      <c r="P90" s="3"/>
      <c r="Q90" s="3"/>
      <c r="R90" s="2"/>
    </row>
    <row r="91" spans="12:18" x14ac:dyDescent="0.25">
      <c r="L91" s="3"/>
      <c r="M91" s="3"/>
      <c r="N91" s="2"/>
      <c r="P91" s="3"/>
      <c r="Q91" s="3"/>
      <c r="R91" s="2"/>
    </row>
    <row r="92" spans="12:18" x14ac:dyDescent="0.25">
      <c r="L92" s="3"/>
      <c r="M92" s="3"/>
      <c r="N92" s="2"/>
      <c r="P92" s="3"/>
      <c r="Q92" s="3"/>
      <c r="R92" s="2"/>
    </row>
    <row r="93" spans="12:18" x14ac:dyDescent="0.25">
      <c r="L93" s="3"/>
      <c r="M93" s="3"/>
      <c r="N93" s="2"/>
      <c r="P93" s="3"/>
      <c r="Q93" s="3"/>
      <c r="R93" s="2"/>
    </row>
    <row r="94" spans="12:18" x14ac:dyDescent="0.25">
      <c r="L94" s="3"/>
      <c r="M94" s="3"/>
      <c r="N94" s="2"/>
      <c r="P94" s="3"/>
      <c r="Q94" s="3"/>
      <c r="R94" s="2"/>
    </row>
    <row r="95" spans="12:18" x14ac:dyDescent="0.25">
      <c r="L95" s="3"/>
      <c r="M95" s="3"/>
      <c r="N95" s="2"/>
      <c r="P95" s="3"/>
      <c r="Q95" s="3"/>
      <c r="R95" s="2"/>
    </row>
    <row r="96" spans="12:18" x14ac:dyDescent="0.25">
      <c r="L96" s="3"/>
      <c r="M96" s="3"/>
      <c r="N96" s="2"/>
      <c r="P96" s="3"/>
      <c r="Q96" s="3"/>
      <c r="R96" s="2"/>
    </row>
    <row r="97" spans="12:18" x14ac:dyDescent="0.25">
      <c r="L97" s="3"/>
      <c r="M97" s="3"/>
      <c r="N97" s="2"/>
      <c r="P97" s="3"/>
      <c r="Q97" s="3"/>
      <c r="R97" s="2"/>
    </row>
    <row r="98" spans="12:18" x14ac:dyDescent="0.25">
      <c r="L98" s="3"/>
      <c r="M98" s="3"/>
      <c r="N98" s="2"/>
      <c r="P98" s="3"/>
      <c r="Q98" s="3"/>
      <c r="R98" s="2"/>
    </row>
    <row r="99" spans="12:18" x14ac:dyDescent="0.25">
      <c r="L99" s="3"/>
      <c r="M99" s="3"/>
      <c r="N99" s="2"/>
      <c r="P99" s="3"/>
      <c r="Q99" s="3"/>
      <c r="R99" s="2"/>
    </row>
    <row r="100" spans="12:18" x14ac:dyDescent="0.25">
      <c r="L100" s="3"/>
      <c r="M100" s="3"/>
      <c r="N100" s="2"/>
      <c r="P100" s="3"/>
      <c r="Q100" s="3"/>
      <c r="R100" s="2"/>
    </row>
    <row r="101" spans="12:18" x14ac:dyDescent="0.25">
      <c r="L101" s="3"/>
      <c r="M101" s="3"/>
      <c r="N101" s="2"/>
      <c r="P101" s="3"/>
      <c r="Q101" s="3"/>
      <c r="R101" s="2"/>
    </row>
    <row r="102" spans="12:18" x14ac:dyDescent="0.25">
      <c r="L102" s="3"/>
      <c r="M102" s="3"/>
      <c r="N102" s="2"/>
      <c r="P102" s="3"/>
      <c r="Q102" s="3"/>
      <c r="R102" s="2"/>
    </row>
    <row r="103" spans="12:18" x14ac:dyDescent="0.25">
      <c r="L103" s="3"/>
      <c r="M103" s="3"/>
      <c r="N103" s="2"/>
      <c r="P103" s="3"/>
      <c r="Q103" s="3"/>
      <c r="R103" s="2"/>
    </row>
    <row r="104" spans="12:18" x14ac:dyDescent="0.25">
      <c r="L104" s="3"/>
      <c r="M104" s="3"/>
      <c r="N104" s="2"/>
      <c r="P104" s="3"/>
      <c r="Q104" s="3"/>
      <c r="R104" s="2"/>
    </row>
    <row r="105" spans="12:18" x14ac:dyDescent="0.25">
      <c r="L105" s="3"/>
      <c r="M105" s="3"/>
      <c r="N105" s="2"/>
      <c r="P105" s="3"/>
      <c r="Q105" s="3"/>
      <c r="R105" s="2"/>
    </row>
    <row r="106" spans="12:18" x14ac:dyDescent="0.25">
      <c r="L106" s="3"/>
      <c r="M106" s="3"/>
      <c r="N106" s="2"/>
      <c r="P106" s="3"/>
      <c r="Q106" s="3"/>
      <c r="R106" s="2"/>
    </row>
    <row r="107" spans="12:18" x14ac:dyDescent="0.25">
      <c r="L107" s="3"/>
      <c r="M107" s="3"/>
      <c r="N107" s="2"/>
      <c r="P107" s="3"/>
      <c r="Q107" s="3"/>
      <c r="R107" s="2"/>
    </row>
    <row r="108" spans="12:18" x14ac:dyDescent="0.25">
      <c r="L108" s="3"/>
      <c r="M108" s="3"/>
      <c r="N108" s="2"/>
      <c r="P108" s="3"/>
      <c r="Q108" s="3"/>
      <c r="R108" s="2"/>
    </row>
    <row r="109" spans="12:18" x14ac:dyDescent="0.25">
      <c r="L109" s="3"/>
      <c r="M109" s="3"/>
      <c r="N109" s="2"/>
      <c r="P109" s="3"/>
      <c r="Q109" s="3"/>
      <c r="R109" s="2"/>
    </row>
  </sheetData>
  <mergeCells count="3">
    <mergeCell ref="L5:N5"/>
    <mergeCell ref="P5:R5"/>
    <mergeCell ref="W5:X5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D16"/>
  <sheetViews>
    <sheetView workbookViewId="0">
      <selection activeCell="D3" sqref="D3:D10"/>
    </sheetView>
  </sheetViews>
  <sheetFormatPr baseColWidth="10" defaultColWidth="9.140625" defaultRowHeight="15" x14ac:dyDescent="0.25"/>
  <sheetData>
    <row r="2" spans="2:4" x14ac:dyDescent="0.25">
      <c r="B2" t="str">
        <f>+Summary!P6</f>
        <v>Average income</v>
      </c>
      <c r="C2" t="str">
        <f>+Summary!Q6</f>
        <v>Average tax</v>
      </c>
      <c r="D2" t="str">
        <f>+Summary!R6</f>
        <v>Average tax rate</v>
      </c>
    </row>
    <row r="3" spans="2:4" x14ac:dyDescent="0.25">
      <c r="B3" s="3">
        <f>+Summary!P15</f>
        <v>626174.23342664365</v>
      </c>
      <c r="C3" s="3">
        <f>+Summary!Q15</f>
        <v>0.96565452299706911</v>
      </c>
      <c r="D3" s="8">
        <f>+Summary!R15</f>
        <v>1.5421498864823469E-6</v>
      </c>
    </row>
    <row r="4" spans="2:4" x14ac:dyDescent="0.25">
      <c r="B4" s="3">
        <f>+Summary!P16</f>
        <v>3029206.6485696388</v>
      </c>
      <c r="C4" s="3">
        <f>+Summary!Q16</f>
        <v>50615.449042945642</v>
      </c>
      <c r="D4" s="8">
        <f>+Summary!R16</f>
        <v>1.6709143652132729E-2</v>
      </c>
    </row>
    <row r="5" spans="2:4" x14ac:dyDescent="0.25">
      <c r="B5" s="3">
        <f>+Summary!P17</f>
        <v>5746375.2206817335</v>
      </c>
      <c r="C5" s="3">
        <f>+Summary!Q17</f>
        <v>249678.66232163366</v>
      </c>
      <c r="D5" s="8">
        <f>+Summary!R17</f>
        <v>4.3449766632540313E-2</v>
      </c>
    </row>
    <row r="6" spans="2:4" x14ac:dyDescent="0.25">
      <c r="B6" s="3">
        <f>+Summary!P18</f>
        <v>8839472.9320385121</v>
      </c>
      <c r="C6" s="3">
        <f>+Summary!Q18</f>
        <v>627328.9335657371</v>
      </c>
      <c r="D6" s="8">
        <f>+Summary!R18</f>
        <v>7.096904288173049E-2</v>
      </c>
    </row>
    <row r="7" spans="2:4" x14ac:dyDescent="0.25">
      <c r="B7" s="3">
        <f>+Summary!P19</f>
        <v>11794998.71290132</v>
      </c>
      <c r="C7" s="3">
        <f>+Summary!Q19</f>
        <v>1204311.9050674478</v>
      </c>
      <c r="D7" s="8">
        <f>+Summary!R19</f>
        <v>0.10210360631495249</v>
      </c>
    </row>
    <row r="8" spans="2:4" x14ac:dyDescent="0.25">
      <c r="B8" s="3">
        <f>+Summary!P20</f>
        <v>15306823.476587245</v>
      </c>
      <c r="C8" s="3">
        <f>+Summary!Q20</f>
        <v>2212339.9133399916</v>
      </c>
      <c r="D8" s="8">
        <f>+Summary!R20</f>
        <v>0.14453292132909912</v>
      </c>
    </row>
    <row r="9" spans="2:4" x14ac:dyDescent="0.25">
      <c r="B9" s="3">
        <f>+Summary!P21</f>
        <v>19847207.458071727</v>
      </c>
      <c r="C9" s="3">
        <f>+Summary!Q21</f>
        <v>3759009.9176897998</v>
      </c>
      <c r="D9" s="8">
        <f>+Summary!R21</f>
        <v>0.18939742155821701</v>
      </c>
    </row>
    <row r="10" spans="2:4" x14ac:dyDescent="0.25">
      <c r="B10" s="3">
        <f>+Summary!P22</f>
        <v>39743576.742720932</v>
      </c>
      <c r="C10" s="3">
        <f>+Summary!Q22</f>
        <v>11607360.849015627</v>
      </c>
      <c r="D10" s="8">
        <f>+Summary!R22</f>
        <v>0.29205627173808718</v>
      </c>
    </row>
    <row r="11" spans="2:4" x14ac:dyDescent="0.25">
      <c r="B11" s="3"/>
      <c r="C11" s="3"/>
      <c r="D11" s="3"/>
    </row>
    <row r="12" spans="2:4" x14ac:dyDescent="0.25">
      <c r="B12" s="3"/>
      <c r="C12" s="3"/>
      <c r="D12" s="3"/>
    </row>
    <row r="13" spans="2:4" x14ac:dyDescent="0.25">
      <c r="B13" s="3"/>
      <c r="C13" s="3"/>
      <c r="D13" s="3"/>
    </row>
    <row r="14" spans="2:4" x14ac:dyDescent="0.25">
      <c r="B14" s="3"/>
      <c r="C14" s="3"/>
      <c r="D14" s="3"/>
    </row>
    <row r="15" spans="2:4" x14ac:dyDescent="0.25">
      <c r="B15" s="3"/>
      <c r="C15" s="3"/>
      <c r="D15" s="3"/>
    </row>
    <row r="16" spans="2:4" x14ac:dyDescent="0.25">
      <c r="B16" s="3"/>
      <c r="C16" s="3"/>
      <c r="D16" s="3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:D10"/>
  <sheetViews>
    <sheetView workbookViewId="0">
      <selection activeCell="D3" sqref="D3:D10"/>
    </sheetView>
  </sheetViews>
  <sheetFormatPr baseColWidth="10" defaultColWidth="9.140625" defaultRowHeight="15" x14ac:dyDescent="0.25"/>
  <sheetData>
    <row r="2" spans="2:4" x14ac:dyDescent="0.25">
      <c r="B2" t="str">
        <f>+Summary!P6</f>
        <v>Average income</v>
      </c>
      <c r="C2" t="str">
        <f>+Summary!Q6</f>
        <v>Average tax</v>
      </c>
      <c r="D2" t="str">
        <f>+Summary!R6</f>
        <v>Average tax rate</v>
      </c>
    </row>
    <row r="3" spans="2:4" x14ac:dyDescent="0.25">
      <c r="B3" s="3">
        <f>+Summary!P23</f>
        <v>726693.3000457763</v>
      </c>
      <c r="C3" s="3">
        <f>+Summary!Q23</f>
        <v>0.48467979817990986</v>
      </c>
      <c r="D3" s="8">
        <f>+Summary!R23</f>
        <v>6.6696610268648218E-7</v>
      </c>
    </row>
    <row r="4" spans="2:4" x14ac:dyDescent="0.25">
      <c r="B4" s="3">
        <f>+Summary!P24</f>
        <v>3422988.1043028189</v>
      </c>
      <c r="C4" s="3">
        <f>+Summary!Q24</f>
        <v>57282.514851031076</v>
      </c>
      <c r="D4" s="8">
        <f>+Summary!R24</f>
        <v>1.6734652036629896E-2</v>
      </c>
    </row>
    <row r="5" spans="2:4" x14ac:dyDescent="0.25">
      <c r="B5" s="3">
        <f>+Summary!P25</f>
        <v>6508338.9093445176</v>
      </c>
      <c r="C5" s="3">
        <f>+Summary!Q25</f>
        <v>283902.33335670171</v>
      </c>
      <c r="D5" s="8">
        <f>+Summary!R25</f>
        <v>4.3621319865362503E-2</v>
      </c>
    </row>
    <row r="6" spans="2:4" x14ac:dyDescent="0.25">
      <c r="B6" s="3">
        <f>+Summary!P26</f>
        <v>9963902.4445594847</v>
      </c>
      <c r="C6" s="3">
        <f>+Summary!Q26</f>
        <v>705885.00296095607</v>
      </c>
      <c r="D6" s="8">
        <f>+Summary!R26</f>
        <v>7.0844230650450132E-2</v>
      </c>
    </row>
    <row r="7" spans="2:4" x14ac:dyDescent="0.25">
      <c r="B7" s="3">
        <f>+Summary!P27</f>
        <v>13301825.077397078</v>
      </c>
      <c r="C7" s="3">
        <f>+Summary!Q27</f>
        <v>1355925.6322974765</v>
      </c>
      <c r="D7" s="8">
        <f>+Summary!R27</f>
        <v>0.10193530770461809</v>
      </c>
    </row>
    <row r="8" spans="2:4" x14ac:dyDescent="0.25">
      <c r="B8" s="3">
        <f>+Summary!P28</f>
        <v>17312155.902031619</v>
      </c>
      <c r="C8" s="3">
        <f>+Summary!Q28</f>
        <v>2507243.0215623239</v>
      </c>
      <c r="D8" s="8">
        <f>+Summary!R28</f>
        <v>0.14482558011553567</v>
      </c>
    </row>
    <row r="9" spans="2:4" x14ac:dyDescent="0.25">
      <c r="B9" s="3">
        <f>+Summary!P29</f>
        <v>22454023.664215066</v>
      </c>
      <c r="C9" s="3">
        <f>+Summary!Q29</f>
        <v>4263149.8862794824</v>
      </c>
      <c r="D9" s="8">
        <f>+Summary!R29</f>
        <v>0.18986128945226224</v>
      </c>
    </row>
    <row r="10" spans="2:4" x14ac:dyDescent="0.25">
      <c r="B10" s="3">
        <f>+Summary!P30</f>
        <v>44382784.830374882</v>
      </c>
      <c r="C10" s="3">
        <f>+Summary!Q30</f>
        <v>12938146.296315283</v>
      </c>
      <c r="D10" s="8">
        <f>+Summary!R30</f>
        <v>0.2915127193068926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2:D10"/>
  <sheetViews>
    <sheetView workbookViewId="0">
      <selection activeCell="I7" sqref="I7"/>
    </sheetView>
  </sheetViews>
  <sheetFormatPr baseColWidth="10" defaultColWidth="9.140625" defaultRowHeight="15" x14ac:dyDescent="0.25"/>
  <sheetData>
    <row r="2" spans="2:4" x14ac:dyDescent="0.25">
      <c r="B2" t="str">
        <f>+Summary!P6</f>
        <v>Average income</v>
      </c>
      <c r="C2" t="str">
        <f>+Summary!Q6</f>
        <v>Average tax</v>
      </c>
      <c r="D2" t="str">
        <f>+Summary!R6</f>
        <v>Average tax rate</v>
      </c>
    </row>
    <row r="3" spans="2:4" x14ac:dyDescent="0.25">
      <c r="B3" s="3">
        <f>+Summary!P31</f>
        <v>895688.31956730015</v>
      </c>
      <c r="C3" s="3">
        <f>+Summary!Q31</f>
        <v>0.29930221177421373</v>
      </c>
      <c r="D3" s="7">
        <f>+Summary!R31</f>
        <v>3.3415888678642616E-7</v>
      </c>
    </row>
    <row r="4" spans="2:4" x14ac:dyDescent="0.25">
      <c r="B4" s="3">
        <f>+Summary!P32</f>
        <v>4136279.0363280908</v>
      </c>
      <c r="C4" s="3">
        <f>+Summary!Q32</f>
        <v>68968.06304310821</v>
      </c>
      <c r="D4" s="7">
        <f>+Summary!R32</f>
        <v>1.6673938686770369E-2</v>
      </c>
    </row>
    <row r="5" spans="2:4" x14ac:dyDescent="0.25">
      <c r="B5" s="3">
        <f>+Summary!P33</f>
        <v>7874124.6082318807</v>
      </c>
      <c r="C5" s="3">
        <f>+Summary!Q33</f>
        <v>343176.60893246561</v>
      </c>
      <c r="D5" s="7">
        <f>+Summary!R33</f>
        <v>4.358282679114539E-2</v>
      </c>
    </row>
    <row r="6" spans="2:4" x14ac:dyDescent="0.25">
      <c r="B6" s="3">
        <f>+Summary!P34</f>
        <v>12038267.49490797</v>
      </c>
      <c r="C6" s="3">
        <f>+Summary!Q34</f>
        <v>850851.65006073064</v>
      </c>
      <c r="D6" s="7">
        <f>+Summary!R34</f>
        <v>7.0678912095999677E-2</v>
      </c>
    </row>
    <row r="7" spans="2:4" x14ac:dyDescent="0.25">
      <c r="B7" s="3">
        <f>+Summary!P35</f>
        <v>16091681.569589948</v>
      </c>
      <c r="C7" s="3">
        <f>+Summary!Q35</f>
        <v>1638065.5917395775</v>
      </c>
      <c r="D7" s="7">
        <f>+Summary!R35</f>
        <v>0.10179579956610582</v>
      </c>
    </row>
    <row r="8" spans="2:4" x14ac:dyDescent="0.25">
      <c r="B8" s="3">
        <f>+Summary!P36</f>
        <v>20941447.717125311</v>
      </c>
      <c r="C8" s="3">
        <f>+Summary!Q36</f>
        <v>3029296.5656962655</v>
      </c>
      <c r="D8" s="7">
        <f>+Summary!R36</f>
        <v>0.14465554657995275</v>
      </c>
    </row>
    <row r="9" spans="2:4" x14ac:dyDescent="0.25">
      <c r="B9" s="3">
        <f>+Summary!P37</f>
        <v>27145823.086058173</v>
      </c>
      <c r="C9" s="3">
        <f>+Summary!Q37</f>
        <v>5144796.4710130384</v>
      </c>
      <c r="D9" s="7">
        <f>+Summary!R37</f>
        <v>0.18952442350717871</v>
      </c>
    </row>
    <row r="10" spans="2:4" x14ac:dyDescent="0.25">
      <c r="B10" s="3">
        <f>+Summary!P38</f>
        <v>54707212.784763113</v>
      </c>
      <c r="C10" s="3">
        <f>+Summary!Q38</f>
        <v>16053137.120165065</v>
      </c>
      <c r="D10" s="7">
        <f>+Summary!R38</f>
        <v>0.29343730566796733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2:D10"/>
  <sheetViews>
    <sheetView workbookViewId="0">
      <selection activeCell="D3" sqref="D3:D10"/>
    </sheetView>
  </sheetViews>
  <sheetFormatPr baseColWidth="10" defaultColWidth="9.140625" defaultRowHeight="15" x14ac:dyDescent="0.25"/>
  <sheetData>
    <row r="2" spans="2:4" x14ac:dyDescent="0.25">
      <c r="B2" t="str">
        <f>+Summary!P6</f>
        <v>Average income</v>
      </c>
      <c r="C2" t="str">
        <f>+Summary!Q6</f>
        <v>Average tax</v>
      </c>
      <c r="D2" t="str">
        <f>+Summary!R6</f>
        <v>Average tax rate</v>
      </c>
    </row>
    <row r="3" spans="2:4" x14ac:dyDescent="0.25">
      <c r="B3" s="3">
        <f>+Summary!P39</f>
        <v>856691.48549454496</v>
      </c>
      <c r="C3" s="3">
        <f>+Summary!Q39</f>
        <v>0.80324936981968675</v>
      </c>
      <c r="D3" s="7">
        <f>+Summary!R39</f>
        <v>9.376180146765349E-7</v>
      </c>
    </row>
    <row r="4" spans="2:4" x14ac:dyDescent="0.25">
      <c r="B4" s="3">
        <f>+Summary!P40</f>
        <v>3973889.5166753693</v>
      </c>
      <c r="C4" s="3">
        <f>+Summary!Q40</f>
        <v>66567.728376044353</v>
      </c>
      <c r="D4" s="7">
        <f>+Summary!R40</f>
        <v>1.6751278085792423E-2</v>
      </c>
    </row>
    <row r="5" spans="2:4" x14ac:dyDescent="0.25">
      <c r="B5" s="3">
        <f>+Summary!P41</f>
        <v>7549494.5726382108</v>
      </c>
      <c r="C5" s="3">
        <f>+Summary!Q41</f>
        <v>329136.9417068215</v>
      </c>
      <c r="D5" s="7">
        <f>+Summary!R41</f>
        <v>4.359721548773865E-2</v>
      </c>
    </row>
    <row r="6" spans="2:4" x14ac:dyDescent="0.25">
      <c r="B6" s="3">
        <f>+Summary!P42</f>
        <v>11563313.093507022</v>
      </c>
      <c r="C6" s="3">
        <f>+Summary!Q42</f>
        <v>819243.97227763082</v>
      </c>
      <c r="D6" s="7">
        <f>+Summary!R42</f>
        <v>7.0848550554049164E-2</v>
      </c>
    </row>
    <row r="7" spans="2:4" x14ac:dyDescent="0.25">
      <c r="B7" s="3">
        <f>+Summary!P43</f>
        <v>15457362.956226835</v>
      </c>
      <c r="C7" s="3">
        <f>+Summary!Q43</f>
        <v>1578722.4297931693</v>
      </c>
      <c r="D7" s="7">
        <f>+Summary!R43</f>
        <v>0.10213400786821776</v>
      </c>
    </row>
    <row r="8" spans="2:4" x14ac:dyDescent="0.25">
      <c r="B8" s="3">
        <f>+Summary!P44</f>
        <v>20074134.121593904</v>
      </c>
      <c r="C8" s="3">
        <f>+Summary!Q44</f>
        <v>2904137.919934988</v>
      </c>
      <c r="D8" s="7">
        <f>+Summary!R44</f>
        <v>0.14467064443945227</v>
      </c>
    </row>
    <row r="9" spans="2:4" x14ac:dyDescent="0.25">
      <c r="B9" s="3">
        <f>+Summary!P45</f>
        <v>25974936.759055588</v>
      </c>
      <c r="C9" s="3">
        <f>+Summary!Q45</f>
        <v>4916570.1247459659</v>
      </c>
      <c r="D9" s="7">
        <f>+Summary!R45</f>
        <v>0.18928131261116207</v>
      </c>
    </row>
    <row r="10" spans="2:4" x14ac:dyDescent="0.25">
      <c r="B10" s="3">
        <f>+Summary!P46</f>
        <v>50560187.498390876</v>
      </c>
      <c r="C10" s="3">
        <f>+Summary!Q46</f>
        <v>14641307.382884728</v>
      </c>
      <c r="D10" s="7">
        <f>+Summary!R46</f>
        <v>0.28958174617826921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2:D10"/>
  <sheetViews>
    <sheetView workbookViewId="0">
      <selection activeCell="D3" sqref="D3:D10"/>
    </sheetView>
  </sheetViews>
  <sheetFormatPr baseColWidth="10" defaultColWidth="9.140625" defaultRowHeight="15" x14ac:dyDescent="0.25"/>
  <sheetData>
    <row r="2" spans="2:4" x14ac:dyDescent="0.25">
      <c r="B2" t="str">
        <f>+Summary!P6</f>
        <v>Average income</v>
      </c>
      <c r="C2" t="str">
        <f>+Summary!Q6</f>
        <v>Average tax</v>
      </c>
      <c r="D2" t="str">
        <f>+Summary!R6</f>
        <v>Average tax rate</v>
      </c>
    </row>
    <row r="3" spans="2:4" x14ac:dyDescent="0.25">
      <c r="B3" s="3">
        <f>+Summary!P47</f>
        <v>908234.00174283818</v>
      </c>
      <c r="C3" s="3">
        <f>+Summary!Q47</f>
        <v>0.14632058494512087</v>
      </c>
      <c r="D3" s="7">
        <f>+Summary!R47</f>
        <v>1.6110450023269533E-7</v>
      </c>
    </row>
    <row r="4" spans="2:4" x14ac:dyDescent="0.25">
      <c r="B4" s="3">
        <f>+Summary!P48</f>
        <v>4152906.8559722193</v>
      </c>
      <c r="C4" s="3">
        <f>+Summary!Q48</f>
        <v>70134.240869788147</v>
      </c>
      <c r="D4" s="7">
        <f>+Summary!R48</f>
        <v>1.6887987932820932E-2</v>
      </c>
    </row>
    <row r="5" spans="2:4" x14ac:dyDescent="0.25">
      <c r="B5" s="3">
        <f>+Summary!P49</f>
        <v>7863404.2470265608</v>
      </c>
      <c r="C5" s="3">
        <f>+Summary!Q49</f>
        <v>343206.63349926966</v>
      </c>
      <c r="D5" s="7">
        <f>+Summary!R49</f>
        <v>4.3646062534435842E-2</v>
      </c>
    </row>
    <row r="6" spans="2:4" x14ac:dyDescent="0.25">
      <c r="B6" s="3">
        <f>+Summary!P50</f>
        <v>12037986.139427507</v>
      </c>
      <c r="C6" s="3">
        <f>+Summary!Q50</f>
        <v>853016.2374621561</v>
      </c>
      <c r="D6" s="7">
        <f>+Summary!R50</f>
        <v>7.0860377108120112E-2</v>
      </c>
    </row>
    <row r="7" spans="2:4" x14ac:dyDescent="0.25">
      <c r="B7" s="3">
        <f>+Summary!P51</f>
        <v>16108443.873650208</v>
      </c>
      <c r="C7" s="3">
        <f>+Summary!Q51</f>
        <v>1648253.6540780109</v>
      </c>
      <c r="D7" s="7">
        <f>+Summary!R51</f>
        <v>0.1023223389550485</v>
      </c>
    </row>
    <row r="8" spans="2:4" x14ac:dyDescent="0.25">
      <c r="B8" s="3">
        <f>+Summary!P52</f>
        <v>20932103.765873116</v>
      </c>
      <c r="C8" s="3">
        <f>+Summary!Q52</f>
        <v>3035513.6688249344</v>
      </c>
      <c r="D8" s="7">
        <f>+Summary!R52</f>
        <v>0.14501713266747307</v>
      </c>
    </row>
    <row r="9" spans="2:4" x14ac:dyDescent="0.25">
      <c r="B9" s="3">
        <f>+Summary!P53</f>
        <v>27024843.066322915</v>
      </c>
      <c r="C9" s="3">
        <f>+Summary!Q53</f>
        <v>5112477.674637448</v>
      </c>
      <c r="D9" s="7">
        <f>+Summary!R53</f>
        <v>0.18917696069837225</v>
      </c>
    </row>
    <row r="10" spans="2:4" x14ac:dyDescent="0.25">
      <c r="B10" s="3">
        <f>+Summary!P54</f>
        <v>52673462.18613632</v>
      </c>
      <c r="C10" s="3">
        <f>+Summary!Q54</f>
        <v>15252425.352384629</v>
      </c>
      <c r="D10" s="7">
        <f>+Summary!R54</f>
        <v>0.28956565069685269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2:D10"/>
  <sheetViews>
    <sheetView workbookViewId="0">
      <selection activeCell="D3" sqref="D3:D10"/>
    </sheetView>
  </sheetViews>
  <sheetFormatPr baseColWidth="10" defaultColWidth="9.140625" defaultRowHeight="15" x14ac:dyDescent="0.25"/>
  <sheetData>
    <row r="2" spans="2:4" x14ac:dyDescent="0.25">
      <c r="B2" t="str">
        <f>+Summary!P6</f>
        <v>Average income</v>
      </c>
      <c r="C2" t="str">
        <f>+Summary!Q6</f>
        <v>Average tax</v>
      </c>
      <c r="D2" t="str">
        <f>+Summary!R6</f>
        <v>Average tax rate</v>
      </c>
    </row>
    <row r="3" spans="2:4" x14ac:dyDescent="0.25">
      <c r="B3" s="3">
        <f>+Summary!P55</f>
        <v>1001727.6439672925</v>
      </c>
      <c r="C3" s="3">
        <f>+Summary!Q55</f>
        <v>1.0010478583198004</v>
      </c>
      <c r="D3" s="7">
        <f>+Summary!R55</f>
        <v>9.9932138675458732E-7</v>
      </c>
    </row>
    <row r="4" spans="2:4" x14ac:dyDescent="0.25">
      <c r="B4" s="3">
        <f>+Summary!P56</f>
        <v>4474186.5425340086</v>
      </c>
      <c r="C4" s="3">
        <f>+Summary!Q56</f>
        <v>75654.492046455343</v>
      </c>
      <c r="D4" s="7">
        <f>+Summary!R56</f>
        <v>1.6909105449056116E-2</v>
      </c>
    </row>
    <row r="5" spans="2:4" x14ac:dyDescent="0.25">
      <c r="B5" s="3">
        <f>+Summary!P57</f>
        <v>8449188.4836309534</v>
      </c>
      <c r="C5" s="3">
        <f>+Summary!Q57</f>
        <v>367726.04130291007</v>
      </c>
      <c r="D5" s="7">
        <f>+Summary!R57</f>
        <v>4.3522054457102548E-2</v>
      </c>
    </row>
    <row r="6" spans="2:4" x14ac:dyDescent="0.25">
      <c r="B6" s="3">
        <f>+Summary!P58</f>
        <v>12969620.993764106</v>
      </c>
      <c r="C6" s="3">
        <f>+Summary!Q58</f>
        <v>919631.32351416862</v>
      </c>
      <c r="D6" s="7">
        <f>+Summary!R58</f>
        <v>7.090656881618472E-2</v>
      </c>
    </row>
    <row r="7" spans="2:4" x14ac:dyDescent="0.25">
      <c r="B7" s="3">
        <f>+Summary!P59</f>
        <v>17318983.326575827</v>
      </c>
      <c r="C7" s="3">
        <f>+Summary!Q59</f>
        <v>1768645.4729144201</v>
      </c>
      <c r="D7" s="7">
        <f>+Summary!R59</f>
        <v>0.10212178391559794</v>
      </c>
    </row>
    <row r="8" spans="2:4" x14ac:dyDescent="0.25">
      <c r="B8" s="3">
        <f>+Summary!P60</f>
        <v>22535983.086974565</v>
      </c>
      <c r="C8" s="3">
        <f>+Summary!Q60</f>
        <v>3267627.8010397968</v>
      </c>
      <c r="D8" s="7">
        <f>+Summary!R60</f>
        <v>0.14499601763228306</v>
      </c>
    </row>
    <row r="9" spans="2:4" x14ac:dyDescent="0.25">
      <c r="B9" s="3">
        <f>+Summary!P61</f>
        <v>29149850.772298593</v>
      </c>
      <c r="C9" s="3">
        <f>+Summary!Q61</f>
        <v>5523849.9681224991</v>
      </c>
      <c r="D9" s="7">
        <f>+Summary!R61</f>
        <v>0.18949839610746383</v>
      </c>
    </row>
    <row r="10" spans="2:4" x14ac:dyDescent="0.25">
      <c r="B10" s="3">
        <f>+Summary!P62</f>
        <v>58260143.831324503</v>
      </c>
      <c r="C10" s="3">
        <f>+Summary!Q62</f>
        <v>17049347.331456956</v>
      </c>
      <c r="D10" s="7">
        <f>+Summary!R62</f>
        <v>0.29264169653989253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B2:D10"/>
  <sheetViews>
    <sheetView workbookViewId="0">
      <selection activeCell="D3" sqref="D3:D10"/>
    </sheetView>
  </sheetViews>
  <sheetFormatPr baseColWidth="10" defaultColWidth="9.140625" defaultRowHeight="15" x14ac:dyDescent="0.25"/>
  <sheetData>
    <row r="2" spans="2:4" x14ac:dyDescent="0.25">
      <c r="B2" t="str">
        <f>+Summary!P6</f>
        <v>Average income</v>
      </c>
      <c r="C2" t="str">
        <f>+Summary!Q6</f>
        <v>Average tax</v>
      </c>
      <c r="D2" t="str">
        <f>+Summary!R6</f>
        <v>Average tax rate</v>
      </c>
    </row>
    <row r="3" spans="2:4" x14ac:dyDescent="0.25">
      <c r="B3" s="3">
        <f>+Summary!P63</f>
        <v>1240953.9770537238</v>
      </c>
      <c r="C3" s="3">
        <f>+Summary!Q63</f>
        <v>0.64777405064767024</v>
      </c>
      <c r="D3" s="7">
        <f>+Summary!R63</f>
        <v>5.219968368090629E-7</v>
      </c>
    </row>
    <row r="4" spans="2:4" x14ac:dyDescent="0.25">
      <c r="B4" s="3">
        <f>+Summary!P64</f>
        <v>4656701.7893249663</v>
      </c>
      <c r="C4" s="3">
        <f>+Summary!Q64</f>
        <v>75639.950563711202</v>
      </c>
      <c r="D4" s="7">
        <f>+Summary!R64</f>
        <v>1.6243245538528663E-2</v>
      </c>
    </row>
    <row r="5" spans="2:4" x14ac:dyDescent="0.25">
      <c r="B5" s="3">
        <f>+Summary!P65</f>
        <v>8929201.1892026551</v>
      </c>
      <c r="C5" s="3">
        <f>+Summary!Q65</f>
        <v>386274.63716231752</v>
      </c>
      <c r="D5" s="7">
        <f>+Summary!R65</f>
        <v>4.325970811693744E-2</v>
      </c>
    </row>
    <row r="6" spans="2:4" x14ac:dyDescent="0.25">
      <c r="B6" s="3">
        <f>+Summary!P66</f>
        <v>13725086.98923995</v>
      </c>
      <c r="C6" s="3">
        <f>+Summary!Q66</f>
        <v>969623.62988065335</v>
      </c>
      <c r="D6" s="7">
        <f>+Summary!R66</f>
        <v>7.0646082654398382E-2</v>
      </c>
    </row>
    <row r="7" spans="2:4" x14ac:dyDescent="0.25">
      <c r="B7" s="3">
        <f>+Summary!P67</f>
        <v>18389232.340989817</v>
      </c>
      <c r="C7" s="3">
        <f>+Summary!Q67</f>
        <v>1877932.003575657</v>
      </c>
      <c r="D7" s="7">
        <f>+Summary!R67</f>
        <v>0.10212128319188857</v>
      </c>
    </row>
    <row r="8" spans="2:4" x14ac:dyDescent="0.25">
      <c r="B8" s="3">
        <f>+Summary!P68</f>
        <v>24007154.543994427</v>
      </c>
      <c r="C8" s="3">
        <f>+Summary!Q68</f>
        <v>3495303.7683419809</v>
      </c>
      <c r="D8" s="7">
        <f>+Summary!R68</f>
        <v>0.14559425449345298</v>
      </c>
    </row>
    <row r="9" spans="2:4" x14ac:dyDescent="0.25">
      <c r="B9" s="3">
        <f>+Summary!P69</f>
        <v>30880215.211981568</v>
      </c>
      <c r="C9" s="3">
        <f>+Summary!Q69</f>
        <v>5840363.0866359444</v>
      </c>
      <c r="D9" s="7">
        <f>+Summary!R69</f>
        <v>0.1891296108703891</v>
      </c>
    </row>
    <row r="10" spans="2:4" x14ac:dyDescent="0.25">
      <c r="B10" s="3">
        <f>+Summary!P70</f>
        <v>59440934.243430525</v>
      </c>
      <c r="C10" s="3">
        <f>+Summary!Q70</f>
        <v>17119701.045610409</v>
      </c>
      <c r="D10" s="7">
        <f>+Summary!R70</f>
        <v>0.28801197799986628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B2:D10"/>
  <sheetViews>
    <sheetView workbookViewId="0">
      <selection activeCell="B3" sqref="B3:D10"/>
    </sheetView>
  </sheetViews>
  <sheetFormatPr baseColWidth="10" defaultColWidth="9.140625" defaultRowHeight="15" x14ac:dyDescent="0.25"/>
  <sheetData>
    <row r="2" spans="2:4" x14ac:dyDescent="0.25">
      <c r="B2" t="str">
        <f>+Summary!P6</f>
        <v>Average income</v>
      </c>
      <c r="C2" t="str">
        <f>+Summary!Q6</f>
        <v>Average tax</v>
      </c>
      <c r="D2" t="str">
        <f>+Summary!R6</f>
        <v>Average tax rate</v>
      </c>
    </row>
    <row r="3" spans="2:4" x14ac:dyDescent="0.25">
      <c r="B3" s="3">
        <f>+Summary!P71</f>
        <v>1318936.8439406881</v>
      </c>
      <c r="C3" s="3">
        <f>+Summary!Q71</f>
        <v>1.0157368942137603</v>
      </c>
      <c r="D3" s="3">
        <f>+Summary!R71</f>
        <v>7.7011791647200173E-7</v>
      </c>
    </row>
    <row r="4" spans="2:4" x14ac:dyDescent="0.25">
      <c r="B4" s="3">
        <f>+Summary!P72</f>
        <v>4796302.2904412961</v>
      </c>
      <c r="C4" s="3">
        <f>+Summary!Q72</f>
        <v>62538.131385175649</v>
      </c>
      <c r="D4" s="3">
        <f>+Summary!R72</f>
        <v>1.3038821908662823E-2</v>
      </c>
    </row>
    <row r="5" spans="2:4" x14ac:dyDescent="0.25">
      <c r="B5" s="3">
        <f>+Summary!P73</f>
        <v>9177399.2951547634</v>
      </c>
      <c r="C5" s="3">
        <f>+Summary!Q73</f>
        <v>317389.48820936616</v>
      </c>
      <c r="D5" s="3">
        <f>+Summary!R73</f>
        <v>3.458381595937892E-2</v>
      </c>
    </row>
    <row r="6" spans="2:4" x14ac:dyDescent="0.25">
      <c r="B6" s="3">
        <f>+Summary!P74</f>
        <v>14123971.066453917</v>
      </c>
      <c r="C6" s="3">
        <f>+Summary!Q74</f>
        <v>831151.92886361654</v>
      </c>
      <c r="D6" s="3">
        <f>+Summary!R74</f>
        <v>5.8846901126673901E-2</v>
      </c>
    </row>
    <row r="7" spans="2:4" x14ac:dyDescent="0.25">
      <c r="B7" s="3">
        <f>+Summary!P75</f>
        <v>18901927.744531445</v>
      </c>
      <c r="C7" s="3">
        <f>+Summary!Q75</f>
        <v>1679160.177562542</v>
      </c>
      <c r="D7" s="3">
        <f>+Summary!R75</f>
        <v>8.8835392889931197E-2</v>
      </c>
    </row>
    <row r="8" spans="2:4" x14ac:dyDescent="0.25">
      <c r="B8" s="3">
        <f>+Summary!P76</f>
        <v>24651484.338962112</v>
      </c>
      <c r="C8" s="3">
        <f>+Summary!Q76</f>
        <v>3230418.3451466276</v>
      </c>
      <c r="D8" s="3">
        <f>+Summary!R76</f>
        <v>0.13104356316754906</v>
      </c>
    </row>
    <row r="9" spans="2:4" x14ac:dyDescent="0.25">
      <c r="B9" s="3">
        <f>+Summary!P77</f>
        <v>31792285.246645238</v>
      </c>
      <c r="C9" s="3">
        <f>+Summary!Q77</f>
        <v>5555077.8396559646</v>
      </c>
      <c r="D9" s="3">
        <f>+Summary!R77</f>
        <v>0.17473037237051536</v>
      </c>
    </row>
    <row r="10" spans="2:4" x14ac:dyDescent="0.25">
      <c r="B10" s="3">
        <f>+Summary!P78</f>
        <v>61154895.791459128</v>
      </c>
      <c r="C10" s="3">
        <f>+Summary!Q78</f>
        <v>17104863.277456399</v>
      </c>
      <c r="D10" s="3">
        <f>+Summary!R78</f>
        <v>0.27969736610760865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B2:D10"/>
  <sheetViews>
    <sheetView workbookViewId="0">
      <selection activeCell="B3" sqref="B3:D10"/>
    </sheetView>
  </sheetViews>
  <sheetFormatPr baseColWidth="10" defaultColWidth="9.140625" defaultRowHeight="15" x14ac:dyDescent="0.25"/>
  <sheetData>
    <row r="2" spans="2:4" x14ac:dyDescent="0.25">
      <c r="B2" t="str">
        <f>+Summary!P6</f>
        <v>Average income</v>
      </c>
      <c r="C2" t="str">
        <f>+Summary!Q6</f>
        <v>Average tax</v>
      </c>
      <c r="D2" t="str">
        <f>+Summary!R6</f>
        <v>Average tax rate</v>
      </c>
    </row>
    <row r="3" spans="2:4" x14ac:dyDescent="0.25">
      <c r="B3" s="3">
        <f>+Summary!P79</f>
        <v>1514888.0317794485</v>
      </c>
      <c r="C3" s="3">
        <f>+Summary!Q79</f>
        <v>0.88544495284539648</v>
      </c>
      <c r="D3" s="3">
        <f>+Summary!R79</f>
        <v>5.8449531204317275E-7</v>
      </c>
    </row>
    <row r="4" spans="2:4" x14ac:dyDescent="0.25">
      <c r="B4" s="3">
        <f>+Summary!P80</f>
        <v>5373403.3716334207</v>
      </c>
      <c r="C4" s="3">
        <f>+Summary!Q80</f>
        <v>69792.862847408076</v>
      </c>
      <c r="D4" s="3">
        <f>+Summary!R80</f>
        <v>1.2988576888876344E-2</v>
      </c>
    </row>
    <row r="5" spans="2:4" x14ac:dyDescent="0.25">
      <c r="B5" s="3">
        <f>+Summary!P81</f>
        <v>10290712.740502642</v>
      </c>
      <c r="C5" s="3">
        <f>+Summary!Q81</f>
        <v>355540.39323535655</v>
      </c>
      <c r="D5" s="3">
        <f>+Summary!R81</f>
        <v>3.4549637347858805E-2</v>
      </c>
    </row>
    <row r="6" spans="2:4" x14ac:dyDescent="0.25">
      <c r="B6" s="3">
        <f>+Summary!P82</f>
        <v>15855871.342215557</v>
      </c>
      <c r="C6" s="3">
        <f>+Summary!Q82</f>
        <v>933665.65912594262</v>
      </c>
      <c r="D6" s="3">
        <f>+Summary!R82</f>
        <v>5.8884538034822409E-2</v>
      </c>
    </row>
    <row r="7" spans="2:4" x14ac:dyDescent="0.25">
      <c r="B7" s="3">
        <f>+Summary!P83</f>
        <v>21219581.474987835</v>
      </c>
      <c r="C7" s="3">
        <f>+Summary!Q83</f>
        <v>1886107.0620193928</v>
      </c>
      <c r="D7" s="3">
        <f>+Summary!R83</f>
        <v>8.8885215019090011E-2</v>
      </c>
    </row>
    <row r="8" spans="2:4" x14ac:dyDescent="0.25">
      <c r="B8" s="3">
        <f>+Summary!P84</f>
        <v>27682660.099938091</v>
      </c>
      <c r="C8" s="3">
        <f>+Summary!Q84</f>
        <v>3630900.1389441984</v>
      </c>
      <c r="D8" s="3">
        <f>+Summary!R84</f>
        <v>0.13116153309819811</v>
      </c>
    </row>
    <row r="9" spans="2:4" x14ac:dyDescent="0.25">
      <c r="B9" s="3">
        <f>+Summary!P85</f>
        <v>35755932.372644417</v>
      </c>
      <c r="C9" s="3">
        <f>+Summary!Q85</f>
        <v>6263147.1278150184</v>
      </c>
      <c r="D9" s="3">
        <f>+Summary!R85</f>
        <v>0.17516385987480856</v>
      </c>
    </row>
    <row r="10" spans="2:4" x14ac:dyDescent="0.25">
      <c r="B10" s="3">
        <f>+Summary!P86</f>
        <v>69005965.751868501</v>
      </c>
      <c r="C10" s="3">
        <f>+Summary!Q86</f>
        <v>19350388.618258778</v>
      </c>
      <c r="D10" s="3">
        <f>+Summary!R86</f>
        <v>0.28041616992708807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B2:D10"/>
  <sheetViews>
    <sheetView workbookViewId="0">
      <selection activeCell="B3" sqref="B3:D10"/>
    </sheetView>
  </sheetViews>
  <sheetFormatPr baseColWidth="10" defaultColWidth="9.140625" defaultRowHeight="15" x14ac:dyDescent="0.25"/>
  <sheetData>
    <row r="2" spans="2:4" x14ac:dyDescent="0.25">
      <c r="B2" t="str">
        <f>+Summary!P6</f>
        <v>Average income</v>
      </c>
      <c r="C2" t="str">
        <f>+Summary!Q6</f>
        <v>Average tax</v>
      </c>
      <c r="D2" t="str">
        <f>+Summary!R6</f>
        <v>Average tax rate</v>
      </c>
    </row>
    <row r="3" spans="2:4" x14ac:dyDescent="0.25">
      <c r="B3" s="3">
        <f>+Summary!P87</f>
        <v>1630677.3780876889</v>
      </c>
      <c r="C3" s="3">
        <f>+Summary!Q87</f>
        <v>1.184190867526659</v>
      </c>
      <c r="D3" s="3">
        <f>+Summary!R87</f>
        <v>7.2619568005252581E-7</v>
      </c>
    </row>
    <row r="4" spans="2:4" x14ac:dyDescent="0.25">
      <c r="B4" s="3">
        <f>+Summary!P88</f>
        <v>5812672.669984526</v>
      </c>
      <c r="C4" s="3">
        <f>+Summary!Q88</f>
        <v>75323.836561720411</v>
      </c>
      <c r="D4" s="3">
        <f>+Summary!R88</f>
        <v>1.2958554668092282E-2</v>
      </c>
    </row>
    <row r="5" spans="2:4" x14ac:dyDescent="0.25">
      <c r="B5" s="3">
        <f>+Summary!P89</f>
        <v>11132343.236926397</v>
      </c>
      <c r="C5" s="3">
        <f>+Summary!Q89</f>
        <v>384079.49939613172</v>
      </c>
      <c r="D5" s="3">
        <f>+Summary!R89</f>
        <v>3.4501226850617191E-2</v>
      </c>
    </row>
    <row r="6" spans="2:4" x14ac:dyDescent="0.25">
      <c r="B6" s="3">
        <f>+Summary!P90</f>
        <v>17159939.380537454</v>
      </c>
      <c r="C6" s="3">
        <f>+Summary!Q90</f>
        <v>1009585.9939025607</v>
      </c>
      <c r="D6" s="3">
        <f>+Summary!R90</f>
        <v>5.883389046511539E-2</v>
      </c>
    </row>
    <row r="7" spans="2:4" x14ac:dyDescent="0.25">
      <c r="B7" s="3">
        <f>+Summary!P91</f>
        <v>22958500.392615937</v>
      </c>
      <c r="C7" s="3">
        <f>+Summary!Q91</f>
        <v>2037618.3484916706</v>
      </c>
      <c r="D7" s="3">
        <f>+Summary!R91</f>
        <v>8.8752240505526339E-2</v>
      </c>
    </row>
    <row r="8" spans="2:4" x14ac:dyDescent="0.25">
      <c r="B8" s="3">
        <f>+Summary!P92</f>
        <v>30024341.142900016</v>
      </c>
      <c r="C8" s="3">
        <f>+Summary!Q92</f>
        <v>3945703.9251738107</v>
      </c>
      <c r="D8" s="3">
        <f>+Summary!R92</f>
        <v>0.13141683630606057</v>
      </c>
    </row>
    <row r="9" spans="2:4" x14ac:dyDescent="0.25">
      <c r="B9" s="3">
        <f>+Summary!P93</f>
        <v>38754123.572176673</v>
      </c>
      <c r="C9" s="3">
        <f>+Summary!Q93</f>
        <v>6794393.3207469163</v>
      </c>
      <c r="D9" s="3">
        <f>+Summary!R93</f>
        <v>0.17532052577818885</v>
      </c>
    </row>
    <row r="10" spans="2:4" x14ac:dyDescent="0.25">
      <c r="B10" s="3">
        <f>+Summary!P94</f>
        <v>76762853.038402051</v>
      </c>
      <c r="C10" s="3">
        <f>+Summary!Q94</f>
        <v>21772845.429133136</v>
      </c>
      <c r="D10" s="3">
        <f>+Summary!R94</f>
        <v>0.28363778269472167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B2:D10"/>
  <sheetViews>
    <sheetView workbookViewId="0">
      <selection activeCell="B2" sqref="B2"/>
    </sheetView>
  </sheetViews>
  <sheetFormatPr baseColWidth="10" defaultColWidth="9.140625" defaultRowHeight="15" x14ac:dyDescent="0.25"/>
  <sheetData>
    <row r="2" spans="2:4" x14ac:dyDescent="0.25">
      <c r="B2" t="str">
        <f>+Summary!P6</f>
        <v>Average income</v>
      </c>
      <c r="C2" t="str">
        <f>+Summary!Q6</f>
        <v>Average tax</v>
      </c>
      <c r="D2" t="str">
        <f>+Summary!R6</f>
        <v>Average tax rate</v>
      </c>
    </row>
    <row r="3" spans="2:4" x14ac:dyDescent="0.25">
      <c r="B3" s="3">
        <f>+Summary!P95</f>
        <v>1713761.3848632765</v>
      </c>
      <c r="C3" s="3">
        <f>+Summary!Q95</f>
        <v>0</v>
      </c>
      <c r="D3" s="3">
        <f>+Summary!R95</f>
        <v>0</v>
      </c>
    </row>
    <row r="4" spans="2:4" x14ac:dyDescent="0.25">
      <c r="B4" s="3">
        <f>+Summary!P96</f>
        <v>6133424.0695544863</v>
      </c>
      <c r="C4" s="3">
        <f>+Summary!Q96</f>
        <v>79451.941508205389</v>
      </c>
      <c r="D4" s="3">
        <f>+Summary!R96</f>
        <v>1.295392925830686E-2</v>
      </c>
    </row>
    <row r="5" spans="2:4" x14ac:dyDescent="0.25">
      <c r="B5" s="3">
        <f>+Summary!P97</f>
        <v>11752111.941111676</v>
      </c>
      <c r="C5" s="3">
        <f>+Summary!Q97</f>
        <v>405636.52270270273</v>
      </c>
      <c r="D5" s="3">
        <f>+Summary!R97</f>
        <v>3.4516053347287301E-2</v>
      </c>
    </row>
    <row r="6" spans="2:4" x14ac:dyDescent="0.25">
      <c r="B6" s="3">
        <f>+Summary!P98</f>
        <v>18104783.208738245</v>
      </c>
      <c r="C6" s="3">
        <f>+Summary!Q98</f>
        <v>1064786.1551631507</v>
      </c>
      <c r="D6" s="3">
        <f>+Summary!R98</f>
        <v>5.8812422269117995E-2</v>
      </c>
    </row>
    <row r="7" spans="2:4" x14ac:dyDescent="0.25">
      <c r="B7" s="3">
        <f>+Summary!P99</f>
        <v>24272721.030202921</v>
      </c>
      <c r="C7" s="3">
        <f>+Summary!Q99</f>
        <v>2160342.0584236607</v>
      </c>
      <c r="D7" s="3">
        <f>+Summary!R99</f>
        <v>8.9002879229548013E-2</v>
      </c>
    </row>
    <row r="8" spans="2:4" x14ac:dyDescent="0.25">
      <c r="B8" s="3">
        <f>+Summary!P100</f>
        <v>31691611.975114644</v>
      </c>
      <c r="C8" s="3">
        <f>+Summary!Q100</f>
        <v>4166023.5407048711</v>
      </c>
      <c r="D8" s="3">
        <f>+Summary!R100</f>
        <v>0.13145508483368337</v>
      </c>
    </row>
    <row r="9" spans="2:4" x14ac:dyDescent="0.25">
      <c r="B9" s="3">
        <f>+Summary!P101</f>
        <v>40906491.499019146</v>
      </c>
      <c r="C9" s="3">
        <f>+Summary!Q101</f>
        <v>7171959.0408712709</v>
      </c>
      <c r="D9" s="3">
        <f>+Summary!R101</f>
        <v>0.17532569472606174</v>
      </c>
    </row>
    <row r="10" spans="2:4" x14ac:dyDescent="0.25">
      <c r="B10" s="3">
        <f>+Summary!P102</f>
        <v>79896920.859080866</v>
      </c>
      <c r="C10" s="3">
        <f>+Summary!Q102</f>
        <v>22496108.524655133</v>
      </c>
      <c r="D10" s="3">
        <f>+Summary!R102</f>
        <v>0.28156414894051934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B2:D10"/>
  <sheetViews>
    <sheetView workbookViewId="0">
      <selection activeCell="B2" sqref="B2:D10"/>
    </sheetView>
  </sheetViews>
  <sheetFormatPr baseColWidth="10" defaultColWidth="9.140625" defaultRowHeight="15" x14ac:dyDescent="0.25"/>
  <sheetData>
    <row r="2" spans="2:4" x14ac:dyDescent="0.25">
      <c r="B2" t="str">
        <f>+Summary!P6</f>
        <v>Average income</v>
      </c>
      <c r="C2" t="str">
        <f>+Summary!Q6</f>
        <v>Average tax</v>
      </c>
      <c r="D2" t="str">
        <f>+Summary!R6</f>
        <v>Average tax rate</v>
      </c>
    </row>
    <row r="3" spans="2:4" x14ac:dyDescent="0.25">
      <c r="B3" s="3">
        <f>+Summary!P103</f>
        <v>1743754.7486241204</v>
      </c>
      <c r="C3" s="3">
        <f>+Summary!Q103</f>
        <v>0.73738229091066276</v>
      </c>
      <c r="D3" s="3">
        <f>+Summary!R103</f>
        <v>4.2287041310854154E-7</v>
      </c>
    </row>
    <row r="4" spans="2:4" x14ac:dyDescent="0.25">
      <c r="B4" s="3">
        <f>+Summary!P104</f>
        <v>6364742.6574968304</v>
      </c>
      <c r="C4" s="3">
        <f>+Summary!Q104</f>
        <v>82992.458267486087</v>
      </c>
      <c r="D4" s="3">
        <f>+Summary!R104</f>
        <v>1.3039405162710212E-2</v>
      </c>
    </row>
    <row r="5" spans="2:4" x14ac:dyDescent="0.25">
      <c r="B5" s="3">
        <f>+Summary!P105</f>
        <v>12146820.14951006</v>
      </c>
      <c r="C5" s="3">
        <f>+Summary!Q105</f>
        <v>418805.96126369317</v>
      </c>
      <c r="D5" s="3">
        <f>+Summary!R105</f>
        <v>3.4478650058928029E-2</v>
      </c>
    </row>
    <row r="6" spans="2:4" x14ac:dyDescent="0.25">
      <c r="B6" s="3">
        <f>+Summary!P106</f>
        <v>18689797.37811029</v>
      </c>
      <c r="C6" s="3">
        <f>+Summary!Q106</f>
        <v>1096231.5872560702</v>
      </c>
      <c r="D6" s="3">
        <f>+Summary!R106</f>
        <v>5.8654011334547132E-2</v>
      </c>
    </row>
    <row r="7" spans="2:4" x14ac:dyDescent="0.25">
      <c r="B7" s="3">
        <f>+Summary!P107</f>
        <v>25093858.109985422</v>
      </c>
      <c r="C7" s="3">
        <f>+Summary!Q107</f>
        <v>2231608.4802572057</v>
      </c>
      <c r="D7" s="3">
        <f>+Summary!R107</f>
        <v>8.893046539420725E-2</v>
      </c>
    </row>
    <row r="8" spans="2:4" x14ac:dyDescent="0.25">
      <c r="B8" s="3">
        <f>+Summary!P108</f>
        <v>32803146.204384618</v>
      </c>
      <c r="C8" s="3">
        <f>+Summary!Q108</f>
        <v>4315261.1768990951</v>
      </c>
      <c r="D8" s="3">
        <f>+Summary!R108</f>
        <v>0.13155022234794958</v>
      </c>
    </row>
    <row r="9" spans="2:4" x14ac:dyDescent="0.25">
      <c r="B9" s="3">
        <f>+Summary!P109</f>
        <v>71829740.616219953</v>
      </c>
      <c r="C9" s="3">
        <f>+Summary!Q109</f>
        <v>17723526.198241465</v>
      </c>
      <c r="D9" s="3">
        <f>+Summary!R109</f>
        <v>0.24674356396380048</v>
      </c>
    </row>
    <row r="10" spans="2:4" x14ac:dyDescent="0.25">
      <c r="B10" s="3">
        <f>+Summary!P110</f>
        <v>1869700.7856705945</v>
      </c>
      <c r="C10" s="3">
        <f>+Summary!Q110</f>
        <v>3.3724494599882131E-2</v>
      </c>
      <c r="D10" s="3">
        <f>+Summary!R110</f>
        <v>1.8037375209096017E-8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DBA0CF-74E9-47AC-A06C-493C9AEBBA04}">
  <dimension ref="B2:D10"/>
  <sheetViews>
    <sheetView workbookViewId="0">
      <selection activeCell="J23" sqref="J23"/>
    </sheetView>
  </sheetViews>
  <sheetFormatPr baseColWidth="10" defaultRowHeight="15" x14ac:dyDescent="0.25"/>
  <sheetData>
    <row r="2" spans="2:4" x14ac:dyDescent="0.25">
      <c r="B2" t="str">
        <f>+Summary!P6</f>
        <v>Average income</v>
      </c>
      <c r="C2" t="str">
        <f>+Summary!Q6</f>
        <v>Average tax</v>
      </c>
      <c r="D2" t="str">
        <f>+Summary!R6</f>
        <v>Average tax rate</v>
      </c>
    </row>
    <row r="3" spans="2:4" x14ac:dyDescent="0.25">
      <c r="B3" s="3">
        <f>+Summary!P110</f>
        <v>1869700.7856705945</v>
      </c>
      <c r="C3" s="3">
        <f>+Summary!Q110</f>
        <v>3.3724494599882131E-2</v>
      </c>
      <c r="D3" s="3">
        <f>+Summary!R110</f>
        <v>1.8037375209096017E-8</v>
      </c>
    </row>
    <row r="4" spans="2:4" x14ac:dyDescent="0.25">
      <c r="B4" s="3">
        <f>+Summary!P111</f>
        <v>6761441.561280787</v>
      </c>
      <c r="C4" s="3">
        <f>+Summary!Q111</f>
        <v>88625.157060950369</v>
      </c>
      <c r="D4" s="3">
        <f>+Summary!R111</f>
        <v>1.3107435190811962E-2</v>
      </c>
    </row>
    <row r="5" spans="2:4" x14ac:dyDescent="0.25">
      <c r="B5" s="3">
        <f>+Summary!P112</f>
        <v>12853646.431744691</v>
      </c>
      <c r="C5" s="3">
        <f>+Summary!Q112</f>
        <v>442361.85021811491</v>
      </c>
      <c r="D5" s="3">
        <f>+Summary!R112</f>
        <v>3.4415280719532822E-2</v>
      </c>
    </row>
    <row r="6" spans="2:4" x14ac:dyDescent="0.25">
      <c r="B6" s="3">
        <f>+Summary!P113</f>
        <v>19808907.31224218</v>
      </c>
      <c r="C6" s="3">
        <f>+Summary!Q113</f>
        <v>1162207.7548356855</v>
      </c>
      <c r="D6" s="3">
        <f>+Summary!R113</f>
        <v>5.8670967384325381E-2</v>
      </c>
    </row>
    <row r="7" spans="2:4" x14ac:dyDescent="0.25">
      <c r="B7" s="3">
        <f>+Summary!P114</f>
        <v>26578759.470601227</v>
      </c>
      <c r="C7" s="3">
        <f>+Summary!Q114</f>
        <v>2361811.9015247985</v>
      </c>
      <c r="D7" s="3">
        <f>+Summary!R114</f>
        <v>8.8860877955466627E-2</v>
      </c>
    </row>
    <row r="8" spans="2:4" x14ac:dyDescent="0.25">
      <c r="B8" s="3">
        <f>+Summary!P115</f>
        <v>34737994.861725427</v>
      </c>
      <c r="C8" s="3">
        <f>+Summary!Q115</f>
        <v>4565973.3245638311</v>
      </c>
      <c r="D8" s="3">
        <f>+Summary!R115</f>
        <v>0.13144032471473055</v>
      </c>
    </row>
    <row r="9" spans="2:4" x14ac:dyDescent="0.25">
      <c r="B9" s="3">
        <f>+Summary!P116</f>
        <v>76750560.500231385</v>
      </c>
      <c r="C9" s="3">
        <f>+Summary!Q116</f>
        <v>19004766.481917094</v>
      </c>
      <c r="D9" s="3">
        <f>+Summary!R116</f>
        <v>0.24761729892330622</v>
      </c>
    </row>
    <row r="10" spans="2:4" x14ac:dyDescent="0.25">
      <c r="B10" s="3">
        <f>+Summary!P117</f>
        <v>1970488.1658694758</v>
      </c>
      <c r="C10" s="3">
        <f>+Summary!Q117</f>
        <v>0.10098735868831551</v>
      </c>
      <c r="D10" s="3">
        <f>+Summary!R117</f>
        <v>5.1249918897003344E-8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65EA8C-2BBE-4467-9B9C-F9F2BACD0303}">
  <dimension ref="B2:D10"/>
  <sheetViews>
    <sheetView workbookViewId="0">
      <selection activeCell="C4" sqref="C4"/>
    </sheetView>
  </sheetViews>
  <sheetFormatPr baseColWidth="10" defaultRowHeight="15" x14ac:dyDescent="0.25"/>
  <sheetData>
    <row r="2" spans="2:4" x14ac:dyDescent="0.25">
      <c r="B2" t="str">
        <f>+Summary!P6</f>
        <v>Average income</v>
      </c>
      <c r="C2" t="str">
        <f>+Summary!Q6</f>
        <v>Average tax</v>
      </c>
      <c r="D2" t="str">
        <f>+Summary!R6</f>
        <v>Average tax rate</v>
      </c>
    </row>
    <row r="3" spans="2:4" x14ac:dyDescent="0.25">
      <c r="B3" s="3">
        <f>+Summary!P117</f>
        <v>1970488.1658694758</v>
      </c>
      <c r="C3" s="3">
        <f>+Summary!Q117</f>
        <v>0.10098735868831551</v>
      </c>
      <c r="D3" s="3">
        <f>+Summary!R117</f>
        <v>5.1249918897003344E-8</v>
      </c>
    </row>
    <row r="4" spans="2:4" x14ac:dyDescent="0.25">
      <c r="B4" s="3">
        <f>+Summary!P118</f>
        <v>7124708.7309002625</v>
      </c>
      <c r="C4" s="3">
        <f>+Summary!Q118</f>
        <v>93476.600006291352</v>
      </c>
      <c r="D4" s="3">
        <f>+Summary!R118</f>
        <v>1.3120059154261014E-2</v>
      </c>
    </row>
    <row r="5" spans="2:4" x14ac:dyDescent="0.25">
      <c r="B5" s="3">
        <f>+Summary!P119</f>
        <v>13541316.629626596</v>
      </c>
      <c r="C5" s="3">
        <f>+Summary!Q119</f>
        <v>466197.052224282</v>
      </c>
      <c r="D5" s="3">
        <f>+Summary!R119</f>
        <v>3.4427749160248197E-2</v>
      </c>
    </row>
    <row r="6" spans="2:4" x14ac:dyDescent="0.25">
      <c r="B6" s="3">
        <f>+Summary!P120</f>
        <v>20853806.00651326</v>
      </c>
      <c r="C6" s="3">
        <f>+Summary!Q120</f>
        <v>1222832.932885231</v>
      </c>
      <c r="D6" s="3">
        <f>+Summary!R120</f>
        <v>5.8638357549854643E-2</v>
      </c>
    </row>
    <row r="7" spans="2:4" x14ac:dyDescent="0.25">
      <c r="B7" s="3">
        <f>+Summary!P121</f>
        <v>27990820.858981814</v>
      </c>
      <c r="C7" s="3">
        <f>+Summary!Q121</f>
        <v>2486968.5828754921</v>
      </c>
      <c r="D7" s="3">
        <f>+Summary!R121</f>
        <v>8.8849433727037797E-2</v>
      </c>
    </row>
    <row r="8" spans="2:4" x14ac:dyDescent="0.25">
      <c r="B8" s="3">
        <f>+Summary!P122</f>
        <v>36572277.887207165</v>
      </c>
      <c r="C8" s="3">
        <f>+Summary!Q122</f>
        <v>4804436.3959840229</v>
      </c>
      <c r="D8" s="3">
        <f>+Summary!R122</f>
        <v>0.13136825687482254</v>
      </c>
    </row>
    <row r="9" spans="2:4" x14ac:dyDescent="0.25">
      <c r="B9" s="3">
        <f>+Summary!P123</f>
        <v>84550917.748220041</v>
      </c>
      <c r="C9" s="3">
        <f>+Summary!Q123</f>
        <v>21320780.7334086</v>
      </c>
      <c r="D9" s="3">
        <f>+Summary!R123</f>
        <v>0.2521649829620855</v>
      </c>
    </row>
    <row r="10" spans="2:4" x14ac:dyDescent="0.25">
      <c r="B10" s="3">
        <f>+Summary!P124</f>
        <v>2084837.6819779424</v>
      </c>
      <c r="C10" s="3">
        <f>+Summary!Q124</f>
        <v>0</v>
      </c>
      <c r="D10" s="3">
        <f>+Summary!R124</f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8664C9-B3D6-4613-B2EE-2DCD8C32E2BB}">
  <dimension ref="B2:D11"/>
  <sheetViews>
    <sheetView tabSelected="1" workbookViewId="0">
      <selection activeCell="K16" sqref="K16"/>
    </sheetView>
  </sheetViews>
  <sheetFormatPr baseColWidth="10" defaultRowHeight="15" x14ac:dyDescent="0.25"/>
  <sheetData>
    <row r="2" spans="2:4" x14ac:dyDescent="0.25">
      <c r="B2" t="str">
        <f>+Summary!P6</f>
        <v>Average income</v>
      </c>
      <c r="C2" t="str">
        <f>+Summary!Q6</f>
        <v>Average tax</v>
      </c>
      <c r="D2" t="str">
        <f>+Summary!R6</f>
        <v>Average tax rate</v>
      </c>
    </row>
    <row r="3" spans="2:4" x14ac:dyDescent="0.25">
      <c r="B3" s="3">
        <f>+Summary!P124</f>
        <v>2084837.6819779424</v>
      </c>
      <c r="C3" s="3">
        <f>+Summary!Q124</f>
        <v>0</v>
      </c>
      <c r="D3" s="3">
        <f>+Summary!R124</f>
        <v>0</v>
      </c>
    </row>
    <row r="4" spans="2:4" x14ac:dyDescent="0.25">
      <c r="B4" s="3">
        <f>+Summary!P125</f>
        <v>7545319.9044264816</v>
      </c>
      <c r="C4" s="3">
        <f>+Summary!Q125</f>
        <v>99272.939949130377</v>
      </c>
      <c r="D4" s="3">
        <f>+Summary!R125</f>
        <v>1.3156889463479428E-2</v>
      </c>
    </row>
    <row r="5" spans="2:4" x14ac:dyDescent="0.25">
      <c r="B5" s="3">
        <f>+Summary!P126</f>
        <v>14581996.848640759</v>
      </c>
      <c r="C5" s="3">
        <f>+Summary!Q126</f>
        <v>513896.35005929176</v>
      </c>
      <c r="D5" s="3">
        <f>+Summary!R126</f>
        <v>3.5241836587503718E-2</v>
      </c>
    </row>
    <row r="6" spans="2:4" x14ac:dyDescent="0.25">
      <c r="B6" s="3">
        <f>+Summary!P127</f>
        <v>22015217.023831718</v>
      </c>
      <c r="C6" s="3">
        <f>+Summary!Q127</f>
        <v>1287900.7072481639</v>
      </c>
      <c r="D6" s="3">
        <f>+Summary!R127</f>
        <v>5.8500477458568637E-2</v>
      </c>
    </row>
    <row r="7" spans="2:4" x14ac:dyDescent="0.25">
      <c r="B7" s="3">
        <f>+Summary!P128</f>
        <v>29541909.529938266</v>
      </c>
      <c r="C7" s="3">
        <f>+Summary!Q128</f>
        <v>2615848.507990425</v>
      </c>
      <c r="D7" s="3">
        <f>+Summary!R128</f>
        <v>8.8547035368159943E-2</v>
      </c>
    </row>
    <row r="8" spans="2:4" x14ac:dyDescent="0.25">
      <c r="B8" s="3">
        <f>+Summary!P129</f>
        <v>38629177.677142195</v>
      </c>
      <c r="C8" s="3">
        <f>+Summary!Q129</f>
        <v>5066106.4345745919</v>
      </c>
      <c r="D8" s="3">
        <f>+Summary!R129</f>
        <v>0.13114714677377995</v>
      </c>
    </row>
    <row r="9" spans="2:4" x14ac:dyDescent="0.25">
      <c r="B9" s="3">
        <f>+Summary!P130</f>
        <v>63294677.086052053</v>
      </c>
      <c r="C9" s="3">
        <f>+Summary!Q130</f>
        <v>13401554.984405821</v>
      </c>
      <c r="D9" s="3">
        <f>+Summary!R130</f>
        <v>0.21173273332583378</v>
      </c>
    </row>
    <row r="10" spans="2:4" x14ac:dyDescent="0.25">
      <c r="B10" s="3">
        <f>+Summary!P131</f>
        <v>217304472.45547795</v>
      </c>
      <c r="C10" s="3">
        <f>+Summary!Q131</f>
        <v>72229858.582008585</v>
      </c>
      <c r="D10" s="3">
        <f>+Summary!R131</f>
        <v>0.33239011496556875</v>
      </c>
    </row>
    <row r="11" spans="2:4" x14ac:dyDescent="0.25">
      <c r="B11" s="3">
        <f>+Summary!P132</f>
        <v>2406438.5216620341</v>
      </c>
      <c r="C11" s="3">
        <f>+Summary!Q132</f>
        <v>0</v>
      </c>
      <c r="D11" s="3">
        <f>+Summary!R132</f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17</vt:i4>
      </vt:variant>
    </vt:vector>
  </HeadingPairs>
  <TitlesOfParts>
    <vt:vector size="17" baseType="lpstr">
      <vt:lpstr>Summary</vt:lpstr>
      <vt:lpstr>2005</vt:lpstr>
      <vt:lpstr>2006</vt:lpstr>
      <vt:lpstr>2007</vt:lpstr>
      <vt:lpstr>2008</vt:lpstr>
      <vt:lpstr>2009</vt:lpstr>
      <vt:lpstr>2010</vt:lpstr>
      <vt:lpstr>2011</vt:lpstr>
      <vt:lpstr>2012</vt:lpstr>
      <vt:lpstr>2013</vt:lpstr>
      <vt:lpstr>2014</vt:lpstr>
      <vt:lpstr>2015</vt:lpstr>
      <vt:lpstr>2016</vt:lpstr>
      <vt:lpstr>2017</vt:lpstr>
      <vt:lpstr>2018</vt:lpstr>
      <vt:lpstr>2019</vt:lpstr>
      <vt:lpstr>2020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Mauricio de Rosa</cp:lastModifiedBy>
  <dcterms:created xsi:type="dcterms:W3CDTF">2020-02-19T09:47:25Z</dcterms:created>
  <dcterms:modified xsi:type="dcterms:W3CDTF">2023-09-25T17:35:52Z</dcterms:modified>
</cp:coreProperties>
</file>