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Mauricio de Rosa\Dropbox (Desigualdad)\LATAM-WIL\Data\Tax-data\BRA\eff-tax-rate\"/>
    </mc:Choice>
  </mc:AlternateContent>
  <xr:revisionPtr revIDLastSave="0" documentId="13_ncr:1_{EFF9E9ED-E641-4A50-A1F2-6089FFC7272B}" xr6:coauthVersionLast="36" xr6:coauthVersionMax="46" xr10:uidLastSave="{00000000-0000-0000-0000-000000000000}"/>
  <bookViews>
    <workbookView xWindow="0" yWindow="465" windowWidth="28800" windowHeight="16455" firstSheet="1" activeTab="13" xr2:uid="{00000000-000D-0000-FFFF-FFFF00000000}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3" r:id="rId12"/>
    <sheet name="2019" sheetId="14" r:id="rId13"/>
    <sheet name="2020" sheetId="15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5" l="1"/>
  <c r="D42" i="15"/>
  <c r="E41" i="15"/>
  <c r="E40" i="15"/>
  <c r="D40" i="15"/>
  <c r="E39" i="15"/>
  <c r="E37" i="15"/>
  <c r="B37" i="15"/>
  <c r="E36" i="15"/>
  <c r="D35" i="15"/>
  <c r="B35" i="15"/>
  <c r="E34" i="15"/>
  <c r="E33" i="15"/>
  <c r="E31" i="15"/>
  <c r="B31" i="15"/>
  <c r="E29" i="15"/>
  <c r="E28" i="15"/>
  <c r="D28" i="15"/>
  <c r="D27" i="15"/>
  <c r="B27" i="15"/>
  <c r="E26" i="15"/>
  <c r="D26" i="15"/>
  <c r="AM2" i="15"/>
  <c r="AN2" i="15"/>
  <c r="AO2" i="15"/>
  <c r="AM3" i="15"/>
  <c r="AN3" i="15"/>
  <c r="AO3" i="15"/>
  <c r="AM4" i="15"/>
  <c r="AN4" i="15"/>
  <c r="AO4" i="15"/>
  <c r="AM5" i="15"/>
  <c r="AN5" i="15"/>
  <c r="AO5" i="15"/>
  <c r="AM6" i="15"/>
  <c r="AN6" i="15"/>
  <c r="AO6" i="15"/>
  <c r="AM7" i="15"/>
  <c r="AN7" i="15"/>
  <c r="AO7" i="15"/>
  <c r="AM8" i="15"/>
  <c r="AN8" i="15"/>
  <c r="AO8" i="15"/>
  <c r="AM9" i="15"/>
  <c r="AN9" i="15"/>
  <c r="AO9" i="15"/>
  <c r="AM10" i="15"/>
  <c r="AN10" i="15"/>
  <c r="AO10" i="15"/>
  <c r="AM11" i="15"/>
  <c r="AN11" i="15"/>
  <c r="AO11" i="15"/>
  <c r="AM12" i="15"/>
  <c r="AN12" i="15"/>
  <c r="AO12" i="15"/>
  <c r="AM13" i="15"/>
  <c r="AN13" i="15"/>
  <c r="AO13" i="15"/>
  <c r="AM14" i="15"/>
  <c r="AN14" i="15"/>
  <c r="AO14" i="15"/>
  <c r="AM15" i="15"/>
  <c r="AN15" i="15"/>
  <c r="AO15" i="15"/>
  <c r="AM16" i="15"/>
  <c r="AN16" i="15"/>
  <c r="AO16" i="15"/>
  <c r="AM17" i="15"/>
  <c r="AN17" i="15"/>
  <c r="AO17" i="15"/>
  <c r="AM18" i="15"/>
  <c r="AN18" i="15"/>
  <c r="AO18" i="15"/>
  <c r="AM19" i="15"/>
  <c r="AN19" i="15"/>
  <c r="AO19" i="15"/>
  <c r="AM20" i="15"/>
  <c r="AN20" i="15"/>
  <c r="AO20" i="15"/>
  <c r="AM21" i="15"/>
  <c r="AN21" i="15"/>
  <c r="AO21" i="15"/>
  <c r="AM22" i="15"/>
  <c r="AN22" i="15"/>
  <c r="AO22" i="15"/>
  <c r="AM23" i="15"/>
  <c r="AN23" i="15"/>
  <c r="AO23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U17" i="15"/>
  <c r="V17" i="15"/>
  <c r="W17" i="15"/>
  <c r="X17" i="15"/>
  <c r="Y17" i="15"/>
  <c r="Z17" i="15"/>
  <c r="AA17" i="15"/>
  <c r="AB17" i="15"/>
  <c r="AC17" i="15"/>
  <c r="AD17" i="15"/>
  <c r="AE17" i="15"/>
  <c r="AF17" i="15"/>
  <c r="AG17" i="15"/>
  <c r="AH17" i="15"/>
  <c r="AI17" i="15"/>
  <c r="AJ17" i="15"/>
  <c r="AK17" i="15"/>
  <c r="AL17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C2" i="15"/>
  <c r="D2" i="15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C6" i="15"/>
  <c r="D6" i="15"/>
  <c r="C26" i="15" s="1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C7" i="15"/>
  <c r="E27" i="15" s="1"/>
  <c r="D7" i="15"/>
  <c r="C27" i="15" s="1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C8" i="15"/>
  <c r="D8" i="15"/>
  <c r="C28" i="15" s="1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C9" i="15"/>
  <c r="D9" i="15"/>
  <c r="C29" i="15" s="1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D29" i="15" s="1"/>
  <c r="T9" i="15"/>
  <c r="C10" i="15"/>
  <c r="E30" i="15" s="1"/>
  <c r="D10" i="15"/>
  <c r="C30" i="15" s="1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D30" i="15" s="1"/>
  <c r="T10" i="15"/>
  <c r="C11" i="15"/>
  <c r="D11" i="15"/>
  <c r="C31" i="15" s="1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D31" i="15" s="1"/>
  <c r="T11" i="15"/>
  <c r="C12" i="15"/>
  <c r="E32" i="15" s="1"/>
  <c r="D12" i="15"/>
  <c r="C32" i="15" s="1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D32" i="15" s="1"/>
  <c r="F32" i="15" s="1"/>
  <c r="O32" i="15" s="1"/>
  <c r="T12" i="15"/>
  <c r="C13" i="15"/>
  <c r="D13" i="15"/>
  <c r="C33" i="15" s="1"/>
  <c r="N33" i="15" s="1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D33" i="15" s="1"/>
  <c r="T13" i="15"/>
  <c r="C14" i="15"/>
  <c r="D14" i="15"/>
  <c r="C34" i="15" s="1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D34" i="15" s="1"/>
  <c r="F34" i="15" s="1"/>
  <c r="O34" i="15" s="1"/>
  <c r="T14" i="15"/>
  <c r="C15" i="15"/>
  <c r="E35" i="15" s="1"/>
  <c r="D15" i="15"/>
  <c r="C35" i="15" s="1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C16" i="15"/>
  <c r="D16" i="15"/>
  <c r="C36" i="15" s="1"/>
  <c r="N36" i="15" s="1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D36" i="15" s="1"/>
  <c r="T16" i="15"/>
  <c r="C17" i="15"/>
  <c r="D17" i="15"/>
  <c r="C37" i="15" s="1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D37" i="15" s="1"/>
  <c r="T17" i="15"/>
  <c r="C18" i="15"/>
  <c r="E38" i="15" s="1"/>
  <c r="D18" i="15"/>
  <c r="C38" i="15" s="1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D38" i="15" s="1"/>
  <c r="F38" i="15" s="1"/>
  <c r="O38" i="15" s="1"/>
  <c r="T18" i="15"/>
  <c r="C19" i="15"/>
  <c r="D19" i="15"/>
  <c r="C39" i="15" s="1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D39" i="15" s="1"/>
  <c r="T19" i="15"/>
  <c r="C20" i="15"/>
  <c r="D20" i="15"/>
  <c r="C40" i="15" s="1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C21" i="15"/>
  <c r="D21" i="15"/>
  <c r="C41" i="15" s="1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D41" i="15" s="1"/>
  <c r="T21" i="15"/>
  <c r="C22" i="15"/>
  <c r="D22" i="15"/>
  <c r="C42" i="15" s="1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C23" i="15"/>
  <c r="E43" i="15" s="1"/>
  <c r="D23" i="15"/>
  <c r="C43" i="15" s="1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D43" i="15" s="1"/>
  <c r="T23" i="15"/>
  <c r="B22" i="15"/>
  <c r="B42" i="15" s="1"/>
  <c r="B23" i="15"/>
  <c r="B43" i="15" s="1"/>
  <c r="B19" i="15"/>
  <c r="B39" i="15" s="1"/>
  <c r="B20" i="15"/>
  <c r="B40" i="15" s="1"/>
  <c r="B21" i="15"/>
  <c r="B41" i="15" s="1"/>
  <c r="B16" i="15"/>
  <c r="B36" i="15" s="1"/>
  <c r="B17" i="15"/>
  <c r="B18" i="15"/>
  <c r="B38" i="15" s="1"/>
  <c r="B3" i="15"/>
  <c r="B4" i="15"/>
  <c r="B5" i="15"/>
  <c r="B6" i="15"/>
  <c r="B26" i="15" s="1"/>
  <c r="B7" i="15"/>
  <c r="B8" i="15"/>
  <c r="B28" i="15" s="1"/>
  <c r="B9" i="15"/>
  <c r="B29" i="15" s="1"/>
  <c r="B10" i="15"/>
  <c r="B30" i="15" s="1"/>
  <c r="B11" i="15"/>
  <c r="B12" i="15"/>
  <c r="B32" i="15" s="1"/>
  <c r="B13" i="15"/>
  <c r="B33" i="15" s="1"/>
  <c r="B14" i="15"/>
  <c r="B34" i="15" s="1"/>
  <c r="B15" i="15"/>
  <c r="B2" i="15"/>
  <c r="G29" i="15" l="1"/>
  <c r="I29" i="15"/>
  <c r="J29" i="15" s="1"/>
  <c r="K29" i="15" s="1"/>
  <c r="N35" i="15"/>
  <c r="I35" i="15"/>
  <c r="J35" i="15" s="1"/>
  <c r="K35" i="15" s="1"/>
  <c r="G35" i="15"/>
  <c r="I37" i="15"/>
  <c r="J37" i="15" s="1"/>
  <c r="K37" i="15" s="1"/>
  <c r="N37" i="15"/>
  <c r="G37" i="15"/>
  <c r="G42" i="15"/>
  <c r="F42" i="15"/>
  <c r="O42" i="15" s="1"/>
  <c r="N42" i="15"/>
  <c r="I42" i="15"/>
  <c r="J42" i="15" s="1"/>
  <c r="K42" i="15" s="1"/>
  <c r="N38" i="15"/>
  <c r="G38" i="15"/>
  <c r="I38" i="15"/>
  <c r="J38" i="15" s="1"/>
  <c r="K38" i="15" s="1"/>
  <c r="N34" i="15"/>
  <c r="G34" i="15"/>
  <c r="N32" i="15"/>
  <c r="G32" i="15"/>
  <c r="I32" i="15"/>
  <c r="J32" i="15" s="1"/>
  <c r="K32" i="15" s="1"/>
  <c r="I30" i="15"/>
  <c r="J30" i="15" s="1"/>
  <c r="K30" i="15" s="1"/>
  <c r="N30" i="15"/>
  <c r="I28" i="15"/>
  <c r="J28" i="15" s="1"/>
  <c r="K28" i="15" s="1"/>
  <c r="G28" i="15"/>
  <c r="I26" i="15"/>
  <c r="J26" i="15" s="1"/>
  <c r="K26" i="15" s="1"/>
  <c r="G26" i="15"/>
  <c r="I41" i="15"/>
  <c r="J41" i="15" s="1"/>
  <c r="K41" i="15" s="1"/>
  <c r="G41" i="15"/>
  <c r="N31" i="15"/>
  <c r="I31" i="15"/>
  <c r="J31" i="15" s="1"/>
  <c r="K31" i="15" s="1"/>
  <c r="G31" i="15"/>
  <c r="N43" i="15"/>
  <c r="I43" i="15"/>
  <c r="J43" i="15" s="1"/>
  <c r="K43" i="15" s="1"/>
  <c r="G43" i="15"/>
  <c r="G27" i="15"/>
  <c r="I27" i="15"/>
  <c r="J27" i="15" s="1"/>
  <c r="K27" i="15" s="1"/>
  <c r="F41" i="15"/>
  <c r="O41" i="15" s="1"/>
  <c r="F39" i="15"/>
  <c r="O39" i="15" s="1"/>
  <c r="F37" i="15"/>
  <c r="O37" i="15" s="1"/>
  <c r="F31" i="15"/>
  <c r="O31" i="15" s="1"/>
  <c r="F29" i="15"/>
  <c r="O29" i="15" s="1"/>
  <c r="G39" i="15"/>
  <c r="I39" i="15"/>
  <c r="J39" i="15" s="1"/>
  <c r="K39" i="15" s="1"/>
  <c r="F27" i="15"/>
  <c r="O27" i="15" s="1"/>
  <c r="I40" i="15"/>
  <c r="J40" i="15" s="1"/>
  <c r="K40" i="15" s="1"/>
  <c r="G40" i="15"/>
  <c r="F43" i="15"/>
  <c r="O43" i="15" s="1"/>
  <c r="F33" i="15"/>
  <c r="O33" i="15" s="1"/>
  <c r="F35" i="15"/>
  <c r="O35" i="15" s="1"/>
  <c r="N29" i="15"/>
  <c r="N41" i="15"/>
  <c r="N26" i="15"/>
  <c r="F26" i="15"/>
  <c r="O26" i="15" s="1"/>
  <c r="F28" i="15"/>
  <c r="O28" i="15" s="1"/>
  <c r="F40" i="15"/>
  <c r="O40" i="15" s="1"/>
  <c r="F36" i="15"/>
  <c r="O36" i="15" s="1"/>
  <c r="N28" i="15"/>
  <c r="G36" i="15"/>
  <c r="N40" i="15"/>
  <c r="N27" i="15"/>
  <c r="I36" i="15"/>
  <c r="J36" i="15" s="1"/>
  <c r="K36" i="15" s="1"/>
  <c r="N39" i="15"/>
  <c r="G33" i="15"/>
  <c r="I34" i="15"/>
  <c r="J34" i="15" s="1"/>
  <c r="K34" i="15" s="1"/>
  <c r="I33" i="15"/>
  <c r="J33" i="15" s="1"/>
  <c r="K33" i="15" s="1"/>
  <c r="G30" i="15"/>
  <c r="F30" i="15"/>
  <c r="O30" i="15" s="1"/>
  <c r="O26" i="14"/>
  <c r="N26" i="14"/>
  <c r="K26" i="14"/>
  <c r="J26" i="14"/>
  <c r="I26" i="14"/>
  <c r="G26" i="13"/>
  <c r="G26" i="14"/>
  <c r="F26" i="14"/>
  <c r="E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26" i="14"/>
  <c r="C26" i="14"/>
  <c r="D26" i="13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26" i="13"/>
  <c r="AI1" i="14"/>
  <c r="AJ1" i="14"/>
  <c r="AK1" i="14"/>
  <c r="AL1" i="14"/>
  <c r="AM1" i="14"/>
  <c r="AN1" i="14"/>
  <c r="AO1" i="14"/>
  <c r="AI2" i="14"/>
  <c r="AJ2" i="14"/>
  <c r="AK2" i="14"/>
  <c r="AL2" i="14"/>
  <c r="AM2" i="14"/>
  <c r="AN2" i="14"/>
  <c r="AO2" i="14"/>
  <c r="AI3" i="14"/>
  <c r="AJ3" i="14"/>
  <c r="AK3" i="14"/>
  <c r="AL3" i="14"/>
  <c r="AM3" i="14"/>
  <c r="AN3" i="14"/>
  <c r="AO3" i="14"/>
  <c r="AI4" i="14"/>
  <c r="AJ4" i="14"/>
  <c r="AK4" i="14"/>
  <c r="AL4" i="14"/>
  <c r="AM4" i="14"/>
  <c r="AN4" i="14"/>
  <c r="AO4" i="14"/>
  <c r="AI5" i="14"/>
  <c r="AJ5" i="14"/>
  <c r="AK5" i="14"/>
  <c r="AL5" i="14"/>
  <c r="AM5" i="14"/>
  <c r="AN5" i="14"/>
  <c r="AO5" i="14"/>
  <c r="AI6" i="14"/>
  <c r="AJ6" i="14"/>
  <c r="AK6" i="14"/>
  <c r="AL6" i="14"/>
  <c r="AM6" i="14"/>
  <c r="AN6" i="14"/>
  <c r="AO6" i="14"/>
  <c r="AI7" i="14"/>
  <c r="AJ7" i="14"/>
  <c r="AK7" i="14"/>
  <c r="AL7" i="14"/>
  <c r="AM7" i="14"/>
  <c r="AN7" i="14"/>
  <c r="AO7" i="14"/>
  <c r="AI8" i="14"/>
  <c r="AJ8" i="14"/>
  <c r="AK8" i="14"/>
  <c r="AL8" i="14"/>
  <c r="AM8" i="14"/>
  <c r="AN8" i="14"/>
  <c r="AO8" i="14"/>
  <c r="AI9" i="14"/>
  <c r="AJ9" i="14"/>
  <c r="AK9" i="14"/>
  <c r="AL9" i="14"/>
  <c r="AM9" i="14"/>
  <c r="AN9" i="14"/>
  <c r="AO9" i="14"/>
  <c r="AI10" i="14"/>
  <c r="AJ10" i="14"/>
  <c r="AK10" i="14"/>
  <c r="AL10" i="14"/>
  <c r="AM10" i="14"/>
  <c r="AN10" i="14"/>
  <c r="AO10" i="14"/>
  <c r="AI11" i="14"/>
  <c r="AJ11" i="14"/>
  <c r="AK11" i="14"/>
  <c r="AL11" i="14"/>
  <c r="AM11" i="14"/>
  <c r="AN11" i="14"/>
  <c r="AO11" i="14"/>
  <c r="AI12" i="14"/>
  <c r="AJ12" i="14"/>
  <c r="AK12" i="14"/>
  <c r="AL12" i="14"/>
  <c r="AM12" i="14"/>
  <c r="AN12" i="14"/>
  <c r="AO12" i="14"/>
  <c r="AI13" i="14"/>
  <c r="AJ13" i="14"/>
  <c r="AK13" i="14"/>
  <c r="AL13" i="14"/>
  <c r="AM13" i="14"/>
  <c r="AN13" i="14"/>
  <c r="AO13" i="14"/>
  <c r="AI14" i="14"/>
  <c r="AJ14" i="14"/>
  <c r="AK14" i="14"/>
  <c r="AL14" i="14"/>
  <c r="AM14" i="14"/>
  <c r="AN14" i="14"/>
  <c r="AO14" i="14"/>
  <c r="AI15" i="14"/>
  <c r="AJ15" i="14"/>
  <c r="AK15" i="14"/>
  <c r="AL15" i="14"/>
  <c r="AM15" i="14"/>
  <c r="AN15" i="14"/>
  <c r="AO15" i="14"/>
  <c r="AI16" i="14"/>
  <c r="AJ16" i="14"/>
  <c r="AK16" i="14"/>
  <c r="AL16" i="14"/>
  <c r="AM16" i="14"/>
  <c r="AN16" i="14"/>
  <c r="AO16" i="14"/>
  <c r="AI17" i="14"/>
  <c r="AJ17" i="14"/>
  <c r="AK17" i="14"/>
  <c r="AL17" i="14"/>
  <c r="AM17" i="14"/>
  <c r="AN17" i="14"/>
  <c r="AO17" i="14"/>
  <c r="AI18" i="14"/>
  <c r="AJ18" i="14"/>
  <c r="AK18" i="14"/>
  <c r="AL18" i="14"/>
  <c r="AM18" i="14"/>
  <c r="AN18" i="14"/>
  <c r="AO18" i="14"/>
  <c r="AI19" i="14"/>
  <c r="AJ19" i="14"/>
  <c r="AK19" i="14"/>
  <c r="AL19" i="14"/>
  <c r="AM19" i="14"/>
  <c r="AN19" i="14"/>
  <c r="AO19" i="14"/>
  <c r="AI20" i="14"/>
  <c r="AJ20" i="14"/>
  <c r="AK20" i="14"/>
  <c r="AL20" i="14"/>
  <c r="AM20" i="14"/>
  <c r="AN20" i="14"/>
  <c r="AO20" i="14"/>
  <c r="AI21" i="14"/>
  <c r="AJ21" i="14"/>
  <c r="AK21" i="14"/>
  <c r="AL21" i="14"/>
  <c r="AM21" i="14"/>
  <c r="AN21" i="14"/>
  <c r="AO21" i="14"/>
  <c r="AI22" i="14"/>
  <c r="AJ22" i="14"/>
  <c r="AK22" i="14"/>
  <c r="AL22" i="14"/>
  <c r="AM22" i="14"/>
  <c r="AN22" i="14"/>
  <c r="AO22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E1" i="14"/>
  <c r="AF1" i="14"/>
  <c r="AG1" i="14"/>
  <c r="AH1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B2" i="14"/>
  <c r="B3" i="14"/>
  <c r="B4" i="14"/>
  <c r="B5" i="14"/>
  <c r="B26" i="14" s="1"/>
  <c r="B6" i="14"/>
  <c r="B7" i="14"/>
  <c r="B8" i="14"/>
  <c r="B9" i="14"/>
  <c r="B30" i="14" s="1"/>
  <c r="B10" i="14"/>
  <c r="B11" i="14"/>
  <c r="B12" i="14"/>
  <c r="B33" i="14" s="1"/>
  <c r="B13" i="14"/>
  <c r="B34" i="14" s="1"/>
  <c r="B14" i="14"/>
  <c r="B15" i="14"/>
  <c r="B16" i="14"/>
  <c r="B37" i="14" s="1"/>
  <c r="B17" i="14"/>
  <c r="B18" i="14"/>
  <c r="B19" i="14"/>
  <c r="B20" i="14"/>
  <c r="B41" i="14" s="1"/>
  <c r="B21" i="14"/>
  <c r="B42" i="14" s="1"/>
  <c r="B22" i="14"/>
  <c r="B1" i="14"/>
  <c r="B27" i="14"/>
  <c r="B29" i="14"/>
  <c r="B31" i="14"/>
  <c r="B35" i="14"/>
  <c r="B39" i="14"/>
  <c r="B43" i="14"/>
  <c r="B38" i="14"/>
  <c r="E43" i="14"/>
  <c r="B40" i="14"/>
  <c r="E39" i="14"/>
  <c r="B36" i="14"/>
  <c r="E35" i="14"/>
  <c r="B32" i="14"/>
  <c r="E31" i="14"/>
  <c r="B28" i="14"/>
  <c r="E27" i="14"/>
  <c r="E42" i="14"/>
  <c r="E41" i="14"/>
  <c r="E40" i="14"/>
  <c r="E38" i="14"/>
  <c r="E37" i="14"/>
  <c r="E36" i="14"/>
  <c r="E34" i="14"/>
  <c r="E33" i="14"/>
  <c r="E32" i="14"/>
  <c r="E30" i="14"/>
  <c r="E29" i="14"/>
  <c r="E28" i="14"/>
  <c r="I28" i="14" l="1"/>
  <c r="J28" i="14" s="1"/>
  <c r="K28" i="14" s="1"/>
  <c r="N28" i="14"/>
  <c r="G28" i="14"/>
  <c r="N29" i="14"/>
  <c r="G29" i="14"/>
  <c r="I29" i="14"/>
  <c r="J29" i="14" s="1"/>
  <c r="K29" i="14" s="1"/>
  <c r="I31" i="14"/>
  <c r="J31" i="14" s="1"/>
  <c r="K31" i="14" s="1"/>
  <c r="N31" i="14"/>
  <c r="G31" i="14"/>
  <c r="G33" i="14"/>
  <c r="I33" i="14"/>
  <c r="J33" i="14" s="1"/>
  <c r="K33" i="14" s="1"/>
  <c r="N33" i="14"/>
  <c r="N34" i="14"/>
  <c r="G34" i="14"/>
  <c r="I34" i="14"/>
  <c r="J34" i="14" s="1"/>
  <c r="K34" i="14" s="1"/>
  <c r="I36" i="14"/>
  <c r="J36" i="14" s="1"/>
  <c r="K36" i="14" s="1"/>
  <c r="N36" i="14"/>
  <c r="G36" i="14"/>
  <c r="N37" i="14"/>
  <c r="G37" i="14"/>
  <c r="I37" i="14"/>
  <c r="J37" i="14" s="1"/>
  <c r="K37" i="14" s="1"/>
  <c r="I39" i="14"/>
  <c r="J39" i="14" s="1"/>
  <c r="K39" i="14" s="1"/>
  <c r="N39" i="14"/>
  <c r="G39" i="14"/>
  <c r="I40" i="14"/>
  <c r="J40" i="14" s="1"/>
  <c r="K40" i="14" s="1"/>
  <c r="N40" i="14"/>
  <c r="G40" i="14"/>
  <c r="N42" i="14"/>
  <c r="G42" i="14"/>
  <c r="I42" i="14"/>
  <c r="J42" i="14" s="1"/>
  <c r="K42" i="14" s="1"/>
  <c r="I43" i="14"/>
  <c r="J43" i="14" s="1"/>
  <c r="K43" i="14" s="1"/>
  <c r="N43" i="14"/>
  <c r="G43" i="14"/>
  <c r="F30" i="14"/>
  <c r="O30" i="14" s="1"/>
  <c r="F42" i="14"/>
  <c r="O42" i="14" s="1"/>
  <c r="I27" i="14"/>
  <c r="J27" i="14" s="1"/>
  <c r="K27" i="14" s="1"/>
  <c r="N27" i="14"/>
  <c r="G27" i="14"/>
  <c r="N30" i="14"/>
  <c r="G30" i="14"/>
  <c r="I30" i="14"/>
  <c r="J30" i="14" s="1"/>
  <c r="K30" i="14" s="1"/>
  <c r="I32" i="14"/>
  <c r="J32" i="14" s="1"/>
  <c r="K32" i="14" s="1"/>
  <c r="N32" i="14"/>
  <c r="G32" i="14"/>
  <c r="I35" i="14"/>
  <c r="J35" i="14" s="1"/>
  <c r="K35" i="14" s="1"/>
  <c r="N35" i="14"/>
  <c r="G35" i="14"/>
  <c r="N38" i="14"/>
  <c r="G38" i="14"/>
  <c r="I38" i="14"/>
  <c r="J38" i="14" s="1"/>
  <c r="K38" i="14" s="1"/>
  <c r="I41" i="14"/>
  <c r="J41" i="14" s="1"/>
  <c r="K41" i="14" s="1"/>
  <c r="N41" i="14"/>
  <c r="G41" i="14"/>
  <c r="F34" i="14"/>
  <c r="O34" i="14" s="1"/>
  <c r="F27" i="14"/>
  <c r="O27" i="14" s="1"/>
  <c r="F28" i="14"/>
  <c r="O28" i="14" s="1"/>
  <c r="F29" i="14"/>
  <c r="O29" i="14" s="1"/>
  <c r="F31" i="14"/>
  <c r="O31" i="14" s="1"/>
  <c r="F32" i="14"/>
  <c r="O32" i="14" s="1"/>
  <c r="F33" i="14"/>
  <c r="O33" i="14" s="1"/>
  <c r="F35" i="14"/>
  <c r="O35" i="14" s="1"/>
  <c r="F36" i="14"/>
  <c r="O36" i="14" s="1"/>
  <c r="F37" i="14"/>
  <c r="O37" i="14" s="1"/>
  <c r="F39" i="14"/>
  <c r="O39" i="14" s="1"/>
  <c r="F40" i="14"/>
  <c r="O40" i="14" s="1"/>
  <c r="F41" i="14"/>
  <c r="O41" i="14" s="1"/>
  <c r="F43" i="14"/>
  <c r="O43" i="14" s="1"/>
  <c r="F38" i="14"/>
  <c r="O38" i="14" s="1"/>
  <c r="C2" i="13" l="1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C6" i="13"/>
  <c r="D6" i="13"/>
  <c r="E6" i="13"/>
  <c r="C27" i="13" s="1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C7" i="13"/>
  <c r="E28" i="13" s="1"/>
  <c r="D7" i="13"/>
  <c r="E7" i="13"/>
  <c r="F7" i="13"/>
  <c r="C28" i="13" s="1"/>
  <c r="G7" i="13"/>
  <c r="H7" i="13"/>
  <c r="I7" i="13"/>
  <c r="J7" i="13"/>
  <c r="K7" i="13"/>
  <c r="L7" i="13"/>
  <c r="M7" i="13"/>
  <c r="N7" i="13"/>
  <c r="O7" i="13"/>
  <c r="D28" i="13" s="1"/>
  <c r="F28" i="13" s="1"/>
  <c r="O28" i="13" s="1"/>
  <c r="P7" i="13"/>
  <c r="Q7" i="13"/>
  <c r="R7" i="13"/>
  <c r="S7" i="13"/>
  <c r="T7" i="13"/>
  <c r="U7" i="13"/>
  <c r="C8" i="13"/>
  <c r="D8" i="13"/>
  <c r="C29" i="13" s="1"/>
  <c r="E8" i="13"/>
  <c r="F8" i="13"/>
  <c r="G8" i="13"/>
  <c r="H8" i="13"/>
  <c r="I8" i="13"/>
  <c r="J8" i="13"/>
  <c r="K8" i="13"/>
  <c r="L8" i="13"/>
  <c r="M8" i="13"/>
  <c r="N8" i="13"/>
  <c r="O8" i="13"/>
  <c r="D29" i="13" s="1"/>
  <c r="P8" i="13"/>
  <c r="Q8" i="13"/>
  <c r="R8" i="13"/>
  <c r="S8" i="13"/>
  <c r="T8" i="13"/>
  <c r="U8" i="13"/>
  <c r="C9" i="13"/>
  <c r="D9" i="13"/>
  <c r="C30" i="13" s="1"/>
  <c r="E9" i="13"/>
  <c r="F9" i="13"/>
  <c r="G9" i="13"/>
  <c r="H9" i="13"/>
  <c r="I9" i="13"/>
  <c r="J9" i="13"/>
  <c r="K9" i="13"/>
  <c r="L9" i="13"/>
  <c r="M9" i="13"/>
  <c r="N9" i="13"/>
  <c r="O9" i="13"/>
  <c r="D30" i="13" s="1"/>
  <c r="P9" i="13"/>
  <c r="Q9" i="13"/>
  <c r="R9" i="13"/>
  <c r="S9" i="13"/>
  <c r="T9" i="13"/>
  <c r="U9" i="13"/>
  <c r="C10" i="13"/>
  <c r="D10" i="13"/>
  <c r="E10" i="13"/>
  <c r="C31" i="13" s="1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C11" i="13"/>
  <c r="E32" i="13" s="1"/>
  <c r="D11" i="13"/>
  <c r="E11" i="13"/>
  <c r="F11" i="13"/>
  <c r="C32" i="13" s="1"/>
  <c r="G11" i="13"/>
  <c r="H11" i="13"/>
  <c r="I11" i="13"/>
  <c r="J11" i="13"/>
  <c r="K11" i="13"/>
  <c r="L11" i="13"/>
  <c r="M11" i="13"/>
  <c r="N11" i="13"/>
  <c r="O11" i="13"/>
  <c r="D32" i="13" s="1"/>
  <c r="F32" i="13" s="1"/>
  <c r="O32" i="13" s="1"/>
  <c r="P11" i="13"/>
  <c r="Q11" i="13"/>
  <c r="R11" i="13"/>
  <c r="S11" i="13"/>
  <c r="T11" i="13"/>
  <c r="U11" i="13"/>
  <c r="C12" i="13"/>
  <c r="D12" i="13"/>
  <c r="C33" i="13" s="1"/>
  <c r="E12" i="13"/>
  <c r="F12" i="13"/>
  <c r="G12" i="13"/>
  <c r="H12" i="13"/>
  <c r="I12" i="13"/>
  <c r="J12" i="13"/>
  <c r="K12" i="13"/>
  <c r="L12" i="13"/>
  <c r="M12" i="13"/>
  <c r="N12" i="13"/>
  <c r="O12" i="13"/>
  <c r="D33" i="13" s="1"/>
  <c r="P12" i="13"/>
  <c r="Q12" i="13"/>
  <c r="R12" i="13"/>
  <c r="S12" i="13"/>
  <c r="T12" i="13"/>
  <c r="U12" i="13"/>
  <c r="C13" i="13"/>
  <c r="D13" i="13"/>
  <c r="C34" i="13" s="1"/>
  <c r="E13" i="13"/>
  <c r="F13" i="13"/>
  <c r="G13" i="13"/>
  <c r="H13" i="13"/>
  <c r="I13" i="13"/>
  <c r="J13" i="13"/>
  <c r="K13" i="13"/>
  <c r="L13" i="13"/>
  <c r="M13" i="13"/>
  <c r="N13" i="13"/>
  <c r="O13" i="13"/>
  <c r="D34" i="13" s="1"/>
  <c r="P13" i="13"/>
  <c r="Q13" i="13"/>
  <c r="R13" i="13"/>
  <c r="S13" i="13"/>
  <c r="T13" i="13"/>
  <c r="U13" i="13"/>
  <c r="C14" i="13"/>
  <c r="D14" i="13"/>
  <c r="E14" i="13"/>
  <c r="C35" i="13" s="1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C15" i="13"/>
  <c r="D15" i="13"/>
  <c r="E15" i="13"/>
  <c r="F15" i="13"/>
  <c r="G15" i="13"/>
  <c r="H15" i="13"/>
  <c r="I15" i="13"/>
  <c r="J15" i="13"/>
  <c r="K15" i="13"/>
  <c r="C36" i="13" s="1"/>
  <c r="L15" i="13"/>
  <c r="M15" i="13"/>
  <c r="N15" i="13"/>
  <c r="O15" i="13"/>
  <c r="D36" i="13" s="1"/>
  <c r="F36" i="13" s="1"/>
  <c r="O36" i="13" s="1"/>
  <c r="P15" i="13"/>
  <c r="Q15" i="13"/>
  <c r="R15" i="13"/>
  <c r="S15" i="13"/>
  <c r="T15" i="13"/>
  <c r="U15" i="13"/>
  <c r="C16" i="13"/>
  <c r="E37" i="13" s="1"/>
  <c r="D16" i="13"/>
  <c r="E16" i="13"/>
  <c r="F16" i="13"/>
  <c r="G16" i="13"/>
  <c r="H16" i="13"/>
  <c r="I16" i="13"/>
  <c r="J16" i="13"/>
  <c r="K16" i="13"/>
  <c r="L16" i="13"/>
  <c r="M16" i="13"/>
  <c r="N16" i="13"/>
  <c r="O16" i="13"/>
  <c r="D37" i="13" s="1"/>
  <c r="F37" i="13" s="1"/>
  <c r="O37" i="13" s="1"/>
  <c r="P16" i="13"/>
  <c r="Q16" i="13"/>
  <c r="R16" i="13"/>
  <c r="S16" i="13"/>
  <c r="T16" i="13"/>
  <c r="U16" i="13"/>
  <c r="C17" i="13"/>
  <c r="D17" i="13"/>
  <c r="C38" i="13" s="1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C19" i="13"/>
  <c r="E40" i="13" s="1"/>
  <c r="D19" i="13"/>
  <c r="E19" i="13"/>
  <c r="C40" i="13" s="1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C20" i="13"/>
  <c r="D20" i="13"/>
  <c r="C41" i="13" s="1"/>
  <c r="E20" i="13"/>
  <c r="F20" i="13"/>
  <c r="G20" i="13"/>
  <c r="H20" i="13"/>
  <c r="I20" i="13"/>
  <c r="J20" i="13"/>
  <c r="K20" i="13"/>
  <c r="L20" i="13"/>
  <c r="M20" i="13"/>
  <c r="N20" i="13"/>
  <c r="O20" i="13"/>
  <c r="D41" i="13" s="1"/>
  <c r="P20" i="13"/>
  <c r="Q20" i="13"/>
  <c r="R20" i="13"/>
  <c r="S20" i="13"/>
  <c r="T20" i="13"/>
  <c r="U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C22" i="13"/>
  <c r="D22" i="13"/>
  <c r="E22" i="13"/>
  <c r="F22" i="13"/>
  <c r="C43" i="13" s="1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B13" i="13"/>
  <c r="B14" i="13"/>
  <c r="B15" i="13"/>
  <c r="B36" i="13" s="1"/>
  <c r="B16" i="13"/>
  <c r="B37" i="13" s="1"/>
  <c r="B17" i="13"/>
  <c r="B18" i="13"/>
  <c r="B19" i="13"/>
  <c r="B40" i="13" s="1"/>
  <c r="B20" i="13"/>
  <c r="B41" i="13" s="1"/>
  <c r="B21" i="13"/>
  <c r="B22" i="13"/>
  <c r="B3" i="13"/>
  <c r="B4" i="13"/>
  <c r="B5" i="13"/>
  <c r="B6" i="13"/>
  <c r="B7" i="13"/>
  <c r="B8" i="13"/>
  <c r="B9" i="13"/>
  <c r="B10" i="13"/>
  <c r="B11" i="13"/>
  <c r="B12" i="13"/>
  <c r="B2" i="13"/>
  <c r="E43" i="13"/>
  <c r="B43" i="13"/>
  <c r="E42" i="13"/>
  <c r="D42" i="13"/>
  <c r="E39" i="13"/>
  <c r="E38" i="13"/>
  <c r="D38" i="13"/>
  <c r="D43" i="13"/>
  <c r="C42" i="13"/>
  <c r="B42" i="13"/>
  <c r="E41" i="13"/>
  <c r="D40" i="13"/>
  <c r="D39" i="13"/>
  <c r="C39" i="13"/>
  <c r="B39" i="13"/>
  <c r="B38" i="13"/>
  <c r="C37" i="13"/>
  <c r="E36" i="13"/>
  <c r="D35" i="13"/>
  <c r="E35" i="13"/>
  <c r="B35" i="13"/>
  <c r="E34" i="13"/>
  <c r="B34" i="13"/>
  <c r="E33" i="13"/>
  <c r="B33" i="13"/>
  <c r="B32" i="13"/>
  <c r="D31" i="13"/>
  <c r="E31" i="13"/>
  <c r="B31" i="13"/>
  <c r="E30" i="13"/>
  <c r="B30" i="13"/>
  <c r="E29" i="13"/>
  <c r="B29" i="13"/>
  <c r="B28" i="13"/>
  <c r="D27" i="13"/>
  <c r="E27" i="13"/>
  <c r="B27" i="13"/>
  <c r="E26" i="13"/>
  <c r="B26" i="13"/>
  <c r="F43" i="11"/>
  <c r="O43" i="11"/>
  <c r="D6" i="11"/>
  <c r="E6" i="11"/>
  <c r="C27" i="11" s="1"/>
  <c r="F6" i="11"/>
  <c r="K6" i="11"/>
  <c r="C6" i="11"/>
  <c r="E27" i="11" s="1"/>
  <c r="D7" i="11"/>
  <c r="E7" i="11"/>
  <c r="F7" i="11"/>
  <c r="C28" i="11" s="1"/>
  <c r="K7" i="11"/>
  <c r="C7" i="11"/>
  <c r="E28" i="11"/>
  <c r="D8" i="11"/>
  <c r="E8" i="11"/>
  <c r="F8" i="11"/>
  <c r="K8" i="11"/>
  <c r="C29" i="11" s="1"/>
  <c r="C8" i="11"/>
  <c r="E29" i="11" s="1"/>
  <c r="D5" i="11"/>
  <c r="E5" i="11"/>
  <c r="F5" i="11"/>
  <c r="K5" i="11"/>
  <c r="C26" i="11"/>
  <c r="C5" i="11"/>
  <c r="E26" i="11" s="1"/>
  <c r="D22" i="11"/>
  <c r="E22" i="11"/>
  <c r="C43" i="11" s="1"/>
  <c r="F22" i="11"/>
  <c r="K22" i="11"/>
  <c r="H18" i="11"/>
  <c r="O22" i="11"/>
  <c r="D43" i="11" s="1"/>
  <c r="C22" i="11"/>
  <c r="E43" i="11" s="1"/>
  <c r="B22" i="11"/>
  <c r="B43" i="11"/>
  <c r="D21" i="11"/>
  <c r="E21" i="11"/>
  <c r="F21" i="11"/>
  <c r="K21" i="11"/>
  <c r="C42" i="11" s="1"/>
  <c r="O21" i="11"/>
  <c r="D42" i="11"/>
  <c r="C21" i="11"/>
  <c r="E42" i="11" s="1"/>
  <c r="B21" i="11"/>
  <c r="B42" i="11" s="1"/>
  <c r="D20" i="11"/>
  <c r="E20" i="11"/>
  <c r="F20" i="11"/>
  <c r="C41" i="11" s="1"/>
  <c r="K20" i="11"/>
  <c r="O20" i="11"/>
  <c r="D41" i="11" s="1"/>
  <c r="F41" i="11" s="1"/>
  <c r="O41" i="11" s="1"/>
  <c r="C20" i="11"/>
  <c r="E41" i="11"/>
  <c r="B20" i="11"/>
  <c r="B41" i="11" s="1"/>
  <c r="D19" i="11"/>
  <c r="E19" i="11"/>
  <c r="C40" i="11" s="1"/>
  <c r="F19" i="11"/>
  <c r="K19" i="11"/>
  <c r="G40" i="11"/>
  <c r="O19" i="11"/>
  <c r="D40" i="11" s="1"/>
  <c r="F40" i="11" s="1"/>
  <c r="O40" i="11" s="1"/>
  <c r="C19" i="11"/>
  <c r="E40" i="11" s="1"/>
  <c r="B19" i="11"/>
  <c r="B40" i="11" s="1"/>
  <c r="D18" i="11"/>
  <c r="E18" i="11"/>
  <c r="F18" i="11"/>
  <c r="K18" i="11"/>
  <c r="C39" i="11"/>
  <c r="O18" i="11"/>
  <c r="D39" i="11" s="1"/>
  <c r="F39" i="11" s="1"/>
  <c r="O39" i="11" s="1"/>
  <c r="C18" i="11"/>
  <c r="E39" i="11" s="1"/>
  <c r="B18" i="11"/>
  <c r="B39" i="11"/>
  <c r="D17" i="11"/>
  <c r="E17" i="11"/>
  <c r="F17" i="11"/>
  <c r="K17" i="11"/>
  <c r="C38" i="11" s="1"/>
  <c r="O17" i="11"/>
  <c r="D38" i="11"/>
  <c r="F38" i="11" s="1"/>
  <c r="O38" i="11" s="1"/>
  <c r="C17" i="11"/>
  <c r="E38" i="11" s="1"/>
  <c r="B17" i="11"/>
  <c r="B38" i="11" s="1"/>
  <c r="D16" i="11"/>
  <c r="E16" i="11"/>
  <c r="F16" i="11"/>
  <c r="C37" i="11" s="1"/>
  <c r="K16" i="11"/>
  <c r="O16" i="11"/>
  <c r="D37" i="11" s="1"/>
  <c r="C16" i="11"/>
  <c r="E37" i="11"/>
  <c r="B16" i="11"/>
  <c r="B37" i="11" s="1"/>
  <c r="D15" i="11"/>
  <c r="E15" i="11"/>
  <c r="C36" i="11" s="1"/>
  <c r="F15" i="11"/>
  <c r="K15" i="11"/>
  <c r="O15" i="11"/>
  <c r="D36" i="11" s="1"/>
  <c r="F36" i="11" s="1"/>
  <c r="O36" i="11" s="1"/>
  <c r="C15" i="11"/>
  <c r="E36" i="11" s="1"/>
  <c r="B15" i="11"/>
  <c r="B36" i="11" s="1"/>
  <c r="D14" i="11"/>
  <c r="E14" i="11"/>
  <c r="F14" i="11"/>
  <c r="K14" i="11"/>
  <c r="C35" i="11"/>
  <c r="O14" i="11"/>
  <c r="D35" i="11" s="1"/>
  <c r="F35" i="11" s="1"/>
  <c r="O35" i="11" s="1"/>
  <c r="C14" i="11"/>
  <c r="E35" i="11" s="1"/>
  <c r="B14" i="11"/>
  <c r="B35" i="11"/>
  <c r="D13" i="11"/>
  <c r="E13" i="11"/>
  <c r="F13" i="11"/>
  <c r="K13" i="11"/>
  <c r="C34" i="11" s="1"/>
  <c r="O13" i="11"/>
  <c r="D34" i="11"/>
  <c r="C13" i="11"/>
  <c r="E34" i="11" s="1"/>
  <c r="B13" i="11"/>
  <c r="B34" i="11" s="1"/>
  <c r="D12" i="11"/>
  <c r="E12" i="11"/>
  <c r="F12" i="11"/>
  <c r="K12" i="11"/>
  <c r="O12" i="11"/>
  <c r="D33" i="11" s="1"/>
  <c r="C12" i="11"/>
  <c r="E33" i="11"/>
  <c r="B12" i="11"/>
  <c r="B33" i="11" s="1"/>
  <c r="D11" i="11"/>
  <c r="E11" i="11"/>
  <c r="F11" i="11"/>
  <c r="K11" i="11"/>
  <c r="O11" i="11"/>
  <c r="D32" i="11" s="1"/>
  <c r="C11" i="11"/>
  <c r="E32" i="11" s="1"/>
  <c r="B11" i="11"/>
  <c r="B32" i="11" s="1"/>
  <c r="D10" i="11"/>
  <c r="E10" i="11"/>
  <c r="C31" i="11" s="1"/>
  <c r="F10" i="11"/>
  <c r="K10" i="11"/>
  <c r="O10" i="11"/>
  <c r="D31" i="11" s="1"/>
  <c r="F31" i="11" s="1"/>
  <c r="O31" i="11" s="1"/>
  <c r="C10" i="11"/>
  <c r="E31" i="11" s="1"/>
  <c r="B10" i="11"/>
  <c r="B31" i="11"/>
  <c r="D9" i="11"/>
  <c r="E9" i="11"/>
  <c r="F9" i="11"/>
  <c r="K9" i="11"/>
  <c r="C30" i="11" s="1"/>
  <c r="O9" i="11"/>
  <c r="D30" i="11"/>
  <c r="C9" i="11"/>
  <c r="E30" i="11"/>
  <c r="B9" i="11"/>
  <c r="B30" i="11" s="1"/>
  <c r="O8" i="11"/>
  <c r="D29" i="11" s="1"/>
  <c r="F29" i="11" s="1"/>
  <c r="O29" i="11" s="1"/>
  <c r="B8" i="11"/>
  <c r="B29" i="11"/>
  <c r="O7" i="11"/>
  <c r="D28" i="11" s="1"/>
  <c r="F28" i="11" s="1"/>
  <c r="O28" i="11" s="1"/>
  <c r="B7" i="11"/>
  <c r="B28" i="11" s="1"/>
  <c r="O6" i="11"/>
  <c r="D27" i="11" s="1"/>
  <c r="F27" i="11" s="1"/>
  <c r="O27" i="11" s="1"/>
  <c r="B6" i="11"/>
  <c r="B27" i="11"/>
  <c r="G26" i="11"/>
  <c r="O5" i="11"/>
  <c r="D26" i="11" s="1"/>
  <c r="F26" i="11" s="1"/>
  <c r="O26" i="11" s="1"/>
  <c r="B5" i="11"/>
  <c r="B26" i="11" s="1"/>
  <c r="D22" i="10"/>
  <c r="E22" i="10"/>
  <c r="F22" i="10"/>
  <c r="K22" i="10"/>
  <c r="H18" i="10"/>
  <c r="O22" i="10"/>
  <c r="D43" i="10" s="1"/>
  <c r="C22" i="10"/>
  <c r="E43" i="10"/>
  <c r="B22" i="10"/>
  <c r="B43" i="10" s="1"/>
  <c r="D21" i="10"/>
  <c r="E21" i="10"/>
  <c r="C42" i="10" s="1"/>
  <c r="F21" i="10"/>
  <c r="K21" i="10"/>
  <c r="O21" i="10"/>
  <c r="D42" i="10" s="1"/>
  <c r="F42" i="10" s="1"/>
  <c r="O42" i="10" s="1"/>
  <c r="C21" i="10"/>
  <c r="E42" i="10" s="1"/>
  <c r="B21" i="10"/>
  <c r="B42" i="10" s="1"/>
  <c r="D20" i="10"/>
  <c r="E20" i="10"/>
  <c r="F20" i="10"/>
  <c r="K20" i="10"/>
  <c r="C41" i="10"/>
  <c r="O20" i="10"/>
  <c r="D41" i="10" s="1"/>
  <c r="F41" i="10" s="1"/>
  <c r="O41" i="10" s="1"/>
  <c r="C20" i="10"/>
  <c r="E41" i="10" s="1"/>
  <c r="B20" i="10"/>
  <c r="B41" i="10"/>
  <c r="D19" i="10"/>
  <c r="E19" i="10"/>
  <c r="F19" i="10"/>
  <c r="K19" i="10"/>
  <c r="C40" i="10" s="1"/>
  <c r="O19" i="10"/>
  <c r="D40" i="10"/>
  <c r="C19" i="10"/>
  <c r="E40" i="10" s="1"/>
  <c r="B19" i="10"/>
  <c r="B40" i="10" s="1"/>
  <c r="D18" i="10"/>
  <c r="E18" i="10"/>
  <c r="F18" i="10"/>
  <c r="C39" i="10" s="1"/>
  <c r="K18" i="10"/>
  <c r="O18" i="10"/>
  <c r="D39" i="10" s="1"/>
  <c r="C18" i="10"/>
  <c r="E39" i="10"/>
  <c r="B18" i="10"/>
  <c r="B39" i="10" s="1"/>
  <c r="D17" i="10"/>
  <c r="E17" i="10"/>
  <c r="C38" i="10" s="1"/>
  <c r="F17" i="10"/>
  <c r="K17" i="10"/>
  <c r="O17" i="10"/>
  <c r="D38" i="10" s="1"/>
  <c r="F38" i="10" s="1"/>
  <c r="O38" i="10" s="1"/>
  <c r="C17" i="10"/>
  <c r="E38" i="10" s="1"/>
  <c r="B17" i="10"/>
  <c r="B38" i="10" s="1"/>
  <c r="D16" i="10"/>
  <c r="E16" i="10"/>
  <c r="F16" i="10"/>
  <c r="K16" i="10"/>
  <c r="C37" i="10"/>
  <c r="O16" i="10"/>
  <c r="D37" i="10" s="1"/>
  <c r="F37" i="10" s="1"/>
  <c r="O37" i="10" s="1"/>
  <c r="C16" i="10"/>
  <c r="E37" i="10" s="1"/>
  <c r="B16" i="10"/>
  <c r="B37" i="10"/>
  <c r="D15" i="10"/>
  <c r="E15" i="10"/>
  <c r="F15" i="10"/>
  <c r="K15" i="10"/>
  <c r="C36" i="10" s="1"/>
  <c r="O15" i="10"/>
  <c r="D36" i="10"/>
  <c r="C15" i="10"/>
  <c r="E36" i="10"/>
  <c r="B15" i="10"/>
  <c r="B36" i="10" s="1"/>
  <c r="D14" i="10"/>
  <c r="E14" i="10"/>
  <c r="C35" i="10" s="1"/>
  <c r="F14" i="10"/>
  <c r="K14" i="10"/>
  <c r="O14" i="10"/>
  <c r="D35" i="10" s="1"/>
  <c r="C14" i="10"/>
  <c r="E35" i="10"/>
  <c r="B14" i="10"/>
  <c r="B35" i="10" s="1"/>
  <c r="D13" i="10"/>
  <c r="E13" i="10"/>
  <c r="C34" i="10" s="1"/>
  <c r="F13" i="10"/>
  <c r="K13" i="10"/>
  <c r="O13" i="10"/>
  <c r="D34" i="10" s="1"/>
  <c r="C13" i="10"/>
  <c r="E34" i="10" s="1"/>
  <c r="B13" i="10"/>
  <c r="B34" i="10" s="1"/>
  <c r="D12" i="10"/>
  <c r="E12" i="10"/>
  <c r="F12" i="10"/>
  <c r="K12" i="10"/>
  <c r="C33" i="10"/>
  <c r="O12" i="10"/>
  <c r="D33" i="10" s="1"/>
  <c r="F33" i="10" s="1"/>
  <c r="O33" i="10" s="1"/>
  <c r="C12" i="10"/>
  <c r="E33" i="10" s="1"/>
  <c r="B12" i="10"/>
  <c r="B33" i="10"/>
  <c r="D11" i="10"/>
  <c r="E11" i="10"/>
  <c r="F11" i="10"/>
  <c r="K11" i="10"/>
  <c r="C32" i="10" s="1"/>
  <c r="O11" i="10"/>
  <c r="D32" i="10"/>
  <c r="F32" i="10" s="1"/>
  <c r="O32" i="10" s="1"/>
  <c r="C11" i="10"/>
  <c r="E32" i="10"/>
  <c r="B11" i="10"/>
  <c r="B32" i="10" s="1"/>
  <c r="D10" i="10"/>
  <c r="E10" i="10"/>
  <c r="F10" i="10"/>
  <c r="C31" i="10" s="1"/>
  <c r="K10" i="10"/>
  <c r="O10" i="10"/>
  <c r="D31" i="10" s="1"/>
  <c r="F31" i="10" s="1"/>
  <c r="O31" i="10" s="1"/>
  <c r="C10" i="10"/>
  <c r="E31" i="10"/>
  <c r="B10" i="10"/>
  <c r="B31" i="10" s="1"/>
  <c r="D9" i="10"/>
  <c r="E9" i="10"/>
  <c r="C30" i="10" s="1"/>
  <c r="F9" i="10"/>
  <c r="K9" i="10"/>
  <c r="O9" i="10"/>
  <c r="D30" i="10" s="1"/>
  <c r="F30" i="10" s="1"/>
  <c r="O30" i="10" s="1"/>
  <c r="C9" i="10"/>
  <c r="E30" i="10" s="1"/>
  <c r="B9" i="10"/>
  <c r="B30" i="10" s="1"/>
  <c r="D8" i="10"/>
  <c r="E8" i="10"/>
  <c r="F8" i="10"/>
  <c r="K8" i="10"/>
  <c r="C29" i="10"/>
  <c r="O8" i="10"/>
  <c r="D29" i="10" s="1"/>
  <c r="F29" i="10" s="1"/>
  <c r="O29" i="10" s="1"/>
  <c r="C8" i="10"/>
  <c r="E29" i="10" s="1"/>
  <c r="B8" i="10"/>
  <c r="B29" i="10"/>
  <c r="D7" i="10"/>
  <c r="E7" i="10"/>
  <c r="F7" i="10"/>
  <c r="K7" i="10"/>
  <c r="C28" i="10" s="1"/>
  <c r="O7" i="10"/>
  <c r="D28" i="10"/>
  <c r="F28" i="10" s="1"/>
  <c r="O28" i="10" s="1"/>
  <c r="C7" i="10"/>
  <c r="E28" i="10"/>
  <c r="B7" i="10"/>
  <c r="B28" i="10" s="1"/>
  <c r="D6" i="10"/>
  <c r="E6" i="10"/>
  <c r="F6" i="10"/>
  <c r="C27" i="10" s="1"/>
  <c r="K6" i="10"/>
  <c r="O6" i="10"/>
  <c r="D27" i="10" s="1"/>
  <c r="F27" i="10" s="1"/>
  <c r="O27" i="10" s="1"/>
  <c r="C6" i="10"/>
  <c r="E27" i="10"/>
  <c r="B6" i="10"/>
  <c r="B27" i="10" s="1"/>
  <c r="D5" i="10"/>
  <c r="E5" i="10"/>
  <c r="C26" i="10" s="1"/>
  <c r="F5" i="10"/>
  <c r="K5" i="10"/>
  <c r="O5" i="10"/>
  <c r="D26" i="10" s="1"/>
  <c r="F26" i="10" s="1"/>
  <c r="O26" i="10" s="1"/>
  <c r="C5" i="10"/>
  <c r="E26" i="10" s="1"/>
  <c r="B5" i="10"/>
  <c r="B26" i="10" s="1"/>
  <c r="D22" i="9"/>
  <c r="E22" i="9"/>
  <c r="F22" i="9"/>
  <c r="K22" i="9"/>
  <c r="C43" i="9"/>
  <c r="H18" i="9"/>
  <c r="O22" i="9"/>
  <c r="D43" i="9"/>
  <c r="F43" i="9" s="1"/>
  <c r="O43" i="9" s="1"/>
  <c r="C22" i="9"/>
  <c r="E43" i="9"/>
  <c r="B22" i="9"/>
  <c r="B43" i="9" s="1"/>
  <c r="D21" i="9"/>
  <c r="E21" i="9"/>
  <c r="F21" i="9"/>
  <c r="C42" i="9" s="1"/>
  <c r="K21" i="9"/>
  <c r="O21" i="9"/>
  <c r="D42" i="9" s="1"/>
  <c r="C21" i="9"/>
  <c r="E42" i="9"/>
  <c r="B21" i="9"/>
  <c r="B42" i="9" s="1"/>
  <c r="D20" i="9"/>
  <c r="E20" i="9"/>
  <c r="C41" i="9" s="1"/>
  <c r="F20" i="9"/>
  <c r="K20" i="9"/>
  <c r="O20" i="9"/>
  <c r="D41" i="9" s="1"/>
  <c r="C20" i="9"/>
  <c r="E41" i="9" s="1"/>
  <c r="B20" i="9"/>
  <c r="B41" i="9" s="1"/>
  <c r="D19" i="9"/>
  <c r="E19" i="9"/>
  <c r="F19" i="9"/>
  <c r="K19" i="9"/>
  <c r="C40" i="9"/>
  <c r="O19" i="9"/>
  <c r="D40" i="9" s="1"/>
  <c r="F40" i="9" s="1"/>
  <c r="O40" i="9" s="1"/>
  <c r="C19" i="9"/>
  <c r="E40" i="9" s="1"/>
  <c r="B19" i="9"/>
  <c r="B40" i="9"/>
  <c r="D18" i="9"/>
  <c r="E18" i="9"/>
  <c r="F18" i="9"/>
  <c r="K18" i="9"/>
  <c r="C39" i="9" s="1"/>
  <c r="O18" i="9"/>
  <c r="D39" i="9"/>
  <c r="F39" i="9" s="1"/>
  <c r="O39" i="9" s="1"/>
  <c r="C18" i="9"/>
  <c r="E39" i="9"/>
  <c r="B18" i="9"/>
  <c r="B39" i="9" s="1"/>
  <c r="D17" i="9"/>
  <c r="E17" i="9"/>
  <c r="F17" i="9"/>
  <c r="C38" i="9" s="1"/>
  <c r="K17" i="9"/>
  <c r="O17" i="9"/>
  <c r="D38" i="9" s="1"/>
  <c r="F38" i="9" s="1"/>
  <c r="O38" i="9" s="1"/>
  <c r="C17" i="9"/>
  <c r="E38" i="9"/>
  <c r="B17" i="9"/>
  <c r="B38" i="9" s="1"/>
  <c r="D16" i="9"/>
  <c r="E16" i="9"/>
  <c r="C37" i="9" s="1"/>
  <c r="F16" i="9"/>
  <c r="K16" i="9"/>
  <c r="O16" i="9"/>
  <c r="D37" i="9" s="1"/>
  <c r="F37" i="9" s="1"/>
  <c r="O37" i="9" s="1"/>
  <c r="C16" i="9"/>
  <c r="E37" i="9" s="1"/>
  <c r="B16" i="9"/>
  <c r="B37" i="9" s="1"/>
  <c r="D15" i="9"/>
  <c r="E15" i="9"/>
  <c r="F15" i="9"/>
  <c r="K15" i="9"/>
  <c r="C36" i="9"/>
  <c r="O15" i="9"/>
  <c r="D36" i="9" s="1"/>
  <c r="F36" i="9" s="1"/>
  <c r="O36" i="9" s="1"/>
  <c r="C15" i="9"/>
  <c r="E36" i="9" s="1"/>
  <c r="B15" i="9"/>
  <c r="B36" i="9"/>
  <c r="D14" i="9"/>
  <c r="E14" i="9"/>
  <c r="F14" i="9"/>
  <c r="K14" i="9"/>
  <c r="C35" i="9" s="1"/>
  <c r="O14" i="9"/>
  <c r="D35" i="9"/>
  <c r="F35" i="9" s="1"/>
  <c r="O35" i="9" s="1"/>
  <c r="C14" i="9"/>
  <c r="E35" i="9"/>
  <c r="B14" i="9"/>
  <c r="B35" i="9" s="1"/>
  <c r="D13" i="9"/>
  <c r="E13" i="9"/>
  <c r="F13" i="9"/>
  <c r="C34" i="9" s="1"/>
  <c r="K13" i="9"/>
  <c r="O13" i="9"/>
  <c r="D34" i="9" s="1"/>
  <c r="F34" i="9" s="1"/>
  <c r="O34" i="9" s="1"/>
  <c r="C13" i="9"/>
  <c r="E34" i="9"/>
  <c r="B13" i="9"/>
  <c r="B34" i="9" s="1"/>
  <c r="D12" i="9"/>
  <c r="E12" i="9"/>
  <c r="C33" i="9" s="1"/>
  <c r="F12" i="9"/>
  <c r="K12" i="9"/>
  <c r="O12" i="9"/>
  <c r="D33" i="9" s="1"/>
  <c r="F33" i="9" s="1"/>
  <c r="O33" i="9" s="1"/>
  <c r="C12" i="9"/>
  <c r="E33" i="9" s="1"/>
  <c r="B12" i="9"/>
  <c r="B33" i="9" s="1"/>
  <c r="D11" i="9"/>
  <c r="E11" i="9"/>
  <c r="F11" i="9"/>
  <c r="K11" i="9"/>
  <c r="C32" i="9"/>
  <c r="O11" i="9"/>
  <c r="D32" i="9" s="1"/>
  <c r="F32" i="9" s="1"/>
  <c r="O32" i="9" s="1"/>
  <c r="C11" i="9"/>
  <c r="E32" i="9" s="1"/>
  <c r="B11" i="9"/>
  <c r="B32" i="9"/>
  <c r="D10" i="9"/>
  <c r="E10" i="9"/>
  <c r="F10" i="9"/>
  <c r="K10" i="9"/>
  <c r="C31" i="9" s="1"/>
  <c r="O10" i="9"/>
  <c r="D31" i="9"/>
  <c r="C10" i="9"/>
  <c r="E31" i="9"/>
  <c r="B10" i="9"/>
  <c r="B31" i="9" s="1"/>
  <c r="D9" i="9"/>
  <c r="E9" i="9"/>
  <c r="F9" i="9"/>
  <c r="C30" i="9" s="1"/>
  <c r="K9" i="9"/>
  <c r="O9" i="9"/>
  <c r="D30" i="9" s="1"/>
  <c r="C9" i="9"/>
  <c r="E30" i="9"/>
  <c r="B9" i="9"/>
  <c r="B30" i="9" s="1"/>
  <c r="D8" i="9"/>
  <c r="E8" i="9"/>
  <c r="C29" i="9" s="1"/>
  <c r="F8" i="9"/>
  <c r="K8" i="9"/>
  <c r="O8" i="9"/>
  <c r="D29" i="9" s="1"/>
  <c r="C8" i="9"/>
  <c r="E29" i="9" s="1"/>
  <c r="B8" i="9"/>
  <c r="B29" i="9" s="1"/>
  <c r="D7" i="9"/>
  <c r="E7" i="9"/>
  <c r="F7" i="9"/>
  <c r="K7" i="9"/>
  <c r="C28" i="9"/>
  <c r="O7" i="9"/>
  <c r="D28" i="9" s="1"/>
  <c r="F28" i="9" s="1"/>
  <c r="O28" i="9" s="1"/>
  <c r="C7" i="9"/>
  <c r="E28" i="9" s="1"/>
  <c r="B7" i="9"/>
  <c r="B28" i="9"/>
  <c r="D6" i="9"/>
  <c r="E6" i="9"/>
  <c r="F6" i="9"/>
  <c r="K6" i="9"/>
  <c r="C27" i="9" s="1"/>
  <c r="O6" i="9"/>
  <c r="D27" i="9"/>
  <c r="C6" i="9"/>
  <c r="E27" i="9" s="1"/>
  <c r="B6" i="9"/>
  <c r="B27" i="9" s="1"/>
  <c r="D5" i="9"/>
  <c r="E5" i="9"/>
  <c r="F5" i="9"/>
  <c r="C26" i="9" s="1"/>
  <c r="K5" i="9"/>
  <c r="O5" i="9"/>
  <c r="D26" i="9" s="1"/>
  <c r="C5" i="9"/>
  <c r="E26" i="9"/>
  <c r="B5" i="9"/>
  <c r="B26" i="9" s="1"/>
  <c r="D6" i="8"/>
  <c r="E6" i="8"/>
  <c r="C27" i="8" s="1"/>
  <c r="F6" i="8"/>
  <c r="K6" i="8"/>
  <c r="H18" i="8"/>
  <c r="D7" i="8"/>
  <c r="E7" i="8"/>
  <c r="C28" i="8" s="1"/>
  <c r="F7" i="8"/>
  <c r="K7" i="8"/>
  <c r="D8" i="8"/>
  <c r="E8" i="8"/>
  <c r="F8" i="8"/>
  <c r="K8" i="8"/>
  <c r="C29" i="8"/>
  <c r="D9" i="8"/>
  <c r="E9" i="8"/>
  <c r="F9" i="8"/>
  <c r="C30" i="8" s="1"/>
  <c r="K9" i="8"/>
  <c r="D10" i="8"/>
  <c r="E10" i="8"/>
  <c r="F10" i="8"/>
  <c r="K10" i="8"/>
  <c r="C31" i="8"/>
  <c r="D11" i="8"/>
  <c r="E11" i="8"/>
  <c r="F11" i="8"/>
  <c r="C32" i="8" s="1"/>
  <c r="K11" i="8"/>
  <c r="D12" i="8"/>
  <c r="E12" i="8"/>
  <c r="F12" i="8"/>
  <c r="K12" i="8"/>
  <c r="C33" i="8"/>
  <c r="D13" i="8"/>
  <c r="E13" i="8"/>
  <c r="F13" i="8"/>
  <c r="C34" i="8" s="1"/>
  <c r="K13" i="8"/>
  <c r="D14" i="8"/>
  <c r="E14" i="8"/>
  <c r="F14" i="8"/>
  <c r="K14" i="8"/>
  <c r="C35" i="8"/>
  <c r="D15" i="8"/>
  <c r="E15" i="8"/>
  <c r="F15" i="8"/>
  <c r="C36" i="8" s="1"/>
  <c r="K15" i="8"/>
  <c r="D16" i="8"/>
  <c r="E16" i="8"/>
  <c r="F16" i="8"/>
  <c r="K16" i="8"/>
  <c r="C37" i="8"/>
  <c r="D17" i="8"/>
  <c r="E17" i="8"/>
  <c r="F17" i="8"/>
  <c r="C38" i="8" s="1"/>
  <c r="K17" i="8"/>
  <c r="D18" i="8"/>
  <c r="E18" i="8"/>
  <c r="F18" i="8"/>
  <c r="K18" i="8"/>
  <c r="C39" i="8"/>
  <c r="D19" i="8"/>
  <c r="E19" i="8"/>
  <c r="F19" i="8"/>
  <c r="C40" i="8" s="1"/>
  <c r="K19" i="8"/>
  <c r="D20" i="8"/>
  <c r="E20" i="8"/>
  <c r="F20" i="8"/>
  <c r="K20" i="8"/>
  <c r="C41" i="8"/>
  <c r="D21" i="8"/>
  <c r="E21" i="8"/>
  <c r="F21" i="8"/>
  <c r="C42" i="8" s="1"/>
  <c r="K21" i="8"/>
  <c r="D22" i="8"/>
  <c r="E22" i="8"/>
  <c r="C43" i="8" s="1"/>
  <c r="F22" i="8"/>
  <c r="K22" i="8"/>
  <c r="O6" i="8"/>
  <c r="D27" i="8"/>
  <c r="F27" i="8"/>
  <c r="O27" i="8" s="1"/>
  <c r="O7" i="8"/>
  <c r="D28" i="8" s="1"/>
  <c r="F28" i="8" s="1"/>
  <c r="O28" i="8" s="1"/>
  <c r="O8" i="8"/>
  <c r="D29" i="8" s="1"/>
  <c r="F29" i="8" s="1"/>
  <c r="O29" i="8" s="1"/>
  <c r="O9" i="8"/>
  <c r="D30" i="8"/>
  <c r="F30" i="8" s="1"/>
  <c r="O30" i="8" s="1"/>
  <c r="O10" i="8"/>
  <c r="D31" i="8"/>
  <c r="F31" i="8"/>
  <c r="O31" i="8" s="1"/>
  <c r="O11" i="8"/>
  <c r="D32" i="8" s="1"/>
  <c r="F32" i="8" s="1"/>
  <c r="O32" i="8" s="1"/>
  <c r="O12" i="8"/>
  <c r="D33" i="8"/>
  <c r="O13" i="8"/>
  <c r="D34" i="8"/>
  <c r="F34" i="8" s="1"/>
  <c r="O34" i="8" s="1"/>
  <c r="O14" i="8"/>
  <c r="D35" i="8"/>
  <c r="F35" i="8"/>
  <c r="O35" i="8" s="1"/>
  <c r="O15" i="8"/>
  <c r="D36" i="8" s="1"/>
  <c r="O16" i="8"/>
  <c r="D37" i="8"/>
  <c r="F37" i="8" s="1"/>
  <c r="O37" i="8" s="1"/>
  <c r="O17" i="8"/>
  <c r="D38" i="8"/>
  <c r="F38" i="8" s="1"/>
  <c r="O38" i="8" s="1"/>
  <c r="O18" i="8"/>
  <c r="D39" i="8"/>
  <c r="O19" i="8"/>
  <c r="D40" i="8" s="1"/>
  <c r="F40" i="8" s="1"/>
  <c r="O40" i="8" s="1"/>
  <c r="O20" i="8"/>
  <c r="D41" i="8" s="1"/>
  <c r="F41" i="8" s="1"/>
  <c r="O41" i="8" s="1"/>
  <c r="O21" i="8"/>
  <c r="D42" i="8"/>
  <c r="F42" i="8"/>
  <c r="O42" i="8" s="1"/>
  <c r="O22" i="8"/>
  <c r="D43" i="8"/>
  <c r="C6" i="8"/>
  <c r="E27" i="8" s="1"/>
  <c r="C7" i="8"/>
  <c r="E28" i="8"/>
  <c r="C8" i="8"/>
  <c r="E29" i="8" s="1"/>
  <c r="C9" i="8"/>
  <c r="E30" i="8"/>
  <c r="C10" i="8"/>
  <c r="E31" i="8" s="1"/>
  <c r="C11" i="8"/>
  <c r="E32" i="8"/>
  <c r="C12" i="8"/>
  <c r="E33" i="8" s="1"/>
  <c r="C13" i="8"/>
  <c r="E34" i="8"/>
  <c r="C14" i="8"/>
  <c r="E35" i="8" s="1"/>
  <c r="C15" i="8"/>
  <c r="E36" i="8"/>
  <c r="C16" i="8"/>
  <c r="E37" i="8" s="1"/>
  <c r="C17" i="8"/>
  <c r="E38" i="8"/>
  <c r="C18" i="8"/>
  <c r="E39" i="8" s="1"/>
  <c r="C19" i="8"/>
  <c r="E40" i="8"/>
  <c r="C20" i="8"/>
  <c r="E41" i="8" s="1"/>
  <c r="C21" i="8"/>
  <c r="E42" i="8"/>
  <c r="C22" i="8"/>
  <c r="E43" i="8" s="1"/>
  <c r="B6" i="8"/>
  <c r="B27" i="8"/>
  <c r="B7" i="8"/>
  <c r="B28" i="8" s="1"/>
  <c r="B8" i="8"/>
  <c r="B29" i="8"/>
  <c r="B9" i="8"/>
  <c r="B30" i="8" s="1"/>
  <c r="B10" i="8"/>
  <c r="B31" i="8"/>
  <c r="B11" i="8"/>
  <c r="B32" i="8" s="1"/>
  <c r="B12" i="8"/>
  <c r="B33" i="8"/>
  <c r="B13" i="8"/>
  <c r="B34" i="8" s="1"/>
  <c r="B14" i="8"/>
  <c r="B35" i="8"/>
  <c r="B15" i="8"/>
  <c r="B36" i="8" s="1"/>
  <c r="B16" i="8"/>
  <c r="B37" i="8"/>
  <c r="B17" i="8"/>
  <c r="B38" i="8" s="1"/>
  <c r="B18" i="8"/>
  <c r="B39" i="8"/>
  <c r="B19" i="8"/>
  <c r="B40" i="8" s="1"/>
  <c r="B20" i="8"/>
  <c r="B41" i="8"/>
  <c r="B21" i="8"/>
  <c r="B42" i="8" s="1"/>
  <c r="B22" i="8"/>
  <c r="B43" i="8"/>
  <c r="B5" i="8"/>
  <c r="B26" i="8" s="1"/>
  <c r="C5" i="8"/>
  <c r="E26" i="8"/>
  <c r="O5" i="8"/>
  <c r="D26" i="8" s="1"/>
  <c r="D5" i="8"/>
  <c r="E5" i="8"/>
  <c r="C26" i="8" s="1"/>
  <c r="F5" i="8"/>
  <c r="K5" i="8"/>
  <c r="D16" i="7"/>
  <c r="E16" i="7"/>
  <c r="F16" i="7"/>
  <c r="K16" i="7"/>
  <c r="C37" i="7"/>
  <c r="D15" i="7"/>
  <c r="E15" i="7"/>
  <c r="F15" i="7"/>
  <c r="K15" i="7"/>
  <c r="D14" i="7"/>
  <c r="E14" i="7"/>
  <c r="F14" i="7"/>
  <c r="K14" i="7"/>
  <c r="C35" i="7" s="1"/>
  <c r="D13" i="7"/>
  <c r="E13" i="7"/>
  <c r="C34" i="7" s="1"/>
  <c r="F13" i="7"/>
  <c r="K13" i="7"/>
  <c r="D12" i="7"/>
  <c r="E12" i="7"/>
  <c r="F12" i="7"/>
  <c r="K12" i="7"/>
  <c r="C33" i="7"/>
  <c r="D11" i="7"/>
  <c r="E11" i="7"/>
  <c r="F11" i="7"/>
  <c r="K11" i="7"/>
  <c r="D10" i="7"/>
  <c r="E10" i="7"/>
  <c r="F10" i="7"/>
  <c r="K10" i="7"/>
  <c r="C31" i="7" s="1"/>
  <c r="D9" i="7"/>
  <c r="E9" i="7"/>
  <c r="C30" i="7" s="1"/>
  <c r="F9" i="7"/>
  <c r="K9" i="7"/>
  <c r="D8" i="7"/>
  <c r="E8" i="7"/>
  <c r="F8" i="7"/>
  <c r="K8" i="7"/>
  <c r="C29" i="7"/>
  <c r="D7" i="7"/>
  <c r="E7" i="7"/>
  <c r="F7" i="7"/>
  <c r="K7" i="7"/>
  <c r="D6" i="7"/>
  <c r="E6" i="7"/>
  <c r="F6" i="7"/>
  <c r="K6" i="7"/>
  <c r="C27" i="7" s="1"/>
  <c r="D5" i="7"/>
  <c r="E5" i="7"/>
  <c r="C26" i="7" s="1"/>
  <c r="F5" i="7"/>
  <c r="K5" i="7"/>
  <c r="D16" i="6"/>
  <c r="E16" i="6"/>
  <c r="F16" i="6"/>
  <c r="K16" i="6"/>
  <c r="C37" i="6"/>
  <c r="D15" i="6"/>
  <c r="E15" i="6"/>
  <c r="F15" i="6"/>
  <c r="K15" i="6"/>
  <c r="D14" i="6"/>
  <c r="E14" i="6"/>
  <c r="F14" i="6"/>
  <c r="K14" i="6"/>
  <c r="C35" i="6" s="1"/>
  <c r="D13" i="6"/>
  <c r="E13" i="6"/>
  <c r="C34" i="6" s="1"/>
  <c r="F13" i="6"/>
  <c r="K13" i="6"/>
  <c r="D12" i="6"/>
  <c r="E12" i="6"/>
  <c r="F12" i="6"/>
  <c r="K12" i="6"/>
  <c r="C33" i="6"/>
  <c r="D11" i="6"/>
  <c r="E11" i="6"/>
  <c r="C32" i="6" s="1"/>
  <c r="F11" i="6"/>
  <c r="K11" i="6"/>
  <c r="G32" i="6"/>
  <c r="D10" i="6"/>
  <c r="E10" i="6"/>
  <c r="F10" i="6"/>
  <c r="K10" i="6"/>
  <c r="C31" i="6" s="1"/>
  <c r="D9" i="6"/>
  <c r="E9" i="6"/>
  <c r="C30" i="6" s="1"/>
  <c r="F9" i="6"/>
  <c r="K9" i="6"/>
  <c r="D8" i="6"/>
  <c r="E8" i="6"/>
  <c r="F8" i="6"/>
  <c r="K8" i="6"/>
  <c r="C29" i="6"/>
  <c r="D7" i="6"/>
  <c r="E7" i="6"/>
  <c r="C28" i="6" s="1"/>
  <c r="F7" i="6"/>
  <c r="K7" i="6"/>
  <c r="G28" i="6"/>
  <c r="D6" i="6"/>
  <c r="E6" i="6"/>
  <c r="F6" i="6"/>
  <c r="C27" i="6" s="1"/>
  <c r="K6" i="6"/>
  <c r="D5" i="6"/>
  <c r="E5" i="6"/>
  <c r="F5" i="6"/>
  <c r="K5" i="6"/>
  <c r="C26" i="6"/>
  <c r="G26" i="6" s="1"/>
  <c r="D16" i="5"/>
  <c r="E16" i="5"/>
  <c r="F16" i="5"/>
  <c r="C37" i="5" s="1"/>
  <c r="K16" i="5"/>
  <c r="D15" i="5"/>
  <c r="E15" i="5"/>
  <c r="F15" i="5"/>
  <c r="K15" i="5"/>
  <c r="C36" i="5"/>
  <c r="G36" i="5" s="1"/>
  <c r="D14" i="5"/>
  <c r="E14" i="5"/>
  <c r="F14" i="5"/>
  <c r="C35" i="5" s="1"/>
  <c r="K14" i="5"/>
  <c r="D13" i="5"/>
  <c r="E13" i="5"/>
  <c r="F13" i="5"/>
  <c r="K13" i="5"/>
  <c r="C34" i="5"/>
  <c r="G34" i="5" s="1"/>
  <c r="D12" i="5"/>
  <c r="E12" i="5"/>
  <c r="F12" i="5"/>
  <c r="C33" i="5" s="1"/>
  <c r="K12" i="5"/>
  <c r="D11" i="5"/>
  <c r="E11" i="5"/>
  <c r="F11" i="5"/>
  <c r="K11" i="5"/>
  <c r="C32" i="5"/>
  <c r="G32" i="5" s="1"/>
  <c r="D10" i="5"/>
  <c r="E10" i="5"/>
  <c r="F10" i="5"/>
  <c r="C31" i="5" s="1"/>
  <c r="K10" i="5"/>
  <c r="D9" i="5"/>
  <c r="E9" i="5"/>
  <c r="F9" i="5"/>
  <c r="K9" i="5"/>
  <c r="C30" i="5"/>
  <c r="G30" i="5" s="1"/>
  <c r="D8" i="5"/>
  <c r="E8" i="5"/>
  <c r="F8" i="5"/>
  <c r="C29" i="5" s="1"/>
  <c r="K8" i="5"/>
  <c r="D7" i="5"/>
  <c r="E7" i="5"/>
  <c r="F7" i="5"/>
  <c r="K7" i="5"/>
  <c r="C28" i="5"/>
  <c r="G28" i="5" s="1"/>
  <c r="D6" i="5"/>
  <c r="E6" i="5"/>
  <c r="F6" i="5"/>
  <c r="C27" i="5" s="1"/>
  <c r="K6" i="5"/>
  <c r="D5" i="5"/>
  <c r="E5" i="5"/>
  <c r="F5" i="5"/>
  <c r="K5" i="5"/>
  <c r="C26" i="5"/>
  <c r="G26" i="5" s="1"/>
  <c r="D16" i="4"/>
  <c r="E16" i="4"/>
  <c r="F16" i="4"/>
  <c r="C37" i="4" s="1"/>
  <c r="K16" i="4"/>
  <c r="D15" i="4"/>
  <c r="E15" i="4"/>
  <c r="F15" i="4"/>
  <c r="K15" i="4"/>
  <c r="C36" i="4"/>
  <c r="G36" i="4" s="1"/>
  <c r="D14" i="4"/>
  <c r="E14" i="4"/>
  <c r="F14" i="4"/>
  <c r="C35" i="4" s="1"/>
  <c r="K14" i="4"/>
  <c r="D13" i="4"/>
  <c r="E13" i="4"/>
  <c r="F13" i="4"/>
  <c r="K13" i="4"/>
  <c r="C34" i="4"/>
  <c r="G34" i="4" s="1"/>
  <c r="D12" i="4"/>
  <c r="E12" i="4"/>
  <c r="F12" i="4"/>
  <c r="C33" i="4" s="1"/>
  <c r="K12" i="4"/>
  <c r="D11" i="4"/>
  <c r="E11" i="4"/>
  <c r="F11" i="4"/>
  <c r="K11" i="4"/>
  <c r="C32" i="4"/>
  <c r="G32" i="4" s="1"/>
  <c r="D10" i="4"/>
  <c r="E10" i="4"/>
  <c r="F10" i="4"/>
  <c r="C31" i="4" s="1"/>
  <c r="K10" i="4"/>
  <c r="D9" i="4"/>
  <c r="E9" i="4"/>
  <c r="F9" i="4"/>
  <c r="K9" i="4"/>
  <c r="C30" i="4"/>
  <c r="G30" i="4" s="1"/>
  <c r="D8" i="4"/>
  <c r="E8" i="4"/>
  <c r="F8" i="4"/>
  <c r="C29" i="4" s="1"/>
  <c r="K8" i="4"/>
  <c r="D7" i="4"/>
  <c r="E7" i="4"/>
  <c r="F7" i="4"/>
  <c r="K7" i="4"/>
  <c r="C28" i="4"/>
  <c r="G28" i="4" s="1"/>
  <c r="D6" i="4"/>
  <c r="E6" i="4"/>
  <c r="F6" i="4"/>
  <c r="C27" i="4" s="1"/>
  <c r="K6" i="4"/>
  <c r="D5" i="4"/>
  <c r="E5" i="4"/>
  <c r="F5" i="4"/>
  <c r="K5" i="4"/>
  <c r="C26" i="4"/>
  <c r="G26" i="4" s="1"/>
  <c r="D16" i="3"/>
  <c r="E16" i="3"/>
  <c r="F16" i="3"/>
  <c r="C37" i="3" s="1"/>
  <c r="K16" i="3"/>
  <c r="D15" i="3"/>
  <c r="E15" i="3"/>
  <c r="F15" i="3"/>
  <c r="K15" i="3"/>
  <c r="C36" i="3"/>
  <c r="G36" i="3" s="1"/>
  <c r="D14" i="3"/>
  <c r="E14" i="3"/>
  <c r="F14" i="3"/>
  <c r="C35" i="3" s="1"/>
  <c r="K14" i="3"/>
  <c r="D13" i="3"/>
  <c r="E13" i="3"/>
  <c r="F13" i="3"/>
  <c r="K13" i="3"/>
  <c r="C34" i="3"/>
  <c r="G34" i="3" s="1"/>
  <c r="D12" i="3"/>
  <c r="E12" i="3"/>
  <c r="F12" i="3"/>
  <c r="C33" i="3" s="1"/>
  <c r="K12" i="3"/>
  <c r="D11" i="3"/>
  <c r="E11" i="3"/>
  <c r="F11" i="3"/>
  <c r="K11" i="3"/>
  <c r="C32" i="3"/>
  <c r="G32" i="3" s="1"/>
  <c r="D10" i="3"/>
  <c r="E10" i="3"/>
  <c r="F10" i="3"/>
  <c r="C31" i="3" s="1"/>
  <c r="K10" i="3"/>
  <c r="D9" i="3"/>
  <c r="E9" i="3"/>
  <c r="F9" i="3"/>
  <c r="K9" i="3"/>
  <c r="C30" i="3"/>
  <c r="G30" i="3" s="1"/>
  <c r="D8" i="3"/>
  <c r="E8" i="3"/>
  <c r="F8" i="3"/>
  <c r="C29" i="3" s="1"/>
  <c r="K8" i="3"/>
  <c r="D7" i="3"/>
  <c r="E7" i="3"/>
  <c r="F7" i="3"/>
  <c r="K7" i="3"/>
  <c r="C28" i="3"/>
  <c r="G28" i="3" s="1"/>
  <c r="D6" i="3"/>
  <c r="E6" i="3"/>
  <c r="F6" i="3"/>
  <c r="C27" i="3" s="1"/>
  <c r="K6" i="3"/>
  <c r="D5" i="3"/>
  <c r="E5" i="3"/>
  <c r="F5" i="3"/>
  <c r="K5" i="3"/>
  <c r="C26" i="3"/>
  <c r="G26" i="3" s="1"/>
  <c r="D16" i="2"/>
  <c r="E16" i="2"/>
  <c r="F16" i="2"/>
  <c r="C37" i="2" s="1"/>
  <c r="K16" i="2"/>
  <c r="D15" i="2"/>
  <c r="E15" i="2"/>
  <c r="F15" i="2"/>
  <c r="K15" i="2"/>
  <c r="C36" i="2"/>
  <c r="G36" i="2" s="1"/>
  <c r="D14" i="2"/>
  <c r="E14" i="2"/>
  <c r="F14" i="2"/>
  <c r="C35" i="2" s="1"/>
  <c r="K14" i="2"/>
  <c r="D13" i="2"/>
  <c r="E13" i="2"/>
  <c r="F13" i="2"/>
  <c r="K13" i="2"/>
  <c r="C34" i="2"/>
  <c r="G34" i="2" s="1"/>
  <c r="D12" i="2"/>
  <c r="E12" i="2"/>
  <c r="F12" i="2"/>
  <c r="C33" i="2" s="1"/>
  <c r="K12" i="2"/>
  <c r="D11" i="2"/>
  <c r="E11" i="2"/>
  <c r="F11" i="2"/>
  <c r="K11" i="2"/>
  <c r="C32" i="2"/>
  <c r="G32" i="2" s="1"/>
  <c r="D10" i="2"/>
  <c r="E10" i="2"/>
  <c r="F10" i="2"/>
  <c r="C31" i="2" s="1"/>
  <c r="K10" i="2"/>
  <c r="D9" i="2"/>
  <c r="E9" i="2"/>
  <c r="F9" i="2"/>
  <c r="K9" i="2"/>
  <c r="C30" i="2"/>
  <c r="G30" i="2" s="1"/>
  <c r="D8" i="2"/>
  <c r="E8" i="2"/>
  <c r="F8" i="2"/>
  <c r="C29" i="2" s="1"/>
  <c r="K8" i="2"/>
  <c r="D7" i="2"/>
  <c r="E7" i="2"/>
  <c r="F7" i="2"/>
  <c r="K7" i="2"/>
  <c r="C28" i="2"/>
  <c r="G28" i="2" s="1"/>
  <c r="D6" i="2"/>
  <c r="E6" i="2"/>
  <c r="F6" i="2"/>
  <c r="C27" i="2" s="1"/>
  <c r="K6" i="2"/>
  <c r="D5" i="2"/>
  <c r="E5" i="2"/>
  <c r="F5" i="2"/>
  <c r="K5" i="2"/>
  <c r="C26" i="2"/>
  <c r="G26" i="2" s="1"/>
  <c r="D6" i="1"/>
  <c r="E6" i="1"/>
  <c r="F6" i="1"/>
  <c r="C27" i="1" s="1"/>
  <c r="K6" i="1"/>
  <c r="D7" i="1"/>
  <c r="E7" i="1"/>
  <c r="F7" i="1"/>
  <c r="K7" i="1"/>
  <c r="C28" i="1"/>
  <c r="G28" i="1" s="1"/>
  <c r="D8" i="1"/>
  <c r="E8" i="1"/>
  <c r="F8" i="1"/>
  <c r="C29" i="1" s="1"/>
  <c r="K8" i="1"/>
  <c r="D9" i="1"/>
  <c r="E9" i="1"/>
  <c r="F9" i="1"/>
  <c r="K9" i="1"/>
  <c r="C30" i="1"/>
  <c r="G30" i="1" s="1"/>
  <c r="D10" i="1"/>
  <c r="E10" i="1"/>
  <c r="F10" i="1"/>
  <c r="C31" i="1" s="1"/>
  <c r="K10" i="1"/>
  <c r="D11" i="1"/>
  <c r="E11" i="1"/>
  <c r="F11" i="1"/>
  <c r="K11" i="1"/>
  <c r="C32" i="1"/>
  <c r="G32" i="1" s="1"/>
  <c r="D12" i="1"/>
  <c r="E12" i="1"/>
  <c r="F12" i="1"/>
  <c r="C33" i="1" s="1"/>
  <c r="K12" i="1"/>
  <c r="D13" i="1"/>
  <c r="E13" i="1"/>
  <c r="F13" i="1"/>
  <c r="K13" i="1"/>
  <c r="C34" i="1"/>
  <c r="G34" i="1" s="1"/>
  <c r="D14" i="1"/>
  <c r="E14" i="1"/>
  <c r="F14" i="1"/>
  <c r="C35" i="1" s="1"/>
  <c r="K14" i="1"/>
  <c r="D15" i="1"/>
  <c r="E15" i="1"/>
  <c r="F15" i="1"/>
  <c r="K15" i="1"/>
  <c r="C36" i="1"/>
  <c r="G36" i="1" s="1"/>
  <c r="D16" i="1"/>
  <c r="E16" i="1"/>
  <c r="F16" i="1"/>
  <c r="C37" i="1" s="1"/>
  <c r="K16" i="1"/>
  <c r="D5" i="1"/>
  <c r="E5" i="1"/>
  <c r="F5" i="1"/>
  <c r="K5" i="1"/>
  <c r="C26" i="1"/>
  <c r="G26" i="1" s="1"/>
  <c r="F26" i="8"/>
  <c r="O26" i="8" s="1"/>
  <c r="O16" i="7"/>
  <c r="D37" i="7"/>
  <c r="F37" i="7" s="1"/>
  <c r="O37" i="7" s="1"/>
  <c r="C16" i="7"/>
  <c r="E37" i="7" s="1"/>
  <c r="B16" i="7"/>
  <c r="B37" i="7" s="1"/>
  <c r="O15" i="7"/>
  <c r="D36" i="7"/>
  <c r="C15" i="7"/>
  <c r="E36" i="7" s="1"/>
  <c r="B15" i="7"/>
  <c r="B36" i="7"/>
  <c r="O14" i="7"/>
  <c r="D35" i="7" s="1"/>
  <c r="F35" i="7" s="1"/>
  <c r="O35" i="7" s="1"/>
  <c r="C14" i="7"/>
  <c r="E35" i="7" s="1"/>
  <c r="B14" i="7"/>
  <c r="B35" i="7"/>
  <c r="O13" i="7"/>
  <c r="D34" i="7" s="1"/>
  <c r="F34" i="7" s="1"/>
  <c r="O34" i="7" s="1"/>
  <c r="C13" i="7"/>
  <c r="E34" i="7"/>
  <c r="B13" i="7"/>
  <c r="B34" i="7" s="1"/>
  <c r="O12" i="7"/>
  <c r="D33" i="7"/>
  <c r="F33" i="7" s="1"/>
  <c r="O33" i="7" s="1"/>
  <c r="C12" i="7"/>
  <c r="E33" i="7"/>
  <c r="B12" i="7"/>
  <c r="B33" i="7" s="1"/>
  <c r="O11" i="7"/>
  <c r="D32" i="7"/>
  <c r="C11" i="7"/>
  <c r="E32" i="7" s="1"/>
  <c r="B11" i="7"/>
  <c r="B32" i="7"/>
  <c r="O10" i="7"/>
  <c r="D31" i="7" s="1"/>
  <c r="C10" i="7"/>
  <c r="E31" i="7" s="1"/>
  <c r="B10" i="7"/>
  <c r="B31" i="7"/>
  <c r="O9" i="7"/>
  <c r="D30" i="7" s="1"/>
  <c r="F30" i="7" s="1"/>
  <c r="O30" i="7" s="1"/>
  <c r="C9" i="7"/>
  <c r="E30" i="7"/>
  <c r="B9" i="7"/>
  <c r="B30" i="7" s="1"/>
  <c r="O8" i="7"/>
  <c r="D29" i="7"/>
  <c r="F29" i="7" s="1"/>
  <c r="O29" i="7" s="1"/>
  <c r="C8" i="7"/>
  <c r="E29" i="7"/>
  <c r="B8" i="7"/>
  <c r="B29" i="7" s="1"/>
  <c r="O7" i="7"/>
  <c r="D28" i="7"/>
  <c r="C7" i="7"/>
  <c r="E28" i="7" s="1"/>
  <c r="B7" i="7"/>
  <c r="B28" i="7"/>
  <c r="O6" i="7"/>
  <c r="D27" i="7" s="1"/>
  <c r="F27" i="7" s="1"/>
  <c r="O27" i="7" s="1"/>
  <c r="C6" i="7"/>
  <c r="E27" i="7" s="1"/>
  <c r="B6" i="7"/>
  <c r="B27" i="7"/>
  <c r="O5" i="7"/>
  <c r="D26" i="7" s="1"/>
  <c r="F26" i="7" s="1"/>
  <c r="O26" i="7" s="1"/>
  <c r="C5" i="7"/>
  <c r="E26" i="7"/>
  <c r="B5" i="7"/>
  <c r="B26" i="7" s="1"/>
  <c r="O16" i="6"/>
  <c r="D37" i="6"/>
  <c r="F37" i="6" s="1"/>
  <c r="O37" i="6" s="1"/>
  <c r="C16" i="6"/>
  <c r="E37" i="6"/>
  <c r="B16" i="6"/>
  <c r="B37" i="6" s="1"/>
  <c r="O15" i="6"/>
  <c r="D36" i="6"/>
  <c r="C15" i="6"/>
  <c r="E36" i="6" s="1"/>
  <c r="B15" i="6"/>
  <c r="B36" i="6"/>
  <c r="O14" i="6"/>
  <c r="D35" i="6" s="1"/>
  <c r="F35" i="6" s="1"/>
  <c r="O35" i="6" s="1"/>
  <c r="C14" i="6"/>
  <c r="E35" i="6" s="1"/>
  <c r="B14" i="6"/>
  <c r="B35" i="6"/>
  <c r="O13" i="6"/>
  <c r="D34" i="6" s="1"/>
  <c r="F34" i="6" s="1"/>
  <c r="O34" i="6" s="1"/>
  <c r="C13" i="6"/>
  <c r="E34" i="6"/>
  <c r="B13" i="6"/>
  <c r="B34" i="6" s="1"/>
  <c r="O12" i="6"/>
  <c r="D33" i="6"/>
  <c r="F33" i="6" s="1"/>
  <c r="O33" i="6" s="1"/>
  <c r="C12" i="6"/>
  <c r="E33" i="6"/>
  <c r="B12" i="6"/>
  <c r="B33" i="6" s="1"/>
  <c r="O11" i="6"/>
  <c r="D32" i="6"/>
  <c r="F32" i="6"/>
  <c r="O32" i="6" s="1"/>
  <c r="C11" i="6"/>
  <c r="E32" i="6" s="1"/>
  <c r="B11" i="6"/>
  <c r="B32" i="6"/>
  <c r="O10" i="6"/>
  <c r="D31" i="6" s="1"/>
  <c r="C10" i="6"/>
  <c r="E31" i="6" s="1"/>
  <c r="B10" i="6"/>
  <c r="B31" i="6"/>
  <c r="O9" i="6"/>
  <c r="D30" i="6" s="1"/>
  <c r="F30" i="6" s="1"/>
  <c r="O30" i="6" s="1"/>
  <c r="C9" i="6"/>
  <c r="E30" i="6"/>
  <c r="B9" i="6"/>
  <c r="B30" i="6" s="1"/>
  <c r="O8" i="6"/>
  <c r="D29" i="6"/>
  <c r="F29" i="6" s="1"/>
  <c r="O29" i="6" s="1"/>
  <c r="C8" i="6"/>
  <c r="E29" i="6"/>
  <c r="B8" i="6"/>
  <c r="B29" i="6" s="1"/>
  <c r="O7" i="6"/>
  <c r="D28" i="6"/>
  <c r="F28" i="6"/>
  <c r="O28" i="6" s="1"/>
  <c r="C7" i="6"/>
  <c r="E28" i="6" s="1"/>
  <c r="B7" i="6"/>
  <c r="B28" i="6"/>
  <c r="O6" i="6"/>
  <c r="D27" i="6" s="1"/>
  <c r="F27" i="6" s="1"/>
  <c r="O27" i="6" s="1"/>
  <c r="C6" i="6"/>
  <c r="E27" i="6" s="1"/>
  <c r="B6" i="6"/>
  <c r="B27" i="6"/>
  <c r="O5" i="6"/>
  <c r="D26" i="6" s="1"/>
  <c r="F26" i="6" s="1"/>
  <c r="O26" i="6" s="1"/>
  <c r="C5" i="6"/>
  <c r="E26" i="6"/>
  <c r="B5" i="6"/>
  <c r="B26" i="6" s="1"/>
  <c r="O16" i="5"/>
  <c r="D37" i="5"/>
  <c r="F37" i="5" s="1"/>
  <c r="O37" i="5" s="1"/>
  <c r="C16" i="5"/>
  <c r="E37" i="5"/>
  <c r="B16" i="5"/>
  <c r="B37" i="5" s="1"/>
  <c r="O15" i="5"/>
  <c r="D36" i="5"/>
  <c r="F36" i="5"/>
  <c r="O36" i="5" s="1"/>
  <c r="C15" i="5"/>
  <c r="E36" i="5" s="1"/>
  <c r="B15" i="5"/>
  <c r="B36" i="5"/>
  <c r="O14" i="5"/>
  <c r="D35" i="5" s="1"/>
  <c r="F35" i="5" s="1"/>
  <c r="O35" i="5" s="1"/>
  <c r="C14" i="5"/>
  <c r="E35" i="5" s="1"/>
  <c r="B14" i="5"/>
  <c r="B35" i="5"/>
  <c r="O13" i="5"/>
  <c r="D34" i="5" s="1"/>
  <c r="F34" i="5" s="1"/>
  <c r="O34" i="5" s="1"/>
  <c r="C13" i="5"/>
  <c r="E34" i="5"/>
  <c r="B13" i="5"/>
  <c r="B34" i="5" s="1"/>
  <c r="O12" i="5"/>
  <c r="D33" i="5"/>
  <c r="F33" i="5" s="1"/>
  <c r="O33" i="5" s="1"/>
  <c r="C12" i="5"/>
  <c r="E33" i="5"/>
  <c r="B12" i="5"/>
  <c r="B33" i="5" s="1"/>
  <c r="O11" i="5"/>
  <c r="D32" i="5"/>
  <c r="F32" i="5"/>
  <c r="O32" i="5" s="1"/>
  <c r="C11" i="5"/>
  <c r="E32" i="5" s="1"/>
  <c r="B11" i="5"/>
  <c r="B32" i="5"/>
  <c r="O10" i="5"/>
  <c r="D31" i="5" s="1"/>
  <c r="F31" i="5" s="1"/>
  <c r="O31" i="5" s="1"/>
  <c r="C10" i="5"/>
  <c r="E31" i="5" s="1"/>
  <c r="B10" i="5"/>
  <c r="B31" i="5"/>
  <c r="O9" i="5"/>
  <c r="D30" i="5" s="1"/>
  <c r="F30" i="5" s="1"/>
  <c r="O30" i="5" s="1"/>
  <c r="C9" i="5"/>
  <c r="E30" i="5"/>
  <c r="B9" i="5"/>
  <c r="B30" i="5" s="1"/>
  <c r="O8" i="5"/>
  <c r="D29" i="5"/>
  <c r="F29" i="5" s="1"/>
  <c r="O29" i="5" s="1"/>
  <c r="C8" i="5"/>
  <c r="E29" i="5"/>
  <c r="B8" i="5"/>
  <c r="B29" i="5" s="1"/>
  <c r="O7" i="5"/>
  <c r="D28" i="5"/>
  <c r="F28" i="5"/>
  <c r="O28" i="5" s="1"/>
  <c r="C7" i="5"/>
  <c r="E28" i="5" s="1"/>
  <c r="B7" i="5"/>
  <c r="B28" i="5"/>
  <c r="O6" i="5"/>
  <c r="D27" i="5" s="1"/>
  <c r="C6" i="5"/>
  <c r="E27" i="5" s="1"/>
  <c r="B6" i="5"/>
  <c r="B27" i="5"/>
  <c r="O5" i="5"/>
  <c r="D26" i="5" s="1"/>
  <c r="F26" i="5" s="1"/>
  <c r="O26" i="5" s="1"/>
  <c r="C5" i="5"/>
  <c r="E26" i="5"/>
  <c r="B5" i="5"/>
  <c r="B26" i="5" s="1"/>
  <c r="O16" i="4"/>
  <c r="D37" i="4"/>
  <c r="C16" i="4"/>
  <c r="E37" i="4"/>
  <c r="B16" i="4"/>
  <c r="B37" i="4" s="1"/>
  <c r="O15" i="4"/>
  <c r="D36" i="4"/>
  <c r="F36" i="4"/>
  <c r="O36" i="4" s="1"/>
  <c r="C15" i="4"/>
  <c r="E36" i="4" s="1"/>
  <c r="B15" i="4"/>
  <c r="B36" i="4"/>
  <c r="O14" i="4"/>
  <c r="D35" i="4" s="1"/>
  <c r="F35" i="4" s="1"/>
  <c r="O35" i="4" s="1"/>
  <c r="C14" i="4"/>
  <c r="E35" i="4" s="1"/>
  <c r="B14" i="4"/>
  <c r="B35" i="4"/>
  <c r="O13" i="4"/>
  <c r="D34" i="4" s="1"/>
  <c r="F34" i="4" s="1"/>
  <c r="O34" i="4" s="1"/>
  <c r="C13" i="4"/>
  <c r="E34" i="4"/>
  <c r="B13" i="4"/>
  <c r="B34" i="4" s="1"/>
  <c r="O12" i="4"/>
  <c r="D33" i="4"/>
  <c r="F33" i="4" s="1"/>
  <c r="O33" i="4" s="1"/>
  <c r="C12" i="4"/>
  <c r="E33" i="4"/>
  <c r="B12" i="4"/>
  <c r="B33" i="4" s="1"/>
  <c r="O11" i="4"/>
  <c r="D32" i="4"/>
  <c r="F32" i="4"/>
  <c r="O32" i="4" s="1"/>
  <c r="C11" i="4"/>
  <c r="E32" i="4" s="1"/>
  <c r="B11" i="4"/>
  <c r="B32" i="4"/>
  <c r="O10" i="4"/>
  <c r="D31" i="4" s="1"/>
  <c r="F31" i="4" s="1"/>
  <c r="O31" i="4" s="1"/>
  <c r="C10" i="4"/>
  <c r="E31" i="4" s="1"/>
  <c r="B10" i="4"/>
  <c r="B31" i="4" s="1"/>
  <c r="O9" i="4"/>
  <c r="D30" i="4" s="1"/>
  <c r="F30" i="4" s="1"/>
  <c r="O30" i="4" s="1"/>
  <c r="C9" i="4"/>
  <c r="E30" i="4"/>
  <c r="B9" i="4"/>
  <c r="B30" i="4" s="1"/>
  <c r="O8" i="4"/>
  <c r="D29" i="4"/>
  <c r="F29" i="4" s="1"/>
  <c r="O29" i="4" s="1"/>
  <c r="C8" i="4"/>
  <c r="E29" i="4"/>
  <c r="B8" i="4"/>
  <c r="B29" i="4" s="1"/>
  <c r="O7" i="4"/>
  <c r="D28" i="4" s="1"/>
  <c r="F28" i="4" s="1"/>
  <c r="O28" i="4" s="1"/>
  <c r="C7" i="4"/>
  <c r="E28" i="4" s="1"/>
  <c r="B7" i="4"/>
  <c r="B28" i="4"/>
  <c r="O6" i="4"/>
  <c r="D27" i="4" s="1"/>
  <c r="F27" i="4" s="1"/>
  <c r="O27" i="4" s="1"/>
  <c r="C6" i="4"/>
  <c r="E27" i="4" s="1"/>
  <c r="B6" i="4"/>
  <c r="B27" i="4" s="1"/>
  <c r="O5" i="4"/>
  <c r="D26" i="4" s="1"/>
  <c r="F26" i="4" s="1"/>
  <c r="O26" i="4" s="1"/>
  <c r="C5" i="4"/>
  <c r="E26" i="4"/>
  <c r="B5" i="4"/>
  <c r="B26" i="4" s="1"/>
  <c r="O16" i="3"/>
  <c r="D37" i="3"/>
  <c r="F37" i="3" s="1"/>
  <c r="O37" i="3" s="1"/>
  <c r="C16" i="3"/>
  <c r="E37" i="3"/>
  <c r="B16" i="3"/>
  <c r="B37" i="3" s="1"/>
  <c r="O15" i="3"/>
  <c r="D36" i="3"/>
  <c r="F36" i="3"/>
  <c r="O36" i="3" s="1"/>
  <c r="C15" i="3"/>
  <c r="E36" i="3" s="1"/>
  <c r="B15" i="3"/>
  <c r="B36" i="3"/>
  <c r="O14" i="3"/>
  <c r="D35" i="3" s="1"/>
  <c r="C14" i="3"/>
  <c r="E35" i="3" s="1"/>
  <c r="B14" i="3"/>
  <c r="B35" i="3"/>
  <c r="O13" i="3"/>
  <c r="D34" i="3" s="1"/>
  <c r="F34" i="3" s="1"/>
  <c r="O34" i="3" s="1"/>
  <c r="C13" i="3"/>
  <c r="E34" i="3"/>
  <c r="B13" i="3"/>
  <c r="B34" i="3" s="1"/>
  <c r="O12" i="3"/>
  <c r="D33" i="3"/>
  <c r="C12" i="3"/>
  <c r="E33" i="3"/>
  <c r="B12" i="3"/>
  <c r="B33" i="3" s="1"/>
  <c r="O11" i="3"/>
  <c r="D32" i="3"/>
  <c r="F32" i="3"/>
  <c r="O32" i="3" s="1"/>
  <c r="C11" i="3"/>
  <c r="E32" i="3" s="1"/>
  <c r="B11" i="3"/>
  <c r="B32" i="3"/>
  <c r="O10" i="3"/>
  <c r="D31" i="3" s="1"/>
  <c r="F31" i="3" s="1"/>
  <c r="O31" i="3" s="1"/>
  <c r="C10" i="3"/>
  <c r="E31" i="3" s="1"/>
  <c r="B10" i="3"/>
  <c r="B31" i="3"/>
  <c r="O9" i="3"/>
  <c r="D30" i="3" s="1"/>
  <c r="F30" i="3" s="1"/>
  <c r="O30" i="3" s="1"/>
  <c r="C9" i="3"/>
  <c r="E30" i="3"/>
  <c r="B9" i="3"/>
  <c r="B30" i="3" s="1"/>
  <c r="O8" i="3"/>
  <c r="D29" i="3"/>
  <c r="F29" i="3" s="1"/>
  <c r="O29" i="3" s="1"/>
  <c r="C8" i="3"/>
  <c r="E29" i="3"/>
  <c r="B8" i="3"/>
  <c r="B29" i="3" s="1"/>
  <c r="O7" i="3"/>
  <c r="D28" i="3"/>
  <c r="F28" i="3"/>
  <c r="O28" i="3" s="1"/>
  <c r="C7" i="3"/>
  <c r="E28" i="3" s="1"/>
  <c r="B7" i="3"/>
  <c r="B28" i="3"/>
  <c r="O6" i="3"/>
  <c r="D27" i="3" s="1"/>
  <c r="F27" i="3" s="1"/>
  <c r="O27" i="3" s="1"/>
  <c r="C6" i="3"/>
  <c r="E27" i="3" s="1"/>
  <c r="B6" i="3"/>
  <c r="B27" i="3"/>
  <c r="O5" i="3"/>
  <c r="D26" i="3" s="1"/>
  <c r="F26" i="3" s="1"/>
  <c r="O26" i="3" s="1"/>
  <c r="C5" i="3"/>
  <c r="E26" i="3"/>
  <c r="B5" i="3"/>
  <c r="B26" i="3" s="1"/>
  <c r="O16" i="2"/>
  <c r="D37" i="2"/>
  <c r="F37" i="2" s="1"/>
  <c r="O37" i="2" s="1"/>
  <c r="C16" i="2"/>
  <c r="E37" i="2"/>
  <c r="B16" i="2"/>
  <c r="B37" i="2" s="1"/>
  <c r="O15" i="2"/>
  <c r="D36" i="2"/>
  <c r="F36" i="2"/>
  <c r="O36" i="2" s="1"/>
  <c r="C15" i="2"/>
  <c r="E36" i="2" s="1"/>
  <c r="B15" i="2"/>
  <c r="B36" i="2"/>
  <c r="O14" i="2"/>
  <c r="D35" i="2" s="1"/>
  <c r="F35" i="2" s="1"/>
  <c r="O35" i="2" s="1"/>
  <c r="C14" i="2"/>
  <c r="E35" i="2" s="1"/>
  <c r="B14" i="2"/>
  <c r="B35" i="2"/>
  <c r="O13" i="2"/>
  <c r="D34" i="2" s="1"/>
  <c r="F34" i="2" s="1"/>
  <c r="O34" i="2" s="1"/>
  <c r="C13" i="2"/>
  <c r="E34" i="2"/>
  <c r="B13" i="2"/>
  <c r="B34" i="2" s="1"/>
  <c r="O12" i="2"/>
  <c r="D33" i="2"/>
  <c r="F33" i="2" s="1"/>
  <c r="O33" i="2" s="1"/>
  <c r="C12" i="2"/>
  <c r="E33" i="2"/>
  <c r="B12" i="2"/>
  <c r="B33" i="2" s="1"/>
  <c r="O11" i="2"/>
  <c r="D32" i="2"/>
  <c r="F32" i="2"/>
  <c r="O32" i="2" s="1"/>
  <c r="C11" i="2"/>
  <c r="E32" i="2" s="1"/>
  <c r="B11" i="2"/>
  <c r="B32" i="2"/>
  <c r="O10" i="2"/>
  <c r="D31" i="2" s="1"/>
  <c r="C10" i="2"/>
  <c r="E31" i="2" s="1"/>
  <c r="B10" i="2"/>
  <c r="B31" i="2"/>
  <c r="O9" i="2"/>
  <c r="D30" i="2" s="1"/>
  <c r="F30" i="2" s="1"/>
  <c r="O30" i="2" s="1"/>
  <c r="C9" i="2"/>
  <c r="E30" i="2"/>
  <c r="B9" i="2"/>
  <c r="B30" i="2" s="1"/>
  <c r="O8" i="2"/>
  <c r="D29" i="2"/>
  <c r="C8" i="2"/>
  <c r="E29" i="2"/>
  <c r="B8" i="2"/>
  <c r="B29" i="2" s="1"/>
  <c r="O7" i="2"/>
  <c r="D28" i="2"/>
  <c r="F28" i="2"/>
  <c r="O28" i="2" s="1"/>
  <c r="C7" i="2"/>
  <c r="E28" i="2" s="1"/>
  <c r="B7" i="2"/>
  <c r="B28" i="2"/>
  <c r="O6" i="2"/>
  <c r="D27" i="2" s="1"/>
  <c r="F27" i="2" s="1"/>
  <c r="O27" i="2" s="1"/>
  <c r="C6" i="2"/>
  <c r="E27" i="2" s="1"/>
  <c r="B6" i="2"/>
  <c r="B27" i="2"/>
  <c r="O5" i="2"/>
  <c r="D26" i="2" s="1"/>
  <c r="F26" i="2" s="1"/>
  <c r="O26" i="2" s="1"/>
  <c r="C5" i="2"/>
  <c r="E26" i="2"/>
  <c r="B5" i="2"/>
  <c r="B26" i="2" s="1"/>
  <c r="O6" i="1"/>
  <c r="D27" i="1"/>
  <c r="F27" i="1" s="1"/>
  <c r="O27" i="1" s="1"/>
  <c r="O7" i="1"/>
  <c r="D28" i="1" s="1"/>
  <c r="F28" i="1" s="1"/>
  <c r="O28" i="1" s="1"/>
  <c r="O8" i="1"/>
  <c r="D29" i="1"/>
  <c r="F29" i="1" s="1"/>
  <c r="O29" i="1" s="1"/>
  <c r="O9" i="1"/>
  <c r="D30" i="1" s="1"/>
  <c r="F30" i="1" s="1"/>
  <c r="O30" i="1" s="1"/>
  <c r="O10" i="1"/>
  <c r="D31" i="1"/>
  <c r="F31" i="1" s="1"/>
  <c r="O31" i="1" s="1"/>
  <c r="O11" i="1"/>
  <c r="D32" i="1" s="1"/>
  <c r="F32" i="1" s="1"/>
  <c r="O32" i="1" s="1"/>
  <c r="O12" i="1"/>
  <c r="D33" i="1"/>
  <c r="F33" i="1" s="1"/>
  <c r="O33" i="1" s="1"/>
  <c r="O13" i="1"/>
  <c r="D34" i="1" s="1"/>
  <c r="F34" i="1" s="1"/>
  <c r="O34" i="1" s="1"/>
  <c r="O14" i="1"/>
  <c r="D35" i="1"/>
  <c r="F35" i="1" s="1"/>
  <c r="O35" i="1" s="1"/>
  <c r="O15" i="1"/>
  <c r="D36" i="1" s="1"/>
  <c r="F36" i="1" s="1"/>
  <c r="O36" i="1" s="1"/>
  <c r="O16" i="1"/>
  <c r="D37" i="1"/>
  <c r="F37" i="1" s="1"/>
  <c r="O37" i="1" s="1"/>
  <c r="O5" i="1"/>
  <c r="D26" i="1" s="1"/>
  <c r="F26" i="1" s="1"/>
  <c r="O26" i="1" s="1"/>
  <c r="C6" i="1"/>
  <c r="E27" i="1"/>
  <c r="C7" i="1"/>
  <c r="E28" i="1" s="1"/>
  <c r="C8" i="1"/>
  <c r="E29" i="1"/>
  <c r="C9" i="1"/>
  <c r="E30" i="1" s="1"/>
  <c r="C10" i="1"/>
  <c r="E31" i="1"/>
  <c r="C11" i="1"/>
  <c r="E32" i="1" s="1"/>
  <c r="C12" i="1"/>
  <c r="E33" i="1"/>
  <c r="C13" i="1"/>
  <c r="E34" i="1" s="1"/>
  <c r="C14" i="1"/>
  <c r="E35" i="1"/>
  <c r="C15" i="1"/>
  <c r="E36" i="1" s="1"/>
  <c r="C16" i="1"/>
  <c r="E37" i="1"/>
  <c r="C5" i="1"/>
  <c r="E26" i="1" s="1"/>
  <c r="B6" i="1"/>
  <c r="B27" i="1"/>
  <c r="B7" i="1"/>
  <c r="B28" i="1" s="1"/>
  <c r="B8" i="1"/>
  <c r="B29" i="1"/>
  <c r="B9" i="1"/>
  <c r="B30" i="1" s="1"/>
  <c r="B10" i="1"/>
  <c r="B31" i="1"/>
  <c r="B11" i="1"/>
  <c r="B32" i="1" s="1"/>
  <c r="B12" i="1"/>
  <c r="B33" i="1"/>
  <c r="B13" i="1"/>
  <c r="B34" i="1" s="1"/>
  <c r="B14" i="1"/>
  <c r="B35" i="1"/>
  <c r="B15" i="1"/>
  <c r="B36" i="1" s="1"/>
  <c r="B16" i="1"/>
  <c r="B37" i="1"/>
  <c r="B5" i="1"/>
  <c r="B26" i="1" s="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G5" i="11"/>
  <c r="H5" i="11"/>
  <c r="I5" i="11"/>
  <c r="J5" i="11"/>
  <c r="L5" i="11"/>
  <c r="M5" i="11"/>
  <c r="N5" i="11"/>
  <c r="P5" i="11"/>
  <c r="Q5" i="11"/>
  <c r="R5" i="11"/>
  <c r="S5" i="11"/>
  <c r="T5" i="11"/>
  <c r="U5" i="11"/>
  <c r="G6" i="11"/>
  <c r="H6" i="11"/>
  <c r="I6" i="11"/>
  <c r="J6" i="11"/>
  <c r="L6" i="11"/>
  <c r="M6" i="11"/>
  <c r="N6" i="11"/>
  <c r="P6" i="11"/>
  <c r="Q6" i="11"/>
  <c r="R6" i="11"/>
  <c r="S6" i="11"/>
  <c r="T6" i="11"/>
  <c r="U6" i="11"/>
  <c r="G7" i="11"/>
  <c r="H7" i="11"/>
  <c r="I7" i="11"/>
  <c r="J7" i="11"/>
  <c r="L7" i="11"/>
  <c r="M7" i="11"/>
  <c r="N7" i="11"/>
  <c r="P7" i="11"/>
  <c r="Q7" i="11"/>
  <c r="R7" i="11"/>
  <c r="S7" i="11"/>
  <c r="T7" i="11"/>
  <c r="U7" i="11"/>
  <c r="G8" i="11"/>
  <c r="H8" i="11"/>
  <c r="I8" i="11"/>
  <c r="J8" i="11"/>
  <c r="L8" i="11"/>
  <c r="M8" i="11"/>
  <c r="N8" i="11"/>
  <c r="P8" i="11"/>
  <c r="Q8" i="11"/>
  <c r="R8" i="11"/>
  <c r="S8" i="11"/>
  <c r="T8" i="11"/>
  <c r="U8" i="11"/>
  <c r="G9" i="11"/>
  <c r="H9" i="11"/>
  <c r="I9" i="11"/>
  <c r="J9" i="11"/>
  <c r="L9" i="11"/>
  <c r="M9" i="11"/>
  <c r="N9" i="11"/>
  <c r="P9" i="11"/>
  <c r="Q9" i="11"/>
  <c r="R9" i="11"/>
  <c r="S9" i="11"/>
  <c r="T9" i="11"/>
  <c r="U9" i="11"/>
  <c r="G10" i="11"/>
  <c r="H10" i="11"/>
  <c r="I10" i="11"/>
  <c r="J10" i="11"/>
  <c r="L10" i="11"/>
  <c r="M10" i="11"/>
  <c r="N10" i="11"/>
  <c r="P10" i="11"/>
  <c r="Q10" i="11"/>
  <c r="R10" i="11"/>
  <c r="S10" i="11"/>
  <c r="T10" i="11"/>
  <c r="U10" i="11"/>
  <c r="G11" i="11"/>
  <c r="H11" i="11"/>
  <c r="I11" i="11"/>
  <c r="J11" i="11"/>
  <c r="L11" i="11"/>
  <c r="M11" i="11"/>
  <c r="N11" i="11"/>
  <c r="P11" i="11"/>
  <c r="Q11" i="11"/>
  <c r="R11" i="11"/>
  <c r="S11" i="11"/>
  <c r="T11" i="11"/>
  <c r="U11" i="11"/>
  <c r="G12" i="11"/>
  <c r="H12" i="11"/>
  <c r="I12" i="11"/>
  <c r="J12" i="11"/>
  <c r="L12" i="11"/>
  <c r="M12" i="11"/>
  <c r="N12" i="11"/>
  <c r="P12" i="11"/>
  <c r="Q12" i="11"/>
  <c r="R12" i="11"/>
  <c r="S12" i="11"/>
  <c r="T12" i="11"/>
  <c r="U12" i="11"/>
  <c r="G13" i="11"/>
  <c r="H13" i="11"/>
  <c r="I13" i="11"/>
  <c r="J13" i="11"/>
  <c r="L13" i="11"/>
  <c r="M13" i="11"/>
  <c r="N13" i="11"/>
  <c r="P13" i="11"/>
  <c r="Q13" i="11"/>
  <c r="R13" i="11"/>
  <c r="S13" i="11"/>
  <c r="T13" i="11"/>
  <c r="U13" i="11"/>
  <c r="G14" i="11"/>
  <c r="H14" i="11"/>
  <c r="I14" i="11"/>
  <c r="J14" i="11"/>
  <c r="L14" i="11"/>
  <c r="M14" i="11"/>
  <c r="N14" i="11"/>
  <c r="P14" i="11"/>
  <c r="Q14" i="11"/>
  <c r="R14" i="11"/>
  <c r="S14" i="11"/>
  <c r="T14" i="11"/>
  <c r="U14" i="11"/>
  <c r="G15" i="11"/>
  <c r="H15" i="11"/>
  <c r="I15" i="11"/>
  <c r="J15" i="11"/>
  <c r="L15" i="11"/>
  <c r="M15" i="11"/>
  <c r="N15" i="11"/>
  <c r="P15" i="11"/>
  <c r="Q15" i="11"/>
  <c r="R15" i="11"/>
  <c r="S15" i="11"/>
  <c r="T15" i="11"/>
  <c r="U15" i="11"/>
  <c r="G16" i="11"/>
  <c r="H16" i="11"/>
  <c r="I16" i="11"/>
  <c r="J16" i="11"/>
  <c r="L16" i="11"/>
  <c r="M16" i="11"/>
  <c r="N16" i="11"/>
  <c r="P16" i="11"/>
  <c r="Q16" i="11"/>
  <c r="R16" i="11"/>
  <c r="S16" i="11"/>
  <c r="T16" i="11"/>
  <c r="U16" i="11"/>
  <c r="G17" i="11"/>
  <c r="H17" i="11"/>
  <c r="I17" i="11"/>
  <c r="J17" i="11"/>
  <c r="L17" i="11"/>
  <c r="M17" i="11"/>
  <c r="N17" i="11"/>
  <c r="P17" i="11"/>
  <c r="Q17" i="11"/>
  <c r="R17" i="11"/>
  <c r="S17" i="11"/>
  <c r="T17" i="11"/>
  <c r="U17" i="11"/>
  <c r="G18" i="11"/>
  <c r="I18" i="11"/>
  <c r="J18" i="11"/>
  <c r="L18" i="11"/>
  <c r="M18" i="11"/>
  <c r="N18" i="11"/>
  <c r="P18" i="11"/>
  <c r="Q18" i="11"/>
  <c r="R18" i="11"/>
  <c r="S18" i="11"/>
  <c r="T18" i="11"/>
  <c r="U18" i="11"/>
  <c r="G19" i="11"/>
  <c r="H19" i="11"/>
  <c r="I19" i="11"/>
  <c r="J19" i="11"/>
  <c r="L19" i="11"/>
  <c r="M19" i="11"/>
  <c r="N19" i="11"/>
  <c r="P19" i="11"/>
  <c r="Q19" i="11"/>
  <c r="R19" i="11"/>
  <c r="S19" i="11"/>
  <c r="T19" i="11"/>
  <c r="U19" i="11"/>
  <c r="G20" i="11"/>
  <c r="H20" i="11"/>
  <c r="I20" i="11"/>
  <c r="J20" i="11"/>
  <c r="L20" i="11"/>
  <c r="M20" i="11"/>
  <c r="N20" i="11"/>
  <c r="P20" i="11"/>
  <c r="Q20" i="11"/>
  <c r="R20" i="11"/>
  <c r="S20" i="11"/>
  <c r="T20" i="11"/>
  <c r="U20" i="11"/>
  <c r="G21" i="11"/>
  <c r="H21" i="11"/>
  <c r="I21" i="11"/>
  <c r="J21" i="11"/>
  <c r="L21" i="11"/>
  <c r="M21" i="11"/>
  <c r="N21" i="11"/>
  <c r="P21" i="11"/>
  <c r="Q21" i="11"/>
  <c r="R21" i="11"/>
  <c r="S21" i="11"/>
  <c r="T21" i="11"/>
  <c r="U21" i="11"/>
  <c r="G22" i="11"/>
  <c r="H22" i="11"/>
  <c r="I22" i="11"/>
  <c r="J22" i="11"/>
  <c r="L22" i="11"/>
  <c r="M22" i="11"/>
  <c r="N22" i="11"/>
  <c r="P22" i="11"/>
  <c r="Q22" i="11"/>
  <c r="R22" i="11"/>
  <c r="S22" i="11"/>
  <c r="T22" i="11"/>
  <c r="U22" i="11"/>
  <c r="B3" i="11"/>
  <c r="B4" i="11"/>
  <c r="B2" i="11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G5" i="10"/>
  <c r="H5" i="10"/>
  <c r="I5" i="10"/>
  <c r="J5" i="10"/>
  <c r="L5" i="10"/>
  <c r="M5" i="10"/>
  <c r="N5" i="10"/>
  <c r="P5" i="10"/>
  <c r="Q5" i="10"/>
  <c r="R5" i="10"/>
  <c r="S5" i="10"/>
  <c r="T5" i="10"/>
  <c r="U5" i="10"/>
  <c r="G6" i="10"/>
  <c r="H6" i="10"/>
  <c r="I6" i="10"/>
  <c r="J6" i="10"/>
  <c r="L6" i="10"/>
  <c r="M6" i="10"/>
  <c r="N6" i="10"/>
  <c r="P6" i="10"/>
  <c r="Q6" i="10"/>
  <c r="R6" i="10"/>
  <c r="S6" i="10"/>
  <c r="T6" i="10"/>
  <c r="U6" i="10"/>
  <c r="G7" i="10"/>
  <c r="H7" i="10"/>
  <c r="I7" i="10"/>
  <c r="J7" i="10"/>
  <c r="L7" i="10"/>
  <c r="M7" i="10"/>
  <c r="N7" i="10"/>
  <c r="P7" i="10"/>
  <c r="Q7" i="10"/>
  <c r="R7" i="10"/>
  <c r="S7" i="10"/>
  <c r="T7" i="10"/>
  <c r="U7" i="10"/>
  <c r="G8" i="10"/>
  <c r="H8" i="10"/>
  <c r="I8" i="10"/>
  <c r="J8" i="10"/>
  <c r="L8" i="10"/>
  <c r="M8" i="10"/>
  <c r="N8" i="10"/>
  <c r="P8" i="10"/>
  <c r="Q8" i="10"/>
  <c r="R8" i="10"/>
  <c r="S8" i="10"/>
  <c r="T8" i="10"/>
  <c r="U8" i="10"/>
  <c r="G9" i="10"/>
  <c r="H9" i="10"/>
  <c r="I9" i="10"/>
  <c r="J9" i="10"/>
  <c r="L9" i="10"/>
  <c r="M9" i="10"/>
  <c r="N9" i="10"/>
  <c r="P9" i="10"/>
  <c r="Q9" i="10"/>
  <c r="R9" i="10"/>
  <c r="S9" i="10"/>
  <c r="T9" i="10"/>
  <c r="U9" i="10"/>
  <c r="G10" i="10"/>
  <c r="H10" i="10"/>
  <c r="I10" i="10"/>
  <c r="J10" i="10"/>
  <c r="L10" i="10"/>
  <c r="M10" i="10"/>
  <c r="N10" i="10"/>
  <c r="P10" i="10"/>
  <c r="Q10" i="10"/>
  <c r="R10" i="10"/>
  <c r="S10" i="10"/>
  <c r="T10" i="10"/>
  <c r="U10" i="10"/>
  <c r="G11" i="10"/>
  <c r="H11" i="10"/>
  <c r="I11" i="10"/>
  <c r="J11" i="10"/>
  <c r="L11" i="10"/>
  <c r="M11" i="10"/>
  <c r="N11" i="10"/>
  <c r="P11" i="10"/>
  <c r="Q11" i="10"/>
  <c r="R11" i="10"/>
  <c r="S11" i="10"/>
  <c r="T11" i="10"/>
  <c r="U11" i="10"/>
  <c r="G12" i="10"/>
  <c r="H12" i="10"/>
  <c r="I12" i="10"/>
  <c r="J12" i="10"/>
  <c r="L12" i="10"/>
  <c r="M12" i="10"/>
  <c r="N12" i="10"/>
  <c r="P12" i="10"/>
  <c r="Q12" i="10"/>
  <c r="R12" i="10"/>
  <c r="S12" i="10"/>
  <c r="T12" i="10"/>
  <c r="U12" i="10"/>
  <c r="G13" i="10"/>
  <c r="H13" i="10"/>
  <c r="I13" i="10"/>
  <c r="J13" i="10"/>
  <c r="L13" i="10"/>
  <c r="M13" i="10"/>
  <c r="N13" i="10"/>
  <c r="P13" i="10"/>
  <c r="Q13" i="10"/>
  <c r="R13" i="10"/>
  <c r="S13" i="10"/>
  <c r="T13" i="10"/>
  <c r="U13" i="10"/>
  <c r="G14" i="10"/>
  <c r="H14" i="10"/>
  <c r="I14" i="10"/>
  <c r="J14" i="10"/>
  <c r="L14" i="10"/>
  <c r="M14" i="10"/>
  <c r="N14" i="10"/>
  <c r="P14" i="10"/>
  <c r="Q14" i="10"/>
  <c r="R14" i="10"/>
  <c r="S14" i="10"/>
  <c r="T14" i="10"/>
  <c r="U14" i="10"/>
  <c r="G15" i="10"/>
  <c r="H15" i="10"/>
  <c r="I15" i="10"/>
  <c r="J15" i="10"/>
  <c r="L15" i="10"/>
  <c r="M15" i="10"/>
  <c r="N15" i="10"/>
  <c r="P15" i="10"/>
  <c r="Q15" i="10"/>
  <c r="R15" i="10"/>
  <c r="S15" i="10"/>
  <c r="T15" i="10"/>
  <c r="U15" i="10"/>
  <c r="G16" i="10"/>
  <c r="H16" i="10"/>
  <c r="I16" i="10"/>
  <c r="J16" i="10"/>
  <c r="L16" i="10"/>
  <c r="M16" i="10"/>
  <c r="N16" i="10"/>
  <c r="P16" i="10"/>
  <c r="Q16" i="10"/>
  <c r="R16" i="10"/>
  <c r="S16" i="10"/>
  <c r="T16" i="10"/>
  <c r="U16" i="10"/>
  <c r="G17" i="10"/>
  <c r="H17" i="10"/>
  <c r="I17" i="10"/>
  <c r="J17" i="10"/>
  <c r="L17" i="10"/>
  <c r="M17" i="10"/>
  <c r="N17" i="10"/>
  <c r="P17" i="10"/>
  <c r="Q17" i="10"/>
  <c r="R17" i="10"/>
  <c r="S17" i="10"/>
  <c r="T17" i="10"/>
  <c r="U17" i="10"/>
  <c r="G18" i="10"/>
  <c r="I18" i="10"/>
  <c r="J18" i="10"/>
  <c r="L18" i="10"/>
  <c r="M18" i="10"/>
  <c r="N18" i="10"/>
  <c r="P18" i="10"/>
  <c r="Q18" i="10"/>
  <c r="R18" i="10"/>
  <c r="S18" i="10"/>
  <c r="T18" i="10"/>
  <c r="U18" i="10"/>
  <c r="G19" i="10"/>
  <c r="H19" i="10"/>
  <c r="I19" i="10"/>
  <c r="J19" i="10"/>
  <c r="L19" i="10"/>
  <c r="M19" i="10"/>
  <c r="N19" i="10"/>
  <c r="P19" i="10"/>
  <c r="Q19" i="10"/>
  <c r="R19" i="10"/>
  <c r="S19" i="10"/>
  <c r="T19" i="10"/>
  <c r="U19" i="10"/>
  <c r="G20" i="10"/>
  <c r="H20" i="10"/>
  <c r="I20" i="10"/>
  <c r="J20" i="10"/>
  <c r="L20" i="10"/>
  <c r="M20" i="10"/>
  <c r="N20" i="10"/>
  <c r="P20" i="10"/>
  <c r="Q20" i="10"/>
  <c r="R20" i="10"/>
  <c r="S20" i="10"/>
  <c r="T20" i="10"/>
  <c r="U20" i="10"/>
  <c r="G21" i="10"/>
  <c r="H21" i="10"/>
  <c r="I21" i="10"/>
  <c r="J21" i="10"/>
  <c r="L21" i="10"/>
  <c r="M21" i="10"/>
  <c r="N21" i="10"/>
  <c r="P21" i="10"/>
  <c r="Q21" i="10"/>
  <c r="R21" i="10"/>
  <c r="S21" i="10"/>
  <c r="T21" i="10"/>
  <c r="U21" i="10"/>
  <c r="G22" i="10"/>
  <c r="H22" i="10"/>
  <c r="I22" i="10"/>
  <c r="J22" i="10"/>
  <c r="L22" i="10"/>
  <c r="M22" i="10"/>
  <c r="N22" i="10"/>
  <c r="P22" i="10"/>
  <c r="Q22" i="10"/>
  <c r="R22" i="10"/>
  <c r="S22" i="10"/>
  <c r="T22" i="10"/>
  <c r="U22" i="10"/>
  <c r="B3" i="10"/>
  <c r="B4" i="10"/>
  <c r="B2" i="10"/>
  <c r="G22" i="9"/>
  <c r="H22" i="9"/>
  <c r="I22" i="9"/>
  <c r="J22" i="9"/>
  <c r="L22" i="9"/>
  <c r="M22" i="9"/>
  <c r="N22" i="9"/>
  <c r="P22" i="9"/>
  <c r="Q22" i="9"/>
  <c r="R22" i="9"/>
  <c r="S22" i="9"/>
  <c r="T22" i="9"/>
  <c r="U22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G5" i="9"/>
  <c r="H5" i="9"/>
  <c r="I5" i="9"/>
  <c r="J5" i="9"/>
  <c r="L5" i="9"/>
  <c r="M5" i="9"/>
  <c r="N5" i="9"/>
  <c r="P5" i="9"/>
  <c r="Q5" i="9"/>
  <c r="R5" i="9"/>
  <c r="S5" i="9"/>
  <c r="T5" i="9"/>
  <c r="U5" i="9"/>
  <c r="G6" i="9"/>
  <c r="H6" i="9"/>
  <c r="I6" i="9"/>
  <c r="J6" i="9"/>
  <c r="L6" i="9"/>
  <c r="M6" i="9"/>
  <c r="N6" i="9"/>
  <c r="P6" i="9"/>
  <c r="Q6" i="9"/>
  <c r="R6" i="9"/>
  <c r="S6" i="9"/>
  <c r="T6" i="9"/>
  <c r="U6" i="9"/>
  <c r="G7" i="9"/>
  <c r="H7" i="9"/>
  <c r="I7" i="9"/>
  <c r="J7" i="9"/>
  <c r="L7" i="9"/>
  <c r="M7" i="9"/>
  <c r="N7" i="9"/>
  <c r="P7" i="9"/>
  <c r="Q7" i="9"/>
  <c r="R7" i="9"/>
  <c r="S7" i="9"/>
  <c r="T7" i="9"/>
  <c r="U7" i="9"/>
  <c r="G8" i="9"/>
  <c r="H8" i="9"/>
  <c r="I8" i="9"/>
  <c r="J8" i="9"/>
  <c r="L8" i="9"/>
  <c r="M8" i="9"/>
  <c r="N8" i="9"/>
  <c r="P8" i="9"/>
  <c r="Q8" i="9"/>
  <c r="R8" i="9"/>
  <c r="S8" i="9"/>
  <c r="T8" i="9"/>
  <c r="U8" i="9"/>
  <c r="G9" i="9"/>
  <c r="H9" i="9"/>
  <c r="I9" i="9"/>
  <c r="J9" i="9"/>
  <c r="L9" i="9"/>
  <c r="M9" i="9"/>
  <c r="N9" i="9"/>
  <c r="P9" i="9"/>
  <c r="Q9" i="9"/>
  <c r="R9" i="9"/>
  <c r="S9" i="9"/>
  <c r="T9" i="9"/>
  <c r="U9" i="9"/>
  <c r="G10" i="9"/>
  <c r="H10" i="9"/>
  <c r="I10" i="9"/>
  <c r="J10" i="9"/>
  <c r="L10" i="9"/>
  <c r="M10" i="9"/>
  <c r="N10" i="9"/>
  <c r="P10" i="9"/>
  <c r="Q10" i="9"/>
  <c r="R10" i="9"/>
  <c r="S10" i="9"/>
  <c r="T10" i="9"/>
  <c r="U10" i="9"/>
  <c r="G11" i="9"/>
  <c r="H11" i="9"/>
  <c r="I11" i="9"/>
  <c r="J11" i="9"/>
  <c r="L11" i="9"/>
  <c r="M11" i="9"/>
  <c r="N11" i="9"/>
  <c r="P11" i="9"/>
  <c r="Q11" i="9"/>
  <c r="R11" i="9"/>
  <c r="S11" i="9"/>
  <c r="T11" i="9"/>
  <c r="U11" i="9"/>
  <c r="G12" i="9"/>
  <c r="H12" i="9"/>
  <c r="I12" i="9"/>
  <c r="J12" i="9"/>
  <c r="L12" i="9"/>
  <c r="M12" i="9"/>
  <c r="N12" i="9"/>
  <c r="P12" i="9"/>
  <c r="Q12" i="9"/>
  <c r="R12" i="9"/>
  <c r="S12" i="9"/>
  <c r="T12" i="9"/>
  <c r="U12" i="9"/>
  <c r="G13" i="9"/>
  <c r="H13" i="9"/>
  <c r="I13" i="9"/>
  <c r="J13" i="9"/>
  <c r="L13" i="9"/>
  <c r="M13" i="9"/>
  <c r="N13" i="9"/>
  <c r="P13" i="9"/>
  <c r="Q13" i="9"/>
  <c r="R13" i="9"/>
  <c r="S13" i="9"/>
  <c r="T13" i="9"/>
  <c r="U13" i="9"/>
  <c r="G14" i="9"/>
  <c r="H14" i="9"/>
  <c r="I14" i="9"/>
  <c r="J14" i="9"/>
  <c r="L14" i="9"/>
  <c r="M14" i="9"/>
  <c r="N14" i="9"/>
  <c r="P14" i="9"/>
  <c r="Q14" i="9"/>
  <c r="R14" i="9"/>
  <c r="S14" i="9"/>
  <c r="T14" i="9"/>
  <c r="U14" i="9"/>
  <c r="G15" i="9"/>
  <c r="H15" i="9"/>
  <c r="I15" i="9"/>
  <c r="J15" i="9"/>
  <c r="L15" i="9"/>
  <c r="M15" i="9"/>
  <c r="N15" i="9"/>
  <c r="P15" i="9"/>
  <c r="Q15" i="9"/>
  <c r="R15" i="9"/>
  <c r="S15" i="9"/>
  <c r="T15" i="9"/>
  <c r="U15" i="9"/>
  <c r="G16" i="9"/>
  <c r="H16" i="9"/>
  <c r="I16" i="9"/>
  <c r="J16" i="9"/>
  <c r="L16" i="9"/>
  <c r="M16" i="9"/>
  <c r="N16" i="9"/>
  <c r="P16" i="9"/>
  <c r="Q16" i="9"/>
  <c r="R16" i="9"/>
  <c r="S16" i="9"/>
  <c r="T16" i="9"/>
  <c r="U16" i="9"/>
  <c r="G17" i="9"/>
  <c r="H17" i="9"/>
  <c r="I17" i="9"/>
  <c r="J17" i="9"/>
  <c r="L17" i="9"/>
  <c r="M17" i="9"/>
  <c r="N17" i="9"/>
  <c r="P17" i="9"/>
  <c r="Q17" i="9"/>
  <c r="R17" i="9"/>
  <c r="S17" i="9"/>
  <c r="T17" i="9"/>
  <c r="U17" i="9"/>
  <c r="G18" i="9"/>
  <c r="I18" i="9"/>
  <c r="J18" i="9"/>
  <c r="L18" i="9"/>
  <c r="M18" i="9"/>
  <c r="N18" i="9"/>
  <c r="P18" i="9"/>
  <c r="Q18" i="9"/>
  <c r="R18" i="9"/>
  <c r="S18" i="9"/>
  <c r="T18" i="9"/>
  <c r="U18" i="9"/>
  <c r="G19" i="9"/>
  <c r="H19" i="9"/>
  <c r="I19" i="9"/>
  <c r="J19" i="9"/>
  <c r="L19" i="9"/>
  <c r="M19" i="9"/>
  <c r="N19" i="9"/>
  <c r="P19" i="9"/>
  <c r="Q19" i="9"/>
  <c r="R19" i="9"/>
  <c r="S19" i="9"/>
  <c r="T19" i="9"/>
  <c r="U19" i="9"/>
  <c r="G20" i="9"/>
  <c r="H20" i="9"/>
  <c r="I20" i="9"/>
  <c r="J20" i="9"/>
  <c r="L20" i="9"/>
  <c r="M20" i="9"/>
  <c r="N20" i="9"/>
  <c r="P20" i="9"/>
  <c r="Q20" i="9"/>
  <c r="R20" i="9"/>
  <c r="S20" i="9"/>
  <c r="T20" i="9"/>
  <c r="U20" i="9"/>
  <c r="G21" i="9"/>
  <c r="H21" i="9"/>
  <c r="I21" i="9"/>
  <c r="J21" i="9"/>
  <c r="L21" i="9"/>
  <c r="M21" i="9"/>
  <c r="N21" i="9"/>
  <c r="P21" i="9"/>
  <c r="Q21" i="9"/>
  <c r="R21" i="9"/>
  <c r="S21" i="9"/>
  <c r="T21" i="9"/>
  <c r="U21" i="9"/>
  <c r="B3" i="9"/>
  <c r="B4" i="9"/>
  <c r="B2" i="9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G5" i="8"/>
  <c r="H5" i="8"/>
  <c r="I5" i="8"/>
  <c r="J5" i="8"/>
  <c r="L5" i="8"/>
  <c r="M5" i="8"/>
  <c r="N5" i="8"/>
  <c r="P5" i="8"/>
  <c r="Q5" i="8"/>
  <c r="R5" i="8"/>
  <c r="S5" i="8"/>
  <c r="T5" i="8"/>
  <c r="G6" i="8"/>
  <c r="H6" i="8"/>
  <c r="I6" i="8"/>
  <c r="J6" i="8"/>
  <c r="L6" i="8"/>
  <c r="M6" i="8"/>
  <c r="N6" i="8"/>
  <c r="P6" i="8"/>
  <c r="Q6" i="8"/>
  <c r="R6" i="8"/>
  <c r="S6" i="8"/>
  <c r="T6" i="8"/>
  <c r="G7" i="8"/>
  <c r="H7" i="8"/>
  <c r="I7" i="8"/>
  <c r="J7" i="8"/>
  <c r="L7" i="8"/>
  <c r="M7" i="8"/>
  <c r="N7" i="8"/>
  <c r="P7" i="8"/>
  <c r="Q7" i="8"/>
  <c r="R7" i="8"/>
  <c r="S7" i="8"/>
  <c r="T7" i="8"/>
  <c r="G8" i="8"/>
  <c r="H8" i="8"/>
  <c r="I8" i="8"/>
  <c r="J8" i="8"/>
  <c r="L8" i="8"/>
  <c r="M8" i="8"/>
  <c r="N8" i="8"/>
  <c r="P8" i="8"/>
  <c r="Q8" i="8"/>
  <c r="R8" i="8"/>
  <c r="S8" i="8"/>
  <c r="T8" i="8"/>
  <c r="G9" i="8"/>
  <c r="H9" i="8"/>
  <c r="I9" i="8"/>
  <c r="J9" i="8"/>
  <c r="L9" i="8"/>
  <c r="M9" i="8"/>
  <c r="N9" i="8"/>
  <c r="P9" i="8"/>
  <c r="Q9" i="8"/>
  <c r="R9" i="8"/>
  <c r="S9" i="8"/>
  <c r="T9" i="8"/>
  <c r="G10" i="8"/>
  <c r="H10" i="8"/>
  <c r="I10" i="8"/>
  <c r="J10" i="8"/>
  <c r="L10" i="8"/>
  <c r="M10" i="8"/>
  <c r="N10" i="8"/>
  <c r="P10" i="8"/>
  <c r="Q10" i="8"/>
  <c r="R10" i="8"/>
  <c r="S10" i="8"/>
  <c r="T10" i="8"/>
  <c r="G11" i="8"/>
  <c r="H11" i="8"/>
  <c r="I11" i="8"/>
  <c r="J11" i="8"/>
  <c r="L11" i="8"/>
  <c r="M11" i="8"/>
  <c r="N11" i="8"/>
  <c r="P11" i="8"/>
  <c r="Q11" i="8"/>
  <c r="R11" i="8"/>
  <c r="S11" i="8"/>
  <c r="T11" i="8"/>
  <c r="G12" i="8"/>
  <c r="H12" i="8"/>
  <c r="I12" i="8"/>
  <c r="J12" i="8"/>
  <c r="L12" i="8"/>
  <c r="M12" i="8"/>
  <c r="N12" i="8"/>
  <c r="P12" i="8"/>
  <c r="Q12" i="8"/>
  <c r="R12" i="8"/>
  <c r="S12" i="8"/>
  <c r="T12" i="8"/>
  <c r="G13" i="8"/>
  <c r="H13" i="8"/>
  <c r="I13" i="8"/>
  <c r="J13" i="8"/>
  <c r="L13" i="8"/>
  <c r="M13" i="8"/>
  <c r="N13" i="8"/>
  <c r="P13" i="8"/>
  <c r="Q13" i="8"/>
  <c r="R13" i="8"/>
  <c r="S13" i="8"/>
  <c r="T13" i="8"/>
  <c r="G14" i="8"/>
  <c r="H14" i="8"/>
  <c r="I14" i="8"/>
  <c r="J14" i="8"/>
  <c r="L14" i="8"/>
  <c r="M14" i="8"/>
  <c r="N14" i="8"/>
  <c r="P14" i="8"/>
  <c r="Q14" i="8"/>
  <c r="R14" i="8"/>
  <c r="S14" i="8"/>
  <c r="T14" i="8"/>
  <c r="G15" i="8"/>
  <c r="H15" i="8"/>
  <c r="I15" i="8"/>
  <c r="J15" i="8"/>
  <c r="L15" i="8"/>
  <c r="M15" i="8"/>
  <c r="N15" i="8"/>
  <c r="P15" i="8"/>
  <c r="Q15" i="8"/>
  <c r="R15" i="8"/>
  <c r="S15" i="8"/>
  <c r="T15" i="8"/>
  <c r="G16" i="8"/>
  <c r="H16" i="8"/>
  <c r="I16" i="8"/>
  <c r="J16" i="8"/>
  <c r="L16" i="8"/>
  <c r="M16" i="8"/>
  <c r="N16" i="8"/>
  <c r="P16" i="8"/>
  <c r="Q16" i="8"/>
  <c r="R16" i="8"/>
  <c r="S16" i="8"/>
  <c r="T16" i="8"/>
  <c r="G17" i="8"/>
  <c r="H17" i="8"/>
  <c r="I17" i="8"/>
  <c r="J17" i="8"/>
  <c r="L17" i="8"/>
  <c r="M17" i="8"/>
  <c r="N17" i="8"/>
  <c r="P17" i="8"/>
  <c r="Q17" i="8"/>
  <c r="R17" i="8"/>
  <c r="S17" i="8"/>
  <c r="T17" i="8"/>
  <c r="G18" i="8"/>
  <c r="I18" i="8"/>
  <c r="J18" i="8"/>
  <c r="L18" i="8"/>
  <c r="M18" i="8"/>
  <c r="N18" i="8"/>
  <c r="P18" i="8"/>
  <c r="Q18" i="8"/>
  <c r="R18" i="8"/>
  <c r="S18" i="8"/>
  <c r="T18" i="8"/>
  <c r="G19" i="8"/>
  <c r="H19" i="8"/>
  <c r="I19" i="8"/>
  <c r="J19" i="8"/>
  <c r="L19" i="8"/>
  <c r="M19" i="8"/>
  <c r="N19" i="8"/>
  <c r="P19" i="8"/>
  <c r="Q19" i="8"/>
  <c r="R19" i="8"/>
  <c r="S19" i="8"/>
  <c r="T19" i="8"/>
  <c r="G20" i="8"/>
  <c r="H20" i="8"/>
  <c r="I20" i="8"/>
  <c r="J20" i="8"/>
  <c r="L20" i="8"/>
  <c r="M20" i="8"/>
  <c r="N20" i="8"/>
  <c r="P20" i="8"/>
  <c r="Q20" i="8"/>
  <c r="R20" i="8"/>
  <c r="S20" i="8"/>
  <c r="T20" i="8"/>
  <c r="G21" i="8"/>
  <c r="H21" i="8"/>
  <c r="I21" i="8"/>
  <c r="J21" i="8"/>
  <c r="L21" i="8"/>
  <c r="M21" i="8"/>
  <c r="N21" i="8"/>
  <c r="P21" i="8"/>
  <c r="Q21" i="8"/>
  <c r="R21" i="8"/>
  <c r="S21" i="8"/>
  <c r="T21" i="8"/>
  <c r="G22" i="8"/>
  <c r="H22" i="8"/>
  <c r="I22" i="8"/>
  <c r="J22" i="8"/>
  <c r="L22" i="8"/>
  <c r="M22" i="8"/>
  <c r="N22" i="8"/>
  <c r="P22" i="8"/>
  <c r="Q22" i="8"/>
  <c r="R22" i="8"/>
  <c r="S22" i="8"/>
  <c r="T22" i="8"/>
  <c r="B3" i="8"/>
  <c r="B4" i="8"/>
  <c r="B2" i="8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G5" i="7"/>
  <c r="H5" i="7"/>
  <c r="I5" i="7"/>
  <c r="J5" i="7"/>
  <c r="L5" i="7"/>
  <c r="M5" i="7"/>
  <c r="N5" i="7"/>
  <c r="P5" i="7"/>
  <c r="Q5" i="7"/>
  <c r="R5" i="7"/>
  <c r="S5" i="7"/>
  <c r="T5" i="7"/>
  <c r="G6" i="7"/>
  <c r="H6" i="7"/>
  <c r="I6" i="7"/>
  <c r="J6" i="7"/>
  <c r="L6" i="7"/>
  <c r="M6" i="7"/>
  <c r="N6" i="7"/>
  <c r="P6" i="7"/>
  <c r="Q6" i="7"/>
  <c r="R6" i="7"/>
  <c r="S6" i="7"/>
  <c r="T6" i="7"/>
  <c r="G7" i="7"/>
  <c r="H7" i="7"/>
  <c r="I7" i="7"/>
  <c r="J7" i="7"/>
  <c r="L7" i="7"/>
  <c r="M7" i="7"/>
  <c r="N7" i="7"/>
  <c r="P7" i="7"/>
  <c r="Q7" i="7"/>
  <c r="R7" i="7"/>
  <c r="S7" i="7"/>
  <c r="T7" i="7"/>
  <c r="G8" i="7"/>
  <c r="H8" i="7"/>
  <c r="I8" i="7"/>
  <c r="J8" i="7"/>
  <c r="L8" i="7"/>
  <c r="M8" i="7"/>
  <c r="N8" i="7"/>
  <c r="P8" i="7"/>
  <c r="Q8" i="7"/>
  <c r="R8" i="7"/>
  <c r="S8" i="7"/>
  <c r="T8" i="7"/>
  <c r="G9" i="7"/>
  <c r="H9" i="7"/>
  <c r="I9" i="7"/>
  <c r="J9" i="7"/>
  <c r="L9" i="7"/>
  <c r="M9" i="7"/>
  <c r="N9" i="7"/>
  <c r="P9" i="7"/>
  <c r="Q9" i="7"/>
  <c r="R9" i="7"/>
  <c r="S9" i="7"/>
  <c r="T9" i="7"/>
  <c r="G10" i="7"/>
  <c r="H10" i="7"/>
  <c r="I10" i="7"/>
  <c r="J10" i="7"/>
  <c r="L10" i="7"/>
  <c r="M10" i="7"/>
  <c r="N10" i="7"/>
  <c r="P10" i="7"/>
  <c r="Q10" i="7"/>
  <c r="R10" i="7"/>
  <c r="S10" i="7"/>
  <c r="T10" i="7"/>
  <c r="G11" i="7"/>
  <c r="H11" i="7"/>
  <c r="I11" i="7"/>
  <c r="J11" i="7"/>
  <c r="L11" i="7"/>
  <c r="M11" i="7"/>
  <c r="N11" i="7"/>
  <c r="P11" i="7"/>
  <c r="Q11" i="7"/>
  <c r="R11" i="7"/>
  <c r="S11" i="7"/>
  <c r="T11" i="7"/>
  <c r="G12" i="7"/>
  <c r="H12" i="7"/>
  <c r="I12" i="7"/>
  <c r="J12" i="7"/>
  <c r="L12" i="7"/>
  <c r="M12" i="7"/>
  <c r="N12" i="7"/>
  <c r="P12" i="7"/>
  <c r="Q12" i="7"/>
  <c r="R12" i="7"/>
  <c r="S12" i="7"/>
  <c r="T12" i="7"/>
  <c r="G13" i="7"/>
  <c r="H13" i="7"/>
  <c r="I13" i="7"/>
  <c r="J13" i="7"/>
  <c r="L13" i="7"/>
  <c r="M13" i="7"/>
  <c r="N13" i="7"/>
  <c r="P13" i="7"/>
  <c r="Q13" i="7"/>
  <c r="R13" i="7"/>
  <c r="S13" i="7"/>
  <c r="T13" i="7"/>
  <c r="G14" i="7"/>
  <c r="H14" i="7"/>
  <c r="I14" i="7"/>
  <c r="J14" i="7"/>
  <c r="L14" i="7"/>
  <c r="M14" i="7"/>
  <c r="N14" i="7"/>
  <c r="P14" i="7"/>
  <c r="Q14" i="7"/>
  <c r="R14" i="7"/>
  <c r="S14" i="7"/>
  <c r="T14" i="7"/>
  <c r="G15" i="7"/>
  <c r="H15" i="7"/>
  <c r="I15" i="7"/>
  <c r="J15" i="7"/>
  <c r="L15" i="7"/>
  <c r="M15" i="7"/>
  <c r="N15" i="7"/>
  <c r="P15" i="7"/>
  <c r="Q15" i="7"/>
  <c r="R15" i="7"/>
  <c r="S15" i="7"/>
  <c r="T15" i="7"/>
  <c r="G16" i="7"/>
  <c r="H16" i="7"/>
  <c r="I16" i="7"/>
  <c r="J16" i="7"/>
  <c r="L16" i="7"/>
  <c r="M16" i="7"/>
  <c r="N16" i="7"/>
  <c r="P16" i="7"/>
  <c r="Q16" i="7"/>
  <c r="R16" i="7"/>
  <c r="S16" i="7"/>
  <c r="T16" i="7"/>
  <c r="B3" i="7"/>
  <c r="B4" i="7"/>
  <c r="B2" i="7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G5" i="6"/>
  <c r="H5" i="6"/>
  <c r="I5" i="6"/>
  <c r="J5" i="6"/>
  <c r="L5" i="6"/>
  <c r="M5" i="6"/>
  <c r="N5" i="6"/>
  <c r="P5" i="6"/>
  <c r="Q5" i="6"/>
  <c r="R5" i="6"/>
  <c r="S5" i="6"/>
  <c r="T5" i="6"/>
  <c r="G6" i="6"/>
  <c r="H6" i="6"/>
  <c r="I6" i="6"/>
  <c r="J6" i="6"/>
  <c r="L6" i="6"/>
  <c r="M6" i="6"/>
  <c r="N6" i="6"/>
  <c r="P6" i="6"/>
  <c r="Q6" i="6"/>
  <c r="R6" i="6"/>
  <c r="S6" i="6"/>
  <c r="T6" i="6"/>
  <c r="G7" i="6"/>
  <c r="H7" i="6"/>
  <c r="I7" i="6"/>
  <c r="J7" i="6"/>
  <c r="L7" i="6"/>
  <c r="M7" i="6"/>
  <c r="N7" i="6"/>
  <c r="P7" i="6"/>
  <c r="Q7" i="6"/>
  <c r="R7" i="6"/>
  <c r="S7" i="6"/>
  <c r="T7" i="6"/>
  <c r="G8" i="6"/>
  <c r="H8" i="6"/>
  <c r="I8" i="6"/>
  <c r="J8" i="6"/>
  <c r="L8" i="6"/>
  <c r="M8" i="6"/>
  <c r="N8" i="6"/>
  <c r="P8" i="6"/>
  <c r="Q8" i="6"/>
  <c r="R8" i="6"/>
  <c r="S8" i="6"/>
  <c r="T8" i="6"/>
  <c r="G9" i="6"/>
  <c r="H9" i="6"/>
  <c r="I9" i="6"/>
  <c r="J9" i="6"/>
  <c r="L9" i="6"/>
  <c r="M9" i="6"/>
  <c r="N9" i="6"/>
  <c r="P9" i="6"/>
  <c r="Q9" i="6"/>
  <c r="R9" i="6"/>
  <c r="S9" i="6"/>
  <c r="T9" i="6"/>
  <c r="G10" i="6"/>
  <c r="H10" i="6"/>
  <c r="I10" i="6"/>
  <c r="J10" i="6"/>
  <c r="L10" i="6"/>
  <c r="M10" i="6"/>
  <c r="N10" i="6"/>
  <c r="P10" i="6"/>
  <c r="Q10" i="6"/>
  <c r="R10" i="6"/>
  <c r="S10" i="6"/>
  <c r="T10" i="6"/>
  <c r="G11" i="6"/>
  <c r="H11" i="6"/>
  <c r="I11" i="6"/>
  <c r="J11" i="6"/>
  <c r="L11" i="6"/>
  <c r="M11" i="6"/>
  <c r="N11" i="6"/>
  <c r="P11" i="6"/>
  <c r="Q11" i="6"/>
  <c r="R11" i="6"/>
  <c r="S11" i="6"/>
  <c r="T11" i="6"/>
  <c r="G12" i="6"/>
  <c r="H12" i="6"/>
  <c r="I12" i="6"/>
  <c r="J12" i="6"/>
  <c r="L12" i="6"/>
  <c r="M12" i="6"/>
  <c r="N12" i="6"/>
  <c r="P12" i="6"/>
  <c r="Q12" i="6"/>
  <c r="R12" i="6"/>
  <c r="S12" i="6"/>
  <c r="T12" i="6"/>
  <c r="G13" i="6"/>
  <c r="H13" i="6"/>
  <c r="I13" i="6"/>
  <c r="J13" i="6"/>
  <c r="L13" i="6"/>
  <c r="M13" i="6"/>
  <c r="N13" i="6"/>
  <c r="P13" i="6"/>
  <c r="Q13" i="6"/>
  <c r="R13" i="6"/>
  <c r="S13" i="6"/>
  <c r="T13" i="6"/>
  <c r="G14" i="6"/>
  <c r="H14" i="6"/>
  <c r="I14" i="6"/>
  <c r="J14" i="6"/>
  <c r="L14" i="6"/>
  <c r="M14" i="6"/>
  <c r="N14" i="6"/>
  <c r="P14" i="6"/>
  <c r="Q14" i="6"/>
  <c r="R14" i="6"/>
  <c r="S14" i="6"/>
  <c r="T14" i="6"/>
  <c r="G15" i="6"/>
  <c r="H15" i="6"/>
  <c r="I15" i="6"/>
  <c r="J15" i="6"/>
  <c r="L15" i="6"/>
  <c r="M15" i="6"/>
  <c r="N15" i="6"/>
  <c r="P15" i="6"/>
  <c r="Q15" i="6"/>
  <c r="R15" i="6"/>
  <c r="S15" i="6"/>
  <c r="T15" i="6"/>
  <c r="G16" i="6"/>
  <c r="H16" i="6"/>
  <c r="I16" i="6"/>
  <c r="J16" i="6"/>
  <c r="L16" i="6"/>
  <c r="M16" i="6"/>
  <c r="N16" i="6"/>
  <c r="P16" i="6"/>
  <c r="Q16" i="6"/>
  <c r="R16" i="6"/>
  <c r="S16" i="6"/>
  <c r="T16" i="6"/>
  <c r="B3" i="6"/>
  <c r="B4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G5" i="5"/>
  <c r="H5" i="5"/>
  <c r="I5" i="5"/>
  <c r="J5" i="5"/>
  <c r="L5" i="5"/>
  <c r="M5" i="5"/>
  <c r="N5" i="5"/>
  <c r="P5" i="5"/>
  <c r="Q5" i="5"/>
  <c r="R5" i="5"/>
  <c r="S5" i="5"/>
  <c r="T5" i="5"/>
  <c r="G6" i="5"/>
  <c r="H6" i="5"/>
  <c r="I6" i="5"/>
  <c r="J6" i="5"/>
  <c r="L6" i="5"/>
  <c r="M6" i="5"/>
  <c r="N6" i="5"/>
  <c r="P6" i="5"/>
  <c r="Q6" i="5"/>
  <c r="R6" i="5"/>
  <c r="S6" i="5"/>
  <c r="T6" i="5"/>
  <c r="G7" i="5"/>
  <c r="H7" i="5"/>
  <c r="I7" i="5"/>
  <c r="J7" i="5"/>
  <c r="L7" i="5"/>
  <c r="M7" i="5"/>
  <c r="N7" i="5"/>
  <c r="P7" i="5"/>
  <c r="Q7" i="5"/>
  <c r="R7" i="5"/>
  <c r="S7" i="5"/>
  <c r="T7" i="5"/>
  <c r="G8" i="5"/>
  <c r="H8" i="5"/>
  <c r="I8" i="5"/>
  <c r="J8" i="5"/>
  <c r="L8" i="5"/>
  <c r="M8" i="5"/>
  <c r="N8" i="5"/>
  <c r="P8" i="5"/>
  <c r="Q8" i="5"/>
  <c r="R8" i="5"/>
  <c r="S8" i="5"/>
  <c r="T8" i="5"/>
  <c r="G9" i="5"/>
  <c r="H9" i="5"/>
  <c r="I9" i="5"/>
  <c r="J9" i="5"/>
  <c r="L9" i="5"/>
  <c r="M9" i="5"/>
  <c r="N9" i="5"/>
  <c r="P9" i="5"/>
  <c r="Q9" i="5"/>
  <c r="R9" i="5"/>
  <c r="S9" i="5"/>
  <c r="T9" i="5"/>
  <c r="G10" i="5"/>
  <c r="H10" i="5"/>
  <c r="I10" i="5"/>
  <c r="J10" i="5"/>
  <c r="L10" i="5"/>
  <c r="M10" i="5"/>
  <c r="N10" i="5"/>
  <c r="P10" i="5"/>
  <c r="Q10" i="5"/>
  <c r="R10" i="5"/>
  <c r="S10" i="5"/>
  <c r="T10" i="5"/>
  <c r="G11" i="5"/>
  <c r="H11" i="5"/>
  <c r="I11" i="5"/>
  <c r="J11" i="5"/>
  <c r="L11" i="5"/>
  <c r="M11" i="5"/>
  <c r="N11" i="5"/>
  <c r="P11" i="5"/>
  <c r="Q11" i="5"/>
  <c r="R11" i="5"/>
  <c r="S11" i="5"/>
  <c r="T11" i="5"/>
  <c r="G12" i="5"/>
  <c r="H12" i="5"/>
  <c r="I12" i="5"/>
  <c r="J12" i="5"/>
  <c r="L12" i="5"/>
  <c r="M12" i="5"/>
  <c r="N12" i="5"/>
  <c r="P12" i="5"/>
  <c r="Q12" i="5"/>
  <c r="R12" i="5"/>
  <c r="S12" i="5"/>
  <c r="T12" i="5"/>
  <c r="G13" i="5"/>
  <c r="H13" i="5"/>
  <c r="I13" i="5"/>
  <c r="J13" i="5"/>
  <c r="L13" i="5"/>
  <c r="M13" i="5"/>
  <c r="N13" i="5"/>
  <c r="P13" i="5"/>
  <c r="Q13" i="5"/>
  <c r="R13" i="5"/>
  <c r="S13" i="5"/>
  <c r="T13" i="5"/>
  <c r="G14" i="5"/>
  <c r="H14" i="5"/>
  <c r="I14" i="5"/>
  <c r="J14" i="5"/>
  <c r="L14" i="5"/>
  <c r="M14" i="5"/>
  <c r="N14" i="5"/>
  <c r="P14" i="5"/>
  <c r="Q14" i="5"/>
  <c r="R14" i="5"/>
  <c r="S14" i="5"/>
  <c r="T14" i="5"/>
  <c r="G15" i="5"/>
  <c r="H15" i="5"/>
  <c r="I15" i="5"/>
  <c r="J15" i="5"/>
  <c r="L15" i="5"/>
  <c r="M15" i="5"/>
  <c r="N15" i="5"/>
  <c r="P15" i="5"/>
  <c r="Q15" i="5"/>
  <c r="R15" i="5"/>
  <c r="S15" i="5"/>
  <c r="T15" i="5"/>
  <c r="G16" i="5"/>
  <c r="H16" i="5"/>
  <c r="I16" i="5"/>
  <c r="J16" i="5"/>
  <c r="L16" i="5"/>
  <c r="M16" i="5"/>
  <c r="N16" i="5"/>
  <c r="P16" i="5"/>
  <c r="Q16" i="5"/>
  <c r="R16" i="5"/>
  <c r="S16" i="5"/>
  <c r="T16" i="5"/>
  <c r="B3" i="5"/>
  <c r="B4" i="5"/>
  <c r="B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G5" i="4"/>
  <c r="H5" i="4"/>
  <c r="I5" i="4"/>
  <c r="J5" i="4"/>
  <c r="L5" i="4"/>
  <c r="M5" i="4"/>
  <c r="N5" i="4"/>
  <c r="P5" i="4"/>
  <c r="Q5" i="4"/>
  <c r="R5" i="4"/>
  <c r="S5" i="4"/>
  <c r="T5" i="4"/>
  <c r="G6" i="4"/>
  <c r="H6" i="4"/>
  <c r="I6" i="4"/>
  <c r="J6" i="4"/>
  <c r="L6" i="4"/>
  <c r="M6" i="4"/>
  <c r="N6" i="4"/>
  <c r="P6" i="4"/>
  <c r="Q6" i="4"/>
  <c r="R6" i="4"/>
  <c r="S6" i="4"/>
  <c r="T6" i="4"/>
  <c r="G7" i="4"/>
  <c r="H7" i="4"/>
  <c r="I7" i="4"/>
  <c r="J7" i="4"/>
  <c r="L7" i="4"/>
  <c r="M7" i="4"/>
  <c r="N7" i="4"/>
  <c r="P7" i="4"/>
  <c r="Q7" i="4"/>
  <c r="R7" i="4"/>
  <c r="S7" i="4"/>
  <c r="T7" i="4"/>
  <c r="G8" i="4"/>
  <c r="H8" i="4"/>
  <c r="I8" i="4"/>
  <c r="J8" i="4"/>
  <c r="L8" i="4"/>
  <c r="M8" i="4"/>
  <c r="N8" i="4"/>
  <c r="P8" i="4"/>
  <c r="Q8" i="4"/>
  <c r="R8" i="4"/>
  <c r="S8" i="4"/>
  <c r="T8" i="4"/>
  <c r="G9" i="4"/>
  <c r="H9" i="4"/>
  <c r="I9" i="4"/>
  <c r="J9" i="4"/>
  <c r="L9" i="4"/>
  <c r="M9" i="4"/>
  <c r="N9" i="4"/>
  <c r="P9" i="4"/>
  <c r="Q9" i="4"/>
  <c r="R9" i="4"/>
  <c r="S9" i="4"/>
  <c r="T9" i="4"/>
  <c r="G10" i="4"/>
  <c r="H10" i="4"/>
  <c r="I10" i="4"/>
  <c r="J10" i="4"/>
  <c r="L10" i="4"/>
  <c r="M10" i="4"/>
  <c r="N10" i="4"/>
  <c r="P10" i="4"/>
  <c r="Q10" i="4"/>
  <c r="R10" i="4"/>
  <c r="S10" i="4"/>
  <c r="T10" i="4"/>
  <c r="G11" i="4"/>
  <c r="H11" i="4"/>
  <c r="I11" i="4"/>
  <c r="J11" i="4"/>
  <c r="L11" i="4"/>
  <c r="M11" i="4"/>
  <c r="N11" i="4"/>
  <c r="P11" i="4"/>
  <c r="Q11" i="4"/>
  <c r="R11" i="4"/>
  <c r="S11" i="4"/>
  <c r="T11" i="4"/>
  <c r="G12" i="4"/>
  <c r="H12" i="4"/>
  <c r="I12" i="4"/>
  <c r="J12" i="4"/>
  <c r="L12" i="4"/>
  <c r="M12" i="4"/>
  <c r="N12" i="4"/>
  <c r="P12" i="4"/>
  <c r="Q12" i="4"/>
  <c r="R12" i="4"/>
  <c r="S12" i="4"/>
  <c r="T12" i="4"/>
  <c r="G13" i="4"/>
  <c r="H13" i="4"/>
  <c r="I13" i="4"/>
  <c r="J13" i="4"/>
  <c r="L13" i="4"/>
  <c r="M13" i="4"/>
  <c r="N13" i="4"/>
  <c r="P13" i="4"/>
  <c r="Q13" i="4"/>
  <c r="R13" i="4"/>
  <c r="S13" i="4"/>
  <c r="T13" i="4"/>
  <c r="G14" i="4"/>
  <c r="H14" i="4"/>
  <c r="I14" i="4"/>
  <c r="J14" i="4"/>
  <c r="L14" i="4"/>
  <c r="M14" i="4"/>
  <c r="N14" i="4"/>
  <c r="P14" i="4"/>
  <c r="Q14" i="4"/>
  <c r="R14" i="4"/>
  <c r="S14" i="4"/>
  <c r="T14" i="4"/>
  <c r="G15" i="4"/>
  <c r="H15" i="4"/>
  <c r="I15" i="4"/>
  <c r="J15" i="4"/>
  <c r="L15" i="4"/>
  <c r="M15" i="4"/>
  <c r="N15" i="4"/>
  <c r="P15" i="4"/>
  <c r="Q15" i="4"/>
  <c r="R15" i="4"/>
  <c r="S15" i="4"/>
  <c r="T15" i="4"/>
  <c r="G16" i="4"/>
  <c r="H16" i="4"/>
  <c r="I16" i="4"/>
  <c r="J16" i="4"/>
  <c r="L16" i="4"/>
  <c r="M16" i="4"/>
  <c r="N16" i="4"/>
  <c r="P16" i="4"/>
  <c r="Q16" i="4"/>
  <c r="R16" i="4"/>
  <c r="S16" i="4"/>
  <c r="T16" i="4"/>
  <c r="B3" i="4"/>
  <c r="B4" i="4"/>
  <c r="B2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G5" i="3"/>
  <c r="H5" i="3"/>
  <c r="I5" i="3"/>
  <c r="J5" i="3"/>
  <c r="L5" i="3"/>
  <c r="M5" i="3"/>
  <c r="N5" i="3"/>
  <c r="P5" i="3"/>
  <c r="Q5" i="3"/>
  <c r="R5" i="3"/>
  <c r="S5" i="3"/>
  <c r="T5" i="3"/>
  <c r="G6" i="3"/>
  <c r="H6" i="3"/>
  <c r="I6" i="3"/>
  <c r="J6" i="3"/>
  <c r="L6" i="3"/>
  <c r="M6" i="3"/>
  <c r="N6" i="3"/>
  <c r="P6" i="3"/>
  <c r="Q6" i="3"/>
  <c r="R6" i="3"/>
  <c r="S6" i="3"/>
  <c r="T6" i="3"/>
  <c r="G7" i="3"/>
  <c r="H7" i="3"/>
  <c r="I7" i="3"/>
  <c r="J7" i="3"/>
  <c r="L7" i="3"/>
  <c r="M7" i="3"/>
  <c r="N7" i="3"/>
  <c r="P7" i="3"/>
  <c r="Q7" i="3"/>
  <c r="R7" i="3"/>
  <c r="S7" i="3"/>
  <c r="T7" i="3"/>
  <c r="G8" i="3"/>
  <c r="H8" i="3"/>
  <c r="I8" i="3"/>
  <c r="J8" i="3"/>
  <c r="L8" i="3"/>
  <c r="M8" i="3"/>
  <c r="N8" i="3"/>
  <c r="P8" i="3"/>
  <c r="Q8" i="3"/>
  <c r="R8" i="3"/>
  <c r="S8" i="3"/>
  <c r="T8" i="3"/>
  <c r="G9" i="3"/>
  <c r="H9" i="3"/>
  <c r="I9" i="3"/>
  <c r="J9" i="3"/>
  <c r="L9" i="3"/>
  <c r="M9" i="3"/>
  <c r="N9" i="3"/>
  <c r="P9" i="3"/>
  <c r="Q9" i="3"/>
  <c r="R9" i="3"/>
  <c r="S9" i="3"/>
  <c r="T9" i="3"/>
  <c r="G10" i="3"/>
  <c r="H10" i="3"/>
  <c r="I10" i="3"/>
  <c r="J10" i="3"/>
  <c r="L10" i="3"/>
  <c r="M10" i="3"/>
  <c r="N10" i="3"/>
  <c r="P10" i="3"/>
  <c r="Q10" i="3"/>
  <c r="R10" i="3"/>
  <c r="S10" i="3"/>
  <c r="T10" i="3"/>
  <c r="G11" i="3"/>
  <c r="H11" i="3"/>
  <c r="I11" i="3"/>
  <c r="J11" i="3"/>
  <c r="L11" i="3"/>
  <c r="M11" i="3"/>
  <c r="N11" i="3"/>
  <c r="P11" i="3"/>
  <c r="Q11" i="3"/>
  <c r="R11" i="3"/>
  <c r="S11" i="3"/>
  <c r="T11" i="3"/>
  <c r="G12" i="3"/>
  <c r="H12" i="3"/>
  <c r="I12" i="3"/>
  <c r="J12" i="3"/>
  <c r="L12" i="3"/>
  <c r="M12" i="3"/>
  <c r="N12" i="3"/>
  <c r="P12" i="3"/>
  <c r="Q12" i="3"/>
  <c r="R12" i="3"/>
  <c r="S12" i="3"/>
  <c r="T12" i="3"/>
  <c r="G13" i="3"/>
  <c r="H13" i="3"/>
  <c r="I13" i="3"/>
  <c r="J13" i="3"/>
  <c r="L13" i="3"/>
  <c r="M13" i="3"/>
  <c r="N13" i="3"/>
  <c r="P13" i="3"/>
  <c r="Q13" i="3"/>
  <c r="R13" i="3"/>
  <c r="S13" i="3"/>
  <c r="T13" i="3"/>
  <c r="G14" i="3"/>
  <c r="H14" i="3"/>
  <c r="I14" i="3"/>
  <c r="J14" i="3"/>
  <c r="L14" i="3"/>
  <c r="M14" i="3"/>
  <c r="N14" i="3"/>
  <c r="P14" i="3"/>
  <c r="Q14" i="3"/>
  <c r="R14" i="3"/>
  <c r="S14" i="3"/>
  <c r="T14" i="3"/>
  <c r="G15" i="3"/>
  <c r="H15" i="3"/>
  <c r="I15" i="3"/>
  <c r="J15" i="3"/>
  <c r="L15" i="3"/>
  <c r="M15" i="3"/>
  <c r="N15" i="3"/>
  <c r="P15" i="3"/>
  <c r="Q15" i="3"/>
  <c r="R15" i="3"/>
  <c r="S15" i="3"/>
  <c r="T15" i="3"/>
  <c r="G16" i="3"/>
  <c r="H16" i="3"/>
  <c r="I16" i="3"/>
  <c r="J16" i="3"/>
  <c r="L16" i="3"/>
  <c r="M16" i="3"/>
  <c r="N16" i="3"/>
  <c r="P16" i="3"/>
  <c r="Q16" i="3"/>
  <c r="R16" i="3"/>
  <c r="S16" i="3"/>
  <c r="T16" i="3"/>
  <c r="B3" i="3"/>
  <c r="B4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G5" i="2"/>
  <c r="H5" i="2"/>
  <c r="I5" i="2"/>
  <c r="J5" i="2"/>
  <c r="L5" i="2"/>
  <c r="M5" i="2"/>
  <c r="N5" i="2"/>
  <c r="P5" i="2"/>
  <c r="Q5" i="2"/>
  <c r="R5" i="2"/>
  <c r="S5" i="2"/>
  <c r="T5" i="2"/>
  <c r="G6" i="2"/>
  <c r="H6" i="2"/>
  <c r="I6" i="2"/>
  <c r="J6" i="2"/>
  <c r="L6" i="2"/>
  <c r="M6" i="2"/>
  <c r="N6" i="2"/>
  <c r="P6" i="2"/>
  <c r="Q6" i="2"/>
  <c r="R6" i="2"/>
  <c r="S6" i="2"/>
  <c r="T6" i="2"/>
  <c r="G7" i="2"/>
  <c r="H7" i="2"/>
  <c r="I7" i="2"/>
  <c r="J7" i="2"/>
  <c r="L7" i="2"/>
  <c r="M7" i="2"/>
  <c r="N7" i="2"/>
  <c r="P7" i="2"/>
  <c r="Q7" i="2"/>
  <c r="R7" i="2"/>
  <c r="S7" i="2"/>
  <c r="T7" i="2"/>
  <c r="G8" i="2"/>
  <c r="H8" i="2"/>
  <c r="I8" i="2"/>
  <c r="J8" i="2"/>
  <c r="L8" i="2"/>
  <c r="M8" i="2"/>
  <c r="N8" i="2"/>
  <c r="P8" i="2"/>
  <c r="Q8" i="2"/>
  <c r="R8" i="2"/>
  <c r="S8" i="2"/>
  <c r="T8" i="2"/>
  <c r="G9" i="2"/>
  <c r="H9" i="2"/>
  <c r="I9" i="2"/>
  <c r="J9" i="2"/>
  <c r="L9" i="2"/>
  <c r="M9" i="2"/>
  <c r="N9" i="2"/>
  <c r="P9" i="2"/>
  <c r="Q9" i="2"/>
  <c r="R9" i="2"/>
  <c r="S9" i="2"/>
  <c r="T9" i="2"/>
  <c r="G10" i="2"/>
  <c r="H10" i="2"/>
  <c r="I10" i="2"/>
  <c r="J10" i="2"/>
  <c r="L10" i="2"/>
  <c r="M10" i="2"/>
  <c r="N10" i="2"/>
  <c r="P10" i="2"/>
  <c r="Q10" i="2"/>
  <c r="R10" i="2"/>
  <c r="S10" i="2"/>
  <c r="T10" i="2"/>
  <c r="G11" i="2"/>
  <c r="H11" i="2"/>
  <c r="I11" i="2"/>
  <c r="J11" i="2"/>
  <c r="L11" i="2"/>
  <c r="M11" i="2"/>
  <c r="N11" i="2"/>
  <c r="P11" i="2"/>
  <c r="Q11" i="2"/>
  <c r="R11" i="2"/>
  <c r="S11" i="2"/>
  <c r="T11" i="2"/>
  <c r="G12" i="2"/>
  <c r="H12" i="2"/>
  <c r="I12" i="2"/>
  <c r="J12" i="2"/>
  <c r="L12" i="2"/>
  <c r="M12" i="2"/>
  <c r="N12" i="2"/>
  <c r="P12" i="2"/>
  <c r="Q12" i="2"/>
  <c r="R12" i="2"/>
  <c r="S12" i="2"/>
  <c r="T12" i="2"/>
  <c r="G13" i="2"/>
  <c r="H13" i="2"/>
  <c r="I13" i="2"/>
  <c r="J13" i="2"/>
  <c r="L13" i="2"/>
  <c r="M13" i="2"/>
  <c r="N13" i="2"/>
  <c r="P13" i="2"/>
  <c r="Q13" i="2"/>
  <c r="R13" i="2"/>
  <c r="S13" i="2"/>
  <c r="T13" i="2"/>
  <c r="G14" i="2"/>
  <c r="H14" i="2"/>
  <c r="I14" i="2"/>
  <c r="J14" i="2"/>
  <c r="L14" i="2"/>
  <c r="M14" i="2"/>
  <c r="N14" i="2"/>
  <c r="P14" i="2"/>
  <c r="Q14" i="2"/>
  <c r="R14" i="2"/>
  <c r="S14" i="2"/>
  <c r="T14" i="2"/>
  <c r="G15" i="2"/>
  <c r="H15" i="2"/>
  <c r="I15" i="2"/>
  <c r="J15" i="2"/>
  <c r="L15" i="2"/>
  <c r="M15" i="2"/>
  <c r="N15" i="2"/>
  <c r="P15" i="2"/>
  <c r="Q15" i="2"/>
  <c r="R15" i="2"/>
  <c r="S15" i="2"/>
  <c r="T15" i="2"/>
  <c r="G16" i="2"/>
  <c r="H16" i="2"/>
  <c r="I16" i="2"/>
  <c r="J16" i="2"/>
  <c r="L16" i="2"/>
  <c r="M16" i="2"/>
  <c r="N16" i="2"/>
  <c r="P16" i="2"/>
  <c r="Q16" i="2"/>
  <c r="R16" i="2"/>
  <c r="S16" i="2"/>
  <c r="T16" i="2"/>
  <c r="B3" i="2"/>
  <c r="B4" i="2"/>
  <c r="B2" i="2"/>
  <c r="U2" i="1"/>
  <c r="V2" i="1"/>
  <c r="W2" i="1"/>
  <c r="X2" i="1"/>
  <c r="Y2" i="1"/>
  <c r="Z2" i="1"/>
  <c r="AA2" i="1"/>
  <c r="AB2" i="1"/>
  <c r="U3" i="1"/>
  <c r="V3" i="1"/>
  <c r="W3" i="1"/>
  <c r="X3" i="1"/>
  <c r="Y3" i="1"/>
  <c r="Z3" i="1"/>
  <c r="AA3" i="1"/>
  <c r="AB3" i="1"/>
  <c r="U4" i="1"/>
  <c r="V4" i="1"/>
  <c r="W4" i="1"/>
  <c r="X4" i="1"/>
  <c r="Y4" i="1"/>
  <c r="Z4" i="1"/>
  <c r="AA4" i="1"/>
  <c r="AB4" i="1"/>
  <c r="U5" i="1"/>
  <c r="V5" i="1"/>
  <c r="W5" i="1"/>
  <c r="X5" i="1"/>
  <c r="Y5" i="1"/>
  <c r="Z5" i="1"/>
  <c r="AA5" i="1"/>
  <c r="AB5" i="1"/>
  <c r="U6" i="1"/>
  <c r="V6" i="1"/>
  <c r="W6" i="1"/>
  <c r="X6" i="1"/>
  <c r="Y6" i="1"/>
  <c r="Z6" i="1"/>
  <c r="AA6" i="1"/>
  <c r="AB6" i="1"/>
  <c r="U7" i="1"/>
  <c r="V7" i="1"/>
  <c r="W7" i="1"/>
  <c r="X7" i="1"/>
  <c r="Y7" i="1"/>
  <c r="Z7" i="1"/>
  <c r="AA7" i="1"/>
  <c r="AB7" i="1"/>
  <c r="U8" i="1"/>
  <c r="V8" i="1"/>
  <c r="W8" i="1"/>
  <c r="X8" i="1"/>
  <c r="Y8" i="1"/>
  <c r="Z8" i="1"/>
  <c r="AA8" i="1"/>
  <c r="AB8" i="1"/>
  <c r="U9" i="1"/>
  <c r="V9" i="1"/>
  <c r="W9" i="1"/>
  <c r="X9" i="1"/>
  <c r="Y9" i="1"/>
  <c r="Z9" i="1"/>
  <c r="AA9" i="1"/>
  <c r="AB9" i="1"/>
  <c r="U10" i="1"/>
  <c r="V10" i="1"/>
  <c r="W10" i="1"/>
  <c r="X10" i="1"/>
  <c r="Y10" i="1"/>
  <c r="Z10" i="1"/>
  <c r="AA10" i="1"/>
  <c r="AB10" i="1"/>
  <c r="U11" i="1"/>
  <c r="V11" i="1"/>
  <c r="W11" i="1"/>
  <c r="X11" i="1"/>
  <c r="Y11" i="1"/>
  <c r="Z11" i="1"/>
  <c r="AA11" i="1"/>
  <c r="AB11" i="1"/>
  <c r="U12" i="1"/>
  <c r="V12" i="1"/>
  <c r="W12" i="1"/>
  <c r="X12" i="1"/>
  <c r="Y12" i="1"/>
  <c r="Z12" i="1"/>
  <c r="AA12" i="1"/>
  <c r="AB12" i="1"/>
  <c r="U13" i="1"/>
  <c r="V13" i="1"/>
  <c r="W13" i="1"/>
  <c r="X13" i="1"/>
  <c r="Y13" i="1"/>
  <c r="Z13" i="1"/>
  <c r="AA13" i="1"/>
  <c r="AB13" i="1"/>
  <c r="U14" i="1"/>
  <c r="V14" i="1"/>
  <c r="W14" i="1"/>
  <c r="X14" i="1"/>
  <c r="Y14" i="1"/>
  <c r="Z14" i="1"/>
  <c r="AA14" i="1"/>
  <c r="AB14" i="1"/>
  <c r="U15" i="1"/>
  <c r="V15" i="1"/>
  <c r="W15" i="1"/>
  <c r="X15" i="1"/>
  <c r="Y15" i="1"/>
  <c r="Z15" i="1"/>
  <c r="AA15" i="1"/>
  <c r="AB15" i="1"/>
  <c r="U16" i="1"/>
  <c r="V16" i="1"/>
  <c r="W16" i="1"/>
  <c r="X16" i="1"/>
  <c r="Y16" i="1"/>
  <c r="Z16" i="1"/>
  <c r="AA16" i="1"/>
  <c r="AB16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G5" i="1"/>
  <c r="H5" i="1"/>
  <c r="I5" i="1"/>
  <c r="J5" i="1"/>
  <c r="L5" i="1"/>
  <c r="M5" i="1"/>
  <c r="N5" i="1"/>
  <c r="P5" i="1"/>
  <c r="Q5" i="1"/>
  <c r="R5" i="1"/>
  <c r="S5" i="1"/>
  <c r="T5" i="1"/>
  <c r="G6" i="1"/>
  <c r="H6" i="1"/>
  <c r="I6" i="1"/>
  <c r="J6" i="1"/>
  <c r="L6" i="1"/>
  <c r="M6" i="1"/>
  <c r="N6" i="1"/>
  <c r="P6" i="1"/>
  <c r="Q6" i="1"/>
  <c r="R6" i="1"/>
  <c r="S6" i="1"/>
  <c r="T6" i="1"/>
  <c r="G7" i="1"/>
  <c r="H7" i="1"/>
  <c r="I7" i="1"/>
  <c r="J7" i="1"/>
  <c r="L7" i="1"/>
  <c r="M7" i="1"/>
  <c r="N7" i="1"/>
  <c r="P7" i="1"/>
  <c r="Q7" i="1"/>
  <c r="R7" i="1"/>
  <c r="S7" i="1"/>
  <c r="T7" i="1"/>
  <c r="G8" i="1"/>
  <c r="H8" i="1"/>
  <c r="I8" i="1"/>
  <c r="J8" i="1"/>
  <c r="L8" i="1"/>
  <c r="M8" i="1"/>
  <c r="N8" i="1"/>
  <c r="P8" i="1"/>
  <c r="Q8" i="1"/>
  <c r="R8" i="1"/>
  <c r="S8" i="1"/>
  <c r="T8" i="1"/>
  <c r="G9" i="1"/>
  <c r="H9" i="1"/>
  <c r="I9" i="1"/>
  <c r="J9" i="1"/>
  <c r="L9" i="1"/>
  <c r="M9" i="1"/>
  <c r="N9" i="1"/>
  <c r="P9" i="1"/>
  <c r="Q9" i="1"/>
  <c r="R9" i="1"/>
  <c r="S9" i="1"/>
  <c r="T9" i="1"/>
  <c r="G10" i="1"/>
  <c r="H10" i="1"/>
  <c r="I10" i="1"/>
  <c r="J10" i="1"/>
  <c r="L10" i="1"/>
  <c r="M10" i="1"/>
  <c r="N10" i="1"/>
  <c r="P10" i="1"/>
  <c r="Q10" i="1"/>
  <c r="R10" i="1"/>
  <c r="S10" i="1"/>
  <c r="T10" i="1"/>
  <c r="G11" i="1"/>
  <c r="H11" i="1"/>
  <c r="I11" i="1"/>
  <c r="J11" i="1"/>
  <c r="L11" i="1"/>
  <c r="M11" i="1"/>
  <c r="N11" i="1"/>
  <c r="P11" i="1"/>
  <c r="Q11" i="1"/>
  <c r="R11" i="1"/>
  <c r="S11" i="1"/>
  <c r="T11" i="1"/>
  <c r="G12" i="1"/>
  <c r="H12" i="1"/>
  <c r="I12" i="1"/>
  <c r="J12" i="1"/>
  <c r="L12" i="1"/>
  <c r="M12" i="1"/>
  <c r="N12" i="1"/>
  <c r="P12" i="1"/>
  <c r="Q12" i="1"/>
  <c r="R12" i="1"/>
  <c r="S12" i="1"/>
  <c r="T12" i="1"/>
  <c r="G13" i="1"/>
  <c r="H13" i="1"/>
  <c r="I13" i="1"/>
  <c r="J13" i="1"/>
  <c r="L13" i="1"/>
  <c r="M13" i="1"/>
  <c r="N13" i="1"/>
  <c r="P13" i="1"/>
  <c r="Q13" i="1"/>
  <c r="R13" i="1"/>
  <c r="S13" i="1"/>
  <c r="T13" i="1"/>
  <c r="G14" i="1"/>
  <c r="H14" i="1"/>
  <c r="I14" i="1"/>
  <c r="J14" i="1"/>
  <c r="L14" i="1"/>
  <c r="M14" i="1"/>
  <c r="N14" i="1"/>
  <c r="P14" i="1"/>
  <c r="Q14" i="1"/>
  <c r="R14" i="1"/>
  <c r="S14" i="1"/>
  <c r="T14" i="1"/>
  <c r="G15" i="1"/>
  <c r="H15" i="1"/>
  <c r="I15" i="1"/>
  <c r="J15" i="1"/>
  <c r="L15" i="1"/>
  <c r="M15" i="1"/>
  <c r="N15" i="1"/>
  <c r="P15" i="1"/>
  <c r="Q15" i="1"/>
  <c r="R15" i="1"/>
  <c r="S15" i="1"/>
  <c r="T15" i="1"/>
  <c r="G16" i="1"/>
  <c r="H16" i="1"/>
  <c r="I16" i="1"/>
  <c r="J16" i="1"/>
  <c r="L16" i="1"/>
  <c r="M16" i="1"/>
  <c r="N16" i="1"/>
  <c r="P16" i="1"/>
  <c r="Q16" i="1"/>
  <c r="R16" i="1"/>
  <c r="S16" i="1"/>
  <c r="T16" i="1"/>
  <c r="B3" i="1"/>
  <c r="B4" i="1"/>
  <c r="B2" i="1"/>
  <c r="F41" i="13" l="1"/>
  <c r="O41" i="13" s="1"/>
  <c r="F33" i="13"/>
  <c r="O33" i="13" s="1"/>
  <c r="F29" i="13"/>
  <c r="O29" i="13" s="1"/>
  <c r="F34" i="13"/>
  <c r="O34" i="13" s="1"/>
  <c r="F30" i="13"/>
  <c r="O30" i="13" s="1"/>
  <c r="F26" i="13"/>
  <c r="O26" i="13" s="1"/>
  <c r="F40" i="13"/>
  <c r="O40" i="13" s="1"/>
  <c r="F38" i="13"/>
  <c r="O38" i="13" s="1"/>
  <c r="F42" i="13"/>
  <c r="O42" i="13" s="1"/>
  <c r="F39" i="13"/>
  <c r="O39" i="13" s="1"/>
  <c r="F43" i="13"/>
  <c r="O43" i="13" s="1"/>
  <c r="F27" i="13"/>
  <c r="O27" i="13" s="1"/>
  <c r="F31" i="13"/>
  <c r="O31" i="13" s="1"/>
  <c r="F35" i="13"/>
  <c r="O35" i="13" s="1"/>
  <c r="N26" i="13"/>
  <c r="I26" i="13"/>
  <c r="J26" i="13" s="1"/>
  <c r="K26" i="13" s="1"/>
  <c r="I27" i="13"/>
  <c r="J27" i="13" s="1"/>
  <c r="K27" i="13" s="1"/>
  <c r="N27" i="13"/>
  <c r="G27" i="13"/>
  <c r="I28" i="13"/>
  <c r="J28" i="13" s="1"/>
  <c r="K28" i="13" s="1"/>
  <c r="N28" i="13"/>
  <c r="G28" i="13"/>
  <c r="I29" i="13"/>
  <c r="J29" i="13" s="1"/>
  <c r="K29" i="13" s="1"/>
  <c r="N29" i="13"/>
  <c r="G29" i="13"/>
  <c r="N30" i="13"/>
  <c r="G30" i="13"/>
  <c r="I30" i="13"/>
  <c r="J30" i="13" s="1"/>
  <c r="K30" i="13" s="1"/>
  <c r="I31" i="13"/>
  <c r="J31" i="13" s="1"/>
  <c r="K31" i="13" s="1"/>
  <c r="N31" i="13"/>
  <c r="G31" i="13"/>
  <c r="I32" i="13"/>
  <c r="J32" i="13" s="1"/>
  <c r="K32" i="13" s="1"/>
  <c r="N32" i="13"/>
  <c r="G32" i="13"/>
  <c r="I33" i="13"/>
  <c r="J33" i="13" s="1"/>
  <c r="K33" i="13" s="1"/>
  <c r="N33" i="13"/>
  <c r="G33" i="13"/>
  <c r="N34" i="13"/>
  <c r="G34" i="13"/>
  <c r="I34" i="13"/>
  <c r="J34" i="13" s="1"/>
  <c r="K34" i="13" s="1"/>
  <c r="I35" i="13"/>
  <c r="J35" i="13" s="1"/>
  <c r="K35" i="13" s="1"/>
  <c r="N35" i="13"/>
  <c r="G35" i="13"/>
  <c r="I36" i="13"/>
  <c r="J36" i="13" s="1"/>
  <c r="K36" i="13" s="1"/>
  <c r="N36" i="13"/>
  <c r="G36" i="13"/>
  <c r="I37" i="13"/>
  <c r="J37" i="13" s="1"/>
  <c r="K37" i="13" s="1"/>
  <c r="N37" i="13"/>
  <c r="G37" i="13"/>
  <c r="N38" i="13"/>
  <c r="G38" i="13"/>
  <c r="I38" i="13"/>
  <c r="J38" i="13" s="1"/>
  <c r="K38" i="13" s="1"/>
  <c r="I39" i="13"/>
  <c r="J39" i="13" s="1"/>
  <c r="K39" i="13" s="1"/>
  <c r="N39" i="13"/>
  <c r="G39" i="13"/>
  <c r="I40" i="13"/>
  <c r="J40" i="13" s="1"/>
  <c r="K40" i="13" s="1"/>
  <c r="N40" i="13"/>
  <c r="G40" i="13"/>
  <c r="I41" i="13"/>
  <c r="J41" i="13" s="1"/>
  <c r="K41" i="13" s="1"/>
  <c r="N41" i="13"/>
  <c r="G41" i="13"/>
  <c r="N42" i="13"/>
  <c r="G42" i="13"/>
  <c r="I42" i="13"/>
  <c r="J42" i="13" s="1"/>
  <c r="K42" i="13" s="1"/>
  <c r="I43" i="13"/>
  <c r="J43" i="13" s="1"/>
  <c r="K43" i="13" s="1"/>
  <c r="N43" i="13"/>
  <c r="G43" i="13"/>
  <c r="I37" i="1"/>
  <c r="J37" i="1" s="1"/>
  <c r="K37" i="1" s="1"/>
  <c r="N37" i="1"/>
  <c r="G37" i="1"/>
  <c r="I29" i="1"/>
  <c r="J29" i="1" s="1"/>
  <c r="K29" i="1" s="1"/>
  <c r="N29" i="1"/>
  <c r="G29" i="1"/>
  <c r="N31" i="2"/>
  <c r="I31" i="2"/>
  <c r="J31" i="2" s="1"/>
  <c r="K31" i="2" s="1"/>
  <c r="G31" i="2"/>
  <c r="N27" i="3"/>
  <c r="I27" i="3"/>
  <c r="J27" i="3" s="1"/>
  <c r="K27" i="3" s="1"/>
  <c r="G27" i="3"/>
  <c r="N35" i="3"/>
  <c r="I35" i="3"/>
  <c r="J35" i="3" s="1"/>
  <c r="K35" i="3" s="1"/>
  <c r="G35" i="3"/>
  <c r="N31" i="4"/>
  <c r="I31" i="4"/>
  <c r="J31" i="4" s="1"/>
  <c r="K31" i="4" s="1"/>
  <c r="G31" i="4"/>
  <c r="N27" i="5"/>
  <c r="I27" i="5"/>
  <c r="J27" i="5" s="1"/>
  <c r="K27" i="5" s="1"/>
  <c r="G27" i="5"/>
  <c r="N35" i="5"/>
  <c r="I35" i="5"/>
  <c r="J35" i="5" s="1"/>
  <c r="K35" i="5" s="1"/>
  <c r="G35" i="5"/>
  <c r="N35" i="7"/>
  <c r="I35" i="7"/>
  <c r="J35" i="7" s="1"/>
  <c r="K35" i="7" s="1"/>
  <c r="G35" i="7"/>
  <c r="F29" i="2"/>
  <c r="O29" i="2" s="1"/>
  <c r="F33" i="3"/>
  <c r="O33" i="3" s="1"/>
  <c r="F37" i="4"/>
  <c r="O37" i="4" s="1"/>
  <c r="F31" i="7"/>
  <c r="O31" i="7" s="1"/>
  <c r="N35" i="1"/>
  <c r="I35" i="1"/>
  <c r="J35" i="1" s="1"/>
  <c r="K35" i="1" s="1"/>
  <c r="G35" i="1"/>
  <c r="N27" i="1"/>
  <c r="I27" i="1"/>
  <c r="J27" i="1" s="1"/>
  <c r="K27" i="1" s="1"/>
  <c r="G27" i="1"/>
  <c r="N33" i="2"/>
  <c r="I33" i="2"/>
  <c r="J33" i="2" s="1"/>
  <c r="K33" i="2" s="1"/>
  <c r="G33" i="2"/>
  <c r="N29" i="3"/>
  <c r="I29" i="3"/>
  <c r="J29" i="3" s="1"/>
  <c r="K29" i="3" s="1"/>
  <c r="G29" i="3"/>
  <c r="N37" i="3"/>
  <c r="I37" i="3"/>
  <c r="J37" i="3" s="1"/>
  <c r="K37" i="3" s="1"/>
  <c r="G37" i="3"/>
  <c r="N33" i="4"/>
  <c r="I33" i="4"/>
  <c r="J33" i="4" s="1"/>
  <c r="K33" i="4" s="1"/>
  <c r="G33" i="4"/>
  <c r="N29" i="5"/>
  <c r="I29" i="5"/>
  <c r="J29" i="5" s="1"/>
  <c r="K29" i="5" s="1"/>
  <c r="G29" i="5"/>
  <c r="N37" i="5"/>
  <c r="I37" i="5"/>
  <c r="J37" i="5" s="1"/>
  <c r="K37" i="5" s="1"/>
  <c r="G37" i="5"/>
  <c r="N35" i="6"/>
  <c r="I35" i="6"/>
  <c r="J35" i="6" s="1"/>
  <c r="K35" i="6" s="1"/>
  <c r="G35" i="6"/>
  <c r="F31" i="2"/>
  <c r="O31" i="2" s="1"/>
  <c r="F35" i="3"/>
  <c r="O35" i="3" s="1"/>
  <c r="F27" i="5"/>
  <c r="O27" i="5" s="1"/>
  <c r="F31" i="6"/>
  <c r="O31" i="6" s="1"/>
  <c r="I33" i="1"/>
  <c r="J33" i="1" s="1"/>
  <c r="K33" i="1" s="1"/>
  <c r="N33" i="1"/>
  <c r="G33" i="1"/>
  <c r="N27" i="2"/>
  <c r="I27" i="2"/>
  <c r="J27" i="2" s="1"/>
  <c r="K27" i="2" s="1"/>
  <c r="G27" i="2"/>
  <c r="N35" i="2"/>
  <c r="I35" i="2"/>
  <c r="J35" i="2" s="1"/>
  <c r="K35" i="2" s="1"/>
  <c r="G35" i="2"/>
  <c r="N31" i="3"/>
  <c r="I31" i="3"/>
  <c r="J31" i="3" s="1"/>
  <c r="K31" i="3" s="1"/>
  <c r="G31" i="3"/>
  <c r="N27" i="4"/>
  <c r="I27" i="4"/>
  <c r="J27" i="4" s="1"/>
  <c r="K27" i="4" s="1"/>
  <c r="G27" i="4"/>
  <c r="N35" i="4"/>
  <c r="I35" i="4"/>
  <c r="J35" i="4" s="1"/>
  <c r="K35" i="4" s="1"/>
  <c r="G35" i="4"/>
  <c r="N31" i="5"/>
  <c r="I31" i="5"/>
  <c r="J31" i="5" s="1"/>
  <c r="K31" i="5" s="1"/>
  <c r="G31" i="5"/>
  <c r="N27" i="6"/>
  <c r="I27" i="6"/>
  <c r="J27" i="6" s="1"/>
  <c r="K27" i="6" s="1"/>
  <c r="G27" i="6"/>
  <c r="N27" i="7"/>
  <c r="I27" i="7"/>
  <c r="J27" i="7" s="1"/>
  <c r="K27" i="7" s="1"/>
  <c r="G27" i="7"/>
  <c r="N43" i="8"/>
  <c r="I43" i="8"/>
  <c r="J43" i="8" s="1"/>
  <c r="K43" i="8" s="1"/>
  <c r="F43" i="8"/>
  <c r="O43" i="8" s="1"/>
  <c r="G43" i="8"/>
  <c r="N31" i="1"/>
  <c r="I31" i="1"/>
  <c r="J31" i="1" s="1"/>
  <c r="K31" i="1" s="1"/>
  <c r="G31" i="1"/>
  <c r="N29" i="2"/>
  <c r="I29" i="2"/>
  <c r="J29" i="2" s="1"/>
  <c r="K29" i="2" s="1"/>
  <c r="G29" i="2"/>
  <c r="N37" i="2"/>
  <c r="I37" i="2"/>
  <c r="J37" i="2" s="1"/>
  <c r="K37" i="2" s="1"/>
  <c r="G37" i="2"/>
  <c r="N33" i="3"/>
  <c r="I33" i="3"/>
  <c r="J33" i="3" s="1"/>
  <c r="K33" i="3" s="1"/>
  <c r="G33" i="3"/>
  <c r="N29" i="4"/>
  <c r="I29" i="4"/>
  <c r="J29" i="4" s="1"/>
  <c r="K29" i="4" s="1"/>
  <c r="G29" i="4"/>
  <c r="N37" i="4"/>
  <c r="I37" i="4"/>
  <c r="J37" i="4" s="1"/>
  <c r="K37" i="4" s="1"/>
  <c r="G37" i="4"/>
  <c r="N33" i="5"/>
  <c r="I33" i="5"/>
  <c r="J33" i="5" s="1"/>
  <c r="K33" i="5" s="1"/>
  <c r="G33" i="5"/>
  <c r="N31" i="6"/>
  <c r="I31" i="6"/>
  <c r="J31" i="6" s="1"/>
  <c r="K31" i="6" s="1"/>
  <c r="G31" i="6"/>
  <c r="N31" i="7"/>
  <c r="I31" i="7"/>
  <c r="J31" i="7" s="1"/>
  <c r="K31" i="7" s="1"/>
  <c r="G31" i="7"/>
  <c r="N42" i="8"/>
  <c r="I42" i="8"/>
  <c r="J42" i="8" s="1"/>
  <c r="K42" i="8" s="1"/>
  <c r="G42" i="8"/>
  <c r="N41" i="8"/>
  <c r="I41" i="8"/>
  <c r="J41" i="8" s="1"/>
  <c r="K41" i="8" s="1"/>
  <c r="N36" i="8"/>
  <c r="I36" i="8"/>
  <c r="J36" i="8" s="1"/>
  <c r="K36" i="8" s="1"/>
  <c r="G36" i="8"/>
  <c r="N33" i="8"/>
  <c r="I33" i="8"/>
  <c r="J33" i="8" s="1"/>
  <c r="K33" i="8" s="1"/>
  <c r="G33" i="8"/>
  <c r="N27" i="9"/>
  <c r="I27" i="9"/>
  <c r="J27" i="9" s="1"/>
  <c r="K27" i="9" s="1"/>
  <c r="G27" i="9"/>
  <c r="N37" i="9"/>
  <c r="I37" i="9"/>
  <c r="J37" i="9" s="1"/>
  <c r="K37" i="9" s="1"/>
  <c r="G37" i="9"/>
  <c r="N42" i="9"/>
  <c r="I42" i="9"/>
  <c r="J42" i="9" s="1"/>
  <c r="K42" i="9" s="1"/>
  <c r="G42" i="9"/>
  <c r="N30" i="10"/>
  <c r="I30" i="10"/>
  <c r="J30" i="10" s="1"/>
  <c r="K30" i="10" s="1"/>
  <c r="G30" i="10"/>
  <c r="N36" i="10"/>
  <c r="I36" i="10"/>
  <c r="J36" i="10" s="1"/>
  <c r="K36" i="10" s="1"/>
  <c r="G36" i="10"/>
  <c r="N40" i="10"/>
  <c r="I40" i="10"/>
  <c r="J40" i="10" s="1"/>
  <c r="K40" i="10" s="1"/>
  <c r="G40" i="10"/>
  <c r="N26" i="1"/>
  <c r="I26" i="1"/>
  <c r="J26" i="1" s="1"/>
  <c r="K26" i="1" s="1"/>
  <c r="N36" i="1"/>
  <c r="I36" i="1"/>
  <c r="J36" i="1" s="1"/>
  <c r="K36" i="1" s="1"/>
  <c r="I34" i="1"/>
  <c r="J34" i="1" s="1"/>
  <c r="K34" i="1" s="1"/>
  <c r="N34" i="1"/>
  <c r="N32" i="1"/>
  <c r="I32" i="1"/>
  <c r="J32" i="1" s="1"/>
  <c r="K32" i="1" s="1"/>
  <c r="I30" i="1"/>
  <c r="J30" i="1" s="1"/>
  <c r="K30" i="1" s="1"/>
  <c r="N30" i="1"/>
  <c r="N28" i="1"/>
  <c r="I28" i="1"/>
  <c r="J28" i="1" s="1"/>
  <c r="K28" i="1" s="1"/>
  <c r="N26" i="2"/>
  <c r="I26" i="2"/>
  <c r="J26" i="2" s="1"/>
  <c r="K26" i="2" s="1"/>
  <c r="N28" i="2"/>
  <c r="I28" i="2"/>
  <c r="J28" i="2" s="1"/>
  <c r="K28" i="2" s="1"/>
  <c r="N30" i="2"/>
  <c r="I30" i="2"/>
  <c r="J30" i="2" s="1"/>
  <c r="K30" i="2" s="1"/>
  <c r="N32" i="2"/>
  <c r="I32" i="2"/>
  <c r="J32" i="2" s="1"/>
  <c r="K32" i="2" s="1"/>
  <c r="N34" i="2"/>
  <c r="I34" i="2"/>
  <c r="J34" i="2" s="1"/>
  <c r="K34" i="2" s="1"/>
  <c r="N36" i="2"/>
  <c r="I36" i="2"/>
  <c r="J36" i="2" s="1"/>
  <c r="K36" i="2" s="1"/>
  <c r="N26" i="3"/>
  <c r="I26" i="3"/>
  <c r="J26" i="3" s="1"/>
  <c r="K26" i="3" s="1"/>
  <c r="N28" i="3"/>
  <c r="I28" i="3"/>
  <c r="J28" i="3" s="1"/>
  <c r="K28" i="3" s="1"/>
  <c r="N30" i="3"/>
  <c r="I30" i="3"/>
  <c r="J30" i="3" s="1"/>
  <c r="K30" i="3" s="1"/>
  <c r="N32" i="3"/>
  <c r="I32" i="3"/>
  <c r="J32" i="3" s="1"/>
  <c r="K32" i="3" s="1"/>
  <c r="N34" i="3"/>
  <c r="I34" i="3"/>
  <c r="J34" i="3" s="1"/>
  <c r="K34" i="3" s="1"/>
  <c r="N36" i="3"/>
  <c r="I36" i="3"/>
  <c r="J36" i="3" s="1"/>
  <c r="K36" i="3" s="1"/>
  <c r="N26" i="4"/>
  <c r="I26" i="4"/>
  <c r="J26" i="4" s="1"/>
  <c r="K26" i="4" s="1"/>
  <c r="N28" i="4"/>
  <c r="I28" i="4"/>
  <c r="J28" i="4" s="1"/>
  <c r="K28" i="4" s="1"/>
  <c r="N30" i="4"/>
  <c r="I30" i="4"/>
  <c r="J30" i="4" s="1"/>
  <c r="K30" i="4" s="1"/>
  <c r="N32" i="4"/>
  <c r="I32" i="4"/>
  <c r="J32" i="4" s="1"/>
  <c r="K32" i="4" s="1"/>
  <c r="N34" i="4"/>
  <c r="I34" i="4"/>
  <c r="J34" i="4" s="1"/>
  <c r="K34" i="4" s="1"/>
  <c r="N36" i="4"/>
  <c r="I36" i="4"/>
  <c r="J36" i="4" s="1"/>
  <c r="K36" i="4" s="1"/>
  <c r="N26" i="5"/>
  <c r="I26" i="5"/>
  <c r="J26" i="5" s="1"/>
  <c r="K26" i="5" s="1"/>
  <c r="N28" i="5"/>
  <c r="I28" i="5"/>
  <c r="J28" i="5" s="1"/>
  <c r="K28" i="5" s="1"/>
  <c r="N30" i="5"/>
  <c r="I30" i="5"/>
  <c r="J30" i="5" s="1"/>
  <c r="K30" i="5" s="1"/>
  <c r="N32" i="5"/>
  <c r="I32" i="5"/>
  <c r="J32" i="5" s="1"/>
  <c r="K32" i="5" s="1"/>
  <c r="N34" i="5"/>
  <c r="I34" i="5"/>
  <c r="J34" i="5" s="1"/>
  <c r="K34" i="5" s="1"/>
  <c r="N36" i="5"/>
  <c r="I36" i="5"/>
  <c r="J36" i="5" s="1"/>
  <c r="K36" i="5" s="1"/>
  <c r="N26" i="6"/>
  <c r="I26" i="6"/>
  <c r="J26" i="6" s="1"/>
  <c r="K26" i="6" s="1"/>
  <c r="N29" i="6"/>
  <c r="I29" i="6"/>
  <c r="J29" i="6" s="1"/>
  <c r="K29" i="6" s="1"/>
  <c r="G29" i="6"/>
  <c r="N30" i="6"/>
  <c r="I30" i="6"/>
  <c r="J30" i="6" s="1"/>
  <c r="K30" i="6" s="1"/>
  <c r="N33" i="6"/>
  <c r="I33" i="6"/>
  <c r="J33" i="6" s="1"/>
  <c r="K33" i="6" s="1"/>
  <c r="G33" i="6"/>
  <c r="N34" i="6"/>
  <c r="I34" i="6"/>
  <c r="J34" i="6" s="1"/>
  <c r="K34" i="6" s="1"/>
  <c r="N37" i="6"/>
  <c r="I37" i="6"/>
  <c r="J37" i="6" s="1"/>
  <c r="K37" i="6" s="1"/>
  <c r="G37" i="6"/>
  <c r="N26" i="7"/>
  <c r="I26" i="7"/>
  <c r="J26" i="7" s="1"/>
  <c r="K26" i="7" s="1"/>
  <c r="N29" i="7"/>
  <c r="I29" i="7"/>
  <c r="J29" i="7" s="1"/>
  <c r="K29" i="7" s="1"/>
  <c r="G29" i="7"/>
  <c r="N30" i="7"/>
  <c r="I30" i="7"/>
  <c r="J30" i="7" s="1"/>
  <c r="K30" i="7" s="1"/>
  <c r="N33" i="7"/>
  <c r="I33" i="7"/>
  <c r="J33" i="7" s="1"/>
  <c r="K33" i="7" s="1"/>
  <c r="G33" i="7"/>
  <c r="N34" i="7"/>
  <c r="I34" i="7"/>
  <c r="J34" i="7" s="1"/>
  <c r="K34" i="7" s="1"/>
  <c r="N37" i="7"/>
  <c r="I37" i="7"/>
  <c r="J37" i="7" s="1"/>
  <c r="K37" i="7" s="1"/>
  <c r="G37" i="7"/>
  <c r="N26" i="8"/>
  <c r="I26" i="8"/>
  <c r="J26" i="8" s="1"/>
  <c r="K26" i="8" s="1"/>
  <c r="N39" i="8"/>
  <c r="I39" i="8"/>
  <c r="J39" i="8" s="1"/>
  <c r="K39" i="8" s="1"/>
  <c r="G39" i="8"/>
  <c r="N34" i="8"/>
  <c r="I34" i="8"/>
  <c r="J34" i="8" s="1"/>
  <c r="K34" i="8" s="1"/>
  <c r="G34" i="8"/>
  <c r="N31" i="8"/>
  <c r="I31" i="8"/>
  <c r="J31" i="8" s="1"/>
  <c r="K31" i="8" s="1"/>
  <c r="G31" i="8"/>
  <c r="N28" i="8"/>
  <c r="I28" i="8"/>
  <c r="J28" i="8" s="1"/>
  <c r="K28" i="8" s="1"/>
  <c r="G28" i="8"/>
  <c r="N26" i="9"/>
  <c r="I26" i="9"/>
  <c r="J26" i="9" s="1"/>
  <c r="K26" i="9" s="1"/>
  <c r="G26" i="9"/>
  <c r="N30" i="9"/>
  <c r="I30" i="9"/>
  <c r="J30" i="9" s="1"/>
  <c r="K30" i="9" s="1"/>
  <c r="G30" i="9"/>
  <c r="N31" i="9"/>
  <c r="I31" i="9"/>
  <c r="J31" i="9" s="1"/>
  <c r="K31" i="9" s="1"/>
  <c r="G31" i="9"/>
  <c r="N41" i="9"/>
  <c r="I41" i="9"/>
  <c r="J41" i="9" s="1"/>
  <c r="K41" i="9" s="1"/>
  <c r="G41" i="9"/>
  <c r="N34" i="10"/>
  <c r="I34" i="10"/>
  <c r="J34" i="10" s="1"/>
  <c r="K34" i="10" s="1"/>
  <c r="G34" i="10"/>
  <c r="N35" i="10"/>
  <c r="I35" i="10"/>
  <c r="J35" i="10" s="1"/>
  <c r="K35" i="10" s="1"/>
  <c r="G35" i="10"/>
  <c r="N39" i="10"/>
  <c r="I39" i="10"/>
  <c r="J39" i="10" s="1"/>
  <c r="K39" i="10" s="1"/>
  <c r="G39" i="10"/>
  <c r="N30" i="11"/>
  <c r="G30" i="11"/>
  <c r="I30" i="11"/>
  <c r="J30" i="11" s="1"/>
  <c r="K30" i="11" s="1"/>
  <c r="G30" i="6"/>
  <c r="G34" i="6"/>
  <c r="G26" i="7"/>
  <c r="G30" i="7"/>
  <c r="G34" i="7"/>
  <c r="G26" i="8"/>
  <c r="F33" i="8"/>
  <c r="O33" i="8" s="1"/>
  <c r="N40" i="8"/>
  <c r="I40" i="8"/>
  <c r="J40" i="8" s="1"/>
  <c r="K40" i="8" s="1"/>
  <c r="G40" i="8"/>
  <c r="N37" i="8"/>
  <c r="I37" i="8"/>
  <c r="J37" i="8" s="1"/>
  <c r="K37" i="8" s="1"/>
  <c r="G37" i="8"/>
  <c r="N32" i="8"/>
  <c r="I32" i="8"/>
  <c r="J32" i="8" s="1"/>
  <c r="K32" i="8" s="1"/>
  <c r="G32" i="8"/>
  <c r="N27" i="8"/>
  <c r="I27" i="8"/>
  <c r="J27" i="8" s="1"/>
  <c r="K27" i="8" s="1"/>
  <c r="G27" i="8"/>
  <c r="F27" i="9"/>
  <c r="O27" i="9" s="1"/>
  <c r="N29" i="9"/>
  <c r="I29" i="9"/>
  <c r="J29" i="9" s="1"/>
  <c r="K29" i="9" s="1"/>
  <c r="G29" i="9"/>
  <c r="N34" i="9"/>
  <c r="I34" i="9"/>
  <c r="J34" i="9" s="1"/>
  <c r="K34" i="9" s="1"/>
  <c r="G34" i="9"/>
  <c r="N35" i="9"/>
  <c r="I35" i="9"/>
  <c r="J35" i="9" s="1"/>
  <c r="K35" i="9" s="1"/>
  <c r="G35" i="9"/>
  <c r="F41" i="9"/>
  <c r="O41" i="9" s="1"/>
  <c r="F42" i="9"/>
  <c r="O42" i="9" s="1"/>
  <c r="N27" i="10"/>
  <c r="I27" i="10"/>
  <c r="J27" i="10" s="1"/>
  <c r="K27" i="10" s="1"/>
  <c r="G27" i="10"/>
  <c r="N28" i="10"/>
  <c r="I28" i="10"/>
  <c r="J28" i="10" s="1"/>
  <c r="K28" i="10" s="1"/>
  <c r="G28" i="10"/>
  <c r="F34" i="10"/>
  <c r="O34" i="10" s="1"/>
  <c r="F35" i="10"/>
  <c r="O35" i="10" s="1"/>
  <c r="F36" i="10"/>
  <c r="O36" i="10" s="1"/>
  <c r="N38" i="10"/>
  <c r="I38" i="10"/>
  <c r="J38" i="10" s="1"/>
  <c r="K38" i="10" s="1"/>
  <c r="G38" i="10"/>
  <c r="F40" i="10"/>
  <c r="O40" i="10" s="1"/>
  <c r="N42" i="10"/>
  <c r="I42" i="10"/>
  <c r="J42" i="10" s="1"/>
  <c r="K42" i="10" s="1"/>
  <c r="G42" i="10"/>
  <c r="N28" i="6"/>
  <c r="I28" i="6"/>
  <c r="J28" i="6" s="1"/>
  <c r="K28" i="6" s="1"/>
  <c r="N32" i="6"/>
  <c r="I32" i="6"/>
  <c r="J32" i="6" s="1"/>
  <c r="K32" i="6" s="1"/>
  <c r="C36" i="6"/>
  <c r="C28" i="7"/>
  <c r="C32" i="7"/>
  <c r="C36" i="7"/>
  <c r="F39" i="8"/>
  <c r="O39" i="8" s="1"/>
  <c r="F36" i="8"/>
  <c r="O36" i="8" s="1"/>
  <c r="G41" i="8"/>
  <c r="N38" i="8"/>
  <c r="I38" i="8"/>
  <c r="J38" i="8" s="1"/>
  <c r="K38" i="8" s="1"/>
  <c r="G38" i="8"/>
  <c r="N35" i="8"/>
  <c r="I35" i="8"/>
  <c r="J35" i="8" s="1"/>
  <c r="K35" i="8" s="1"/>
  <c r="G35" i="8"/>
  <c r="N30" i="8"/>
  <c r="I30" i="8"/>
  <c r="J30" i="8" s="1"/>
  <c r="K30" i="8" s="1"/>
  <c r="G30" i="8"/>
  <c r="F26" i="9"/>
  <c r="O26" i="9" s="1"/>
  <c r="F29" i="9"/>
  <c r="O29" i="9" s="1"/>
  <c r="F30" i="9"/>
  <c r="O30" i="9" s="1"/>
  <c r="F31" i="9"/>
  <c r="O31" i="9" s="1"/>
  <c r="N33" i="9"/>
  <c r="I33" i="9"/>
  <c r="J33" i="9" s="1"/>
  <c r="K33" i="9" s="1"/>
  <c r="G33" i="9"/>
  <c r="N38" i="9"/>
  <c r="I38" i="9"/>
  <c r="J38" i="9" s="1"/>
  <c r="K38" i="9" s="1"/>
  <c r="G38" i="9"/>
  <c r="N39" i="9"/>
  <c r="I39" i="9"/>
  <c r="J39" i="9" s="1"/>
  <c r="K39" i="9" s="1"/>
  <c r="G39" i="9"/>
  <c r="N26" i="10"/>
  <c r="I26" i="10"/>
  <c r="J26" i="10" s="1"/>
  <c r="K26" i="10" s="1"/>
  <c r="G26" i="10"/>
  <c r="N31" i="10"/>
  <c r="I31" i="10"/>
  <c r="J31" i="10" s="1"/>
  <c r="K31" i="10" s="1"/>
  <c r="G31" i="10"/>
  <c r="N32" i="10"/>
  <c r="I32" i="10"/>
  <c r="J32" i="10" s="1"/>
  <c r="K32" i="10" s="1"/>
  <c r="G32" i="10"/>
  <c r="F39" i="10"/>
  <c r="O39" i="10" s="1"/>
  <c r="F43" i="10"/>
  <c r="O43" i="10" s="1"/>
  <c r="F30" i="11"/>
  <c r="O30" i="11" s="1"/>
  <c r="N31" i="11"/>
  <c r="I31" i="11"/>
  <c r="J31" i="11" s="1"/>
  <c r="K31" i="11" s="1"/>
  <c r="G31" i="11"/>
  <c r="N29" i="8"/>
  <c r="I29" i="8"/>
  <c r="J29" i="8" s="1"/>
  <c r="K29" i="8" s="1"/>
  <c r="N28" i="9"/>
  <c r="I28" i="9"/>
  <c r="J28" i="9" s="1"/>
  <c r="K28" i="9" s="1"/>
  <c r="N32" i="9"/>
  <c r="I32" i="9"/>
  <c r="J32" i="9" s="1"/>
  <c r="K32" i="9" s="1"/>
  <c r="N36" i="9"/>
  <c r="I36" i="9"/>
  <c r="J36" i="9" s="1"/>
  <c r="K36" i="9" s="1"/>
  <c r="N40" i="9"/>
  <c r="I40" i="9"/>
  <c r="J40" i="9" s="1"/>
  <c r="K40" i="9" s="1"/>
  <c r="N43" i="9"/>
  <c r="I43" i="9"/>
  <c r="J43" i="9" s="1"/>
  <c r="K43" i="9" s="1"/>
  <c r="N29" i="10"/>
  <c r="I29" i="10"/>
  <c r="J29" i="10" s="1"/>
  <c r="K29" i="10" s="1"/>
  <c r="N33" i="10"/>
  <c r="I33" i="10"/>
  <c r="J33" i="10" s="1"/>
  <c r="K33" i="10" s="1"/>
  <c r="N37" i="10"/>
  <c r="I37" i="10"/>
  <c r="J37" i="10" s="1"/>
  <c r="K37" i="10" s="1"/>
  <c r="N41" i="10"/>
  <c r="I41" i="10"/>
  <c r="J41" i="10" s="1"/>
  <c r="K41" i="10" s="1"/>
  <c r="N34" i="11"/>
  <c r="I34" i="11"/>
  <c r="J34" i="11" s="1"/>
  <c r="K34" i="11" s="1"/>
  <c r="G34" i="11"/>
  <c r="N36" i="11"/>
  <c r="I36" i="11"/>
  <c r="J36" i="11" s="1"/>
  <c r="K36" i="11" s="1"/>
  <c r="N42" i="11"/>
  <c r="I42" i="11"/>
  <c r="J42" i="11" s="1"/>
  <c r="K42" i="11" s="1"/>
  <c r="G42" i="11"/>
  <c r="N43" i="11"/>
  <c r="I43" i="11"/>
  <c r="J43" i="11" s="1"/>
  <c r="K43" i="11" s="1"/>
  <c r="G43" i="11"/>
  <c r="N28" i="11"/>
  <c r="I28" i="11"/>
  <c r="J28" i="11" s="1"/>
  <c r="K28" i="11" s="1"/>
  <c r="C43" i="10"/>
  <c r="G28" i="11"/>
  <c r="F32" i="11"/>
  <c r="O32" i="11" s="1"/>
  <c r="C32" i="11"/>
  <c r="C33" i="11"/>
  <c r="N35" i="11"/>
  <c r="I35" i="11"/>
  <c r="J35" i="11" s="1"/>
  <c r="K35" i="11" s="1"/>
  <c r="G35" i="11"/>
  <c r="G36" i="11"/>
  <c r="F37" i="11"/>
  <c r="O37" i="11" s="1"/>
  <c r="N41" i="11"/>
  <c r="I41" i="11"/>
  <c r="J41" i="11" s="1"/>
  <c r="K41" i="11" s="1"/>
  <c r="G41" i="11"/>
  <c r="N29" i="11"/>
  <c r="G29" i="11"/>
  <c r="I29" i="11"/>
  <c r="J29" i="11" s="1"/>
  <c r="K29" i="11" s="1"/>
  <c r="G43" i="9"/>
  <c r="F34" i="11"/>
  <c r="O34" i="11" s="1"/>
  <c r="N38" i="11"/>
  <c r="I38" i="11"/>
  <c r="J38" i="11" s="1"/>
  <c r="K38" i="11" s="1"/>
  <c r="G38" i="11"/>
  <c r="N40" i="11"/>
  <c r="I40" i="11"/>
  <c r="J40" i="11" s="1"/>
  <c r="K40" i="11" s="1"/>
  <c r="F42" i="11"/>
  <c r="O42" i="11" s="1"/>
  <c r="N27" i="11"/>
  <c r="G27" i="11"/>
  <c r="I27" i="11"/>
  <c r="J27" i="11" s="1"/>
  <c r="K27" i="11" s="1"/>
  <c r="G29" i="8"/>
  <c r="G28" i="9"/>
  <c r="G32" i="9"/>
  <c r="G36" i="9"/>
  <c r="G40" i="9"/>
  <c r="G29" i="10"/>
  <c r="G33" i="10"/>
  <c r="G37" i="10"/>
  <c r="G41" i="10"/>
  <c r="N37" i="11"/>
  <c r="I37" i="11"/>
  <c r="J37" i="11" s="1"/>
  <c r="K37" i="11" s="1"/>
  <c r="G37" i="11"/>
  <c r="N39" i="11"/>
  <c r="I39" i="11"/>
  <c r="J39" i="11" s="1"/>
  <c r="K39" i="11" s="1"/>
  <c r="G39" i="11"/>
  <c r="N26" i="11"/>
  <c r="I26" i="11"/>
  <c r="J26" i="11" s="1"/>
  <c r="K26" i="11" s="1"/>
  <c r="N43" i="10" l="1"/>
  <c r="I43" i="10"/>
  <c r="J43" i="10" s="1"/>
  <c r="K43" i="10" s="1"/>
  <c r="G43" i="10"/>
  <c r="N32" i="7"/>
  <c r="I32" i="7"/>
  <c r="J32" i="7" s="1"/>
  <c r="K32" i="7" s="1"/>
  <c r="F32" i="7"/>
  <c r="O32" i="7" s="1"/>
  <c r="G32" i="7"/>
  <c r="N32" i="11"/>
  <c r="I32" i="11"/>
  <c r="J32" i="11" s="1"/>
  <c r="K32" i="11" s="1"/>
  <c r="G32" i="11"/>
  <c r="N28" i="7"/>
  <c r="I28" i="7"/>
  <c r="J28" i="7" s="1"/>
  <c r="K28" i="7" s="1"/>
  <c r="F28" i="7"/>
  <c r="O28" i="7" s="1"/>
  <c r="G28" i="7"/>
  <c r="N36" i="7"/>
  <c r="I36" i="7"/>
  <c r="J36" i="7" s="1"/>
  <c r="K36" i="7" s="1"/>
  <c r="F36" i="7"/>
  <c r="O36" i="7" s="1"/>
  <c r="G36" i="7"/>
  <c r="N33" i="11"/>
  <c r="I33" i="11"/>
  <c r="J33" i="11" s="1"/>
  <c r="K33" i="11" s="1"/>
  <c r="G33" i="11"/>
  <c r="F33" i="11"/>
  <c r="O33" i="11" s="1"/>
  <c r="N36" i="6"/>
  <c r="I36" i="6"/>
  <c r="J36" i="6" s="1"/>
  <c r="K36" i="6" s="1"/>
  <c r="F36" i="6"/>
  <c r="O36" i="6" s="1"/>
  <c r="G36" i="6"/>
</calcChain>
</file>

<file path=xl/sharedStrings.xml><?xml version="1.0" encoding="utf-8"?>
<sst xmlns="http://schemas.openxmlformats.org/spreadsheetml/2006/main" count="154" uniqueCount="9">
  <si>
    <t>bracket</t>
  </si>
  <si>
    <t>income</t>
  </si>
  <si>
    <t>taxes</t>
  </si>
  <si>
    <t>number</t>
  </si>
  <si>
    <t>eff_tax_rate</t>
  </si>
  <si>
    <t>income_r</t>
  </si>
  <si>
    <t>annual_inc_sm</t>
  </si>
  <si>
    <t>annual_inc_sm_pc</t>
  </si>
  <si>
    <t>month_inc_sm_pc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</si>
</sst>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6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ropbox/LATAM-WIL/Data/Tax-data/BRA/Raw%20tabulations/gn-irpf-ac2019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%20de%20Rosa/Dropbox%20(Desigualdad)/LATAM-WIL/Data/Tax-data/BRA/Raw%20tabulations/gn-irpf-ac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  <cell r="V9"/>
          <cell r="W9"/>
          <cell r="X9"/>
          <cell r="Y9"/>
          <cell r="Z9"/>
          <cell r="AA9"/>
          <cell r="AB9"/>
          <cell r="AC9"/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  <cell r="V10"/>
          <cell r="W10" t="str">
            <v>Withheld income (post-tax)</v>
          </cell>
          <cell r="X10"/>
          <cell r="Y10"/>
          <cell r="Z10"/>
          <cell r="AA10" t="str">
            <v>Pre-tax</v>
          </cell>
          <cell r="AB10"/>
          <cell r="AC10"/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  <cell r="V11"/>
          <cell r="W11" t="str">
            <v>Labour income</v>
          </cell>
          <cell r="X11" t="str">
            <v>Labour income (adj)</v>
          </cell>
          <cell r="Y11" t="str">
            <v xml:space="preserve">Capital income </v>
          </cell>
          <cell r="Z11"/>
          <cell r="AA11" t="str">
            <v>Labour income</v>
          </cell>
          <cell r="AB11" t="str">
            <v xml:space="preserve">Capital income </v>
          </cell>
          <cell r="AC11" t="str">
            <v>Total withheld income</v>
          </cell>
        </row>
        <row r="12">
          <cell r="C12" t="str">
            <v>Até 1/2 Salário Mín.</v>
          </cell>
          <cell r="D12">
            <v>2675969</v>
          </cell>
          <cell r="E12">
            <v>202.64534560999999</v>
          </cell>
          <cell r="F12">
            <v>6.2101566500000001</v>
          </cell>
          <cell r="G12">
            <v>31.801113079999997</v>
          </cell>
          <cell r="H12">
            <v>7.5891025299999999</v>
          </cell>
          <cell r="I12">
            <v>81.844629269999999</v>
          </cell>
          <cell r="J12">
            <v>3.8501201099999998</v>
          </cell>
          <cell r="K12">
            <v>10.758596259999999</v>
          </cell>
          <cell r="L12">
            <v>7.736353E-2</v>
          </cell>
          <cell r="M12">
            <v>3.79888475</v>
          </cell>
          <cell r="N12">
            <v>33.741216589999979</v>
          </cell>
          <cell r="O12">
            <v>173.62749217999999</v>
          </cell>
          <cell r="P12">
            <v>1.40303029</v>
          </cell>
          <cell r="Q12">
            <v>33.793406050000002</v>
          </cell>
          <cell r="R12">
            <v>0.16569349999999999</v>
          </cell>
          <cell r="S12">
            <v>32.308350259999997</v>
          </cell>
          <cell r="T12">
            <v>54982.272353230001</v>
          </cell>
          <cell r="U12">
            <v>4234.8890413400004</v>
          </cell>
          <cell r="V12">
            <v>0</v>
          </cell>
          <cell r="W12">
            <v>3.3448399781895177</v>
          </cell>
          <cell r="X12">
            <v>3.3448399781895177</v>
          </cell>
          <cell r="Y12">
            <v>2.8653166718104823</v>
          </cell>
          <cell r="Z12">
            <v>0.52430737800026828</v>
          </cell>
          <cell r="AA12">
            <v>3.3718685998995959</v>
          </cell>
          <cell r="AB12">
            <v>3.3709607903652734</v>
          </cell>
          <cell r="AC12">
            <v>6.7428293902648697</v>
          </cell>
        </row>
        <row r="13">
          <cell r="C13" t="str">
            <v>1/2 a 1 Salário Mín.</v>
          </cell>
          <cell r="D13">
            <v>754806</v>
          </cell>
          <cell r="E13">
            <v>2882.2448306400001</v>
          </cell>
          <cell r="F13">
            <v>11.50501989</v>
          </cell>
          <cell r="G13">
            <v>54.06265286</v>
          </cell>
          <cell r="H13">
            <v>26.40657023</v>
          </cell>
          <cell r="I13">
            <v>32.99195872</v>
          </cell>
          <cell r="J13">
            <v>2.01720158</v>
          </cell>
          <cell r="K13">
            <v>4.9147727300000001</v>
          </cell>
          <cell r="L13">
            <v>0.12918192000000001</v>
          </cell>
          <cell r="M13">
            <v>1.1504897199999999</v>
          </cell>
          <cell r="N13">
            <v>492.86575802999999</v>
          </cell>
          <cell r="O13">
            <v>2339.6628184599999</v>
          </cell>
          <cell r="P13">
            <v>0.44262159000000001</v>
          </cell>
          <cell r="Q13">
            <v>11.26422795</v>
          </cell>
          <cell r="R13">
            <v>2.8475430000000003E-2</v>
          </cell>
          <cell r="S13">
            <v>11.226685630000002</v>
          </cell>
          <cell r="T13">
            <v>15576.75505356</v>
          </cell>
          <cell r="U13">
            <v>1210.90627511</v>
          </cell>
          <cell r="V13">
            <v>1</v>
          </cell>
          <cell r="W13">
            <v>6.1966956144234402</v>
          </cell>
          <cell r="X13">
            <v>6.1966956144234402</v>
          </cell>
          <cell r="Y13">
            <v>5.3083242755765596</v>
          </cell>
          <cell r="Z13">
            <v>0.58640444034626116</v>
          </cell>
          <cell r="AA13">
            <v>6.1978679163653956</v>
          </cell>
          <cell r="AB13">
            <v>6.2450873830312466</v>
          </cell>
          <cell r="AC13">
            <v>12.442955299396642</v>
          </cell>
        </row>
        <row r="14">
          <cell r="C14" t="str">
            <v>1 a 2 Salários Mín.</v>
          </cell>
          <cell r="D14">
            <v>1387296</v>
          </cell>
          <cell r="E14">
            <v>8084.0570811899997</v>
          </cell>
          <cell r="F14">
            <v>61.867090320000003</v>
          </cell>
          <cell r="G14">
            <v>293.42896652000002</v>
          </cell>
          <cell r="H14">
            <v>64.360434920000003</v>
          </cell>
          <cell r="I14">
            <v>106.97097681999999</v>
          </cell>
          <cell r="J14">
            <v>9.0739337200000012</v>
          </cell>
          <cell r="K14">
            <v>17.323790890000001</v>
          </cell>
          <cell r="L14">
            <v>1.08945756</v>
          </cell>
          <cell r="M14">
            <v>3.5951519100000002</v>
          </cell>
          <cell r="N14">
            <v>1310.28940283</v>
          </cell>
          <cell r="O14">
            <v>6595.20241222</v>
          </cell>
          <cell r="P14">
            <v>2.2366006600000001</v>
          </cell>
          <cell r="Q14">
            <v>40.518058449999998</v>
          </cell>
          <cell r="R14">
            <v>4.7379249999999998E-2</v>
          </cell>
          <cell r="S14">
            <v>40.493699810000003</v>
          </cell>
          <cell r="T14">
            <v>31186.338055119999</v>
          </cell>
          <cell r="U14">
            <v>1677.211528</v>
          </cell>
          <cell r="V14">
            <v>2</v>
          </cell>
          <cell r="W14">
            <v>33.322109038360203</v>
          </cell>
          <cell r="X14">
            <v>33.322109038360203</v>
          </cell>
          <cell r="Y14">
            <v>28.544981281639799</v>
          </cell>
          <cell r="Z14">
            <v>1.6122014768297466</v>
          </cell>
          <cell r="AA14">
            <v>33.333409411936259</v>
          </cell>
          <cell r="AB14">
            <v>33.582330919576236</v>
          </cell>
          <cell r="AC14">
            <v>66.915740331512495</v>
          </cell>
        </row>
        <row r="15">
          <cell r="C15" t="str">
            <v>2 a 3 Salários Mín.</v>
          </cell>
          <cell r="D15">
            <v>1788915</v>
          </cell>
          <cell r="E15">
            <v>18276.992607960001</v>
          </cell>
          <cell r="F15">
            <v>134.01591639</v>
          </cell>
          <cell r="G15">
            <v>555.12116521999997</v>
          </cell>
          <cell r="H15">
            <v>171.55926213000001</v>
          </cell>
          <cell r="I15">
            <v>206.93515386999999</v>
          </cell>
          <cell r="J15">
            <v>22.86433113</v>
          </cell>
          <cell r="K15">
            <v>40.909323200000003</v>
          </cell>
          <cell r="L15">
            <v>4.65544475</v>
          </cell>
          <cell r="M15">
            <v>8.8306131800000003</v>
          </cell>
          <cell r="N15">
            <v>2911.20862033</v>
          </cell>
          <cell r="O15">
            <v>14957.471811739999</v>
          </cell>
          <cell r="P15">
            <v>4.9741871600000005</v>
          </cell>
          <cell r="Q15">
            <v>83.476253850000006</v>
          </cell>
          <cell r="R15">
            <v>0.12955285</v>
          </cell>
          <cell r="S15">
            <v>83.615262260000009</v>
          </cell>
          <cell r="T15">
            <v>51196.638818269996</v>
          </cell>
          <cell r="U15">
            <v>2935.5213540100003</v>
          </cell>
          <cell r="V15">
            <v>3</v>
          </cell>
          <cell r="W15">
            <v>72.18204308179179</v>
          </cell>
          <cell r="X15">
            <v>72.18204308179179</v>
          </cell>
          <cell r="Y15">
            <v>61.833873308208211</v>
          </cell>
          <cell r="Z15">
            <v>2.7805609321851512</v>
          </cell>
          <cell r="AA15">
            <v>72.206047605844986</v>
          </cell>
          <cell r="AB15">
            <v>72.745733303774372</v>
          </cell>
          <cell r="AC15">
            <v>144.95178090961934</v>
          </cell>
        </row>
        <row r="16">
          <cell r="C16" t="str">
            <v>3 a 5 Salários Mín.</v>
          </cell>
          <cell r="D16">
            <v>7116435</v>
          </cell>
          <cell r="E16">
            <v>116116.15457174001</v>
          </cell>
          <cell r="F16">
            <v>1356.29626059</v>
          </cell>
          <cell r="G16">
            <v>2859.8308058600001</v>
          </cell>
          <cell r="H16">
            <v>1952.4228603500001</v>
          </cell>
          <cell r="I16">
            <v>2804.0157504200001</v>
          </cell>
          <cell r="J16">
            <v>441.18074805999998</v>
          </cell>
          <cell r="K16">
            <v>782.34276771000009</v>
          </cell>
          <cell r="L16">
            <v>63.199381509999995</v>
          </cell>
          <cell r="M16">
            <v>223.86333455000002</v>
          </cell>
          <cell r="N16">
            <v>18109.274387399997</v>
          </cell>
          <cell r="O16">
            <v>91990.381797899987</v>
          </cell>
          <cell r="P16">
            <v>93.979236310000005</v>
          </cell>
          <cell r="Q16">
            <v>797.53619741</v>
          </cell>
          <cell r="R16">
            <v>30.632230439999997</v>
          </cell>
          <cell r="S16">
            <v>763.55420670000001</v>
          </cell>
          <cell r="T16">
            <v>243477.16949359002</v>
          </cell>
          <cell r="U16">
            <v>16871.139727269998</v>
          </cell>
          <cell r="V16">
            <v>4</v>
          </cell>
          <cell r="W16">
            <v>730.51199999767789</v>
          </cell>
          <cell r="X16">
            <v>730.51199999767789</v>
          </cell>
          <cell r="Y16">
            <v>625.78426059232208</v>
          </cell>
          <cell r="Z16">
            <v>13.205943187846161</v>
          </cell>
          <cell r="AA16">
            <v>731.25830584545554</v>
          </cell>
          <cell r="AB16">
            <v>736.21677716743773</v>
          </cell>
          <cell r="AC16">
            <v>1467.4750830128933</v>
          </cell>
        </row>
        <row r="17">
          <cell r="C17" t="str">
            <v>5 a 10 Salários Mín.</v>
          </cell>
          <cell r="D17">
            <v>6313828</v>
          </cell>
          <cell r="E17">
            <v>163031.21819988999</v>
          </cell>
          <cell r="F17">
            <v>6080.9627231699997</v>
          </cell>
          <cell r="G17">
            <v>10747.541758810001</v>
          </cell>
          <cell r="H17">
            <v>8730.9314519700001</v>
          </cell>
          <cell r="I17">
            <v>10839.882822860001</v>
          </cell>
          <cell r="J17">
            <v>5012.7710950399996</v>
          </cell>
          <cell r="K17">
            <v>8772.1792772199988</v>
          </cell>
          <cell r="L17">
            <v>694.52635729999997</v>
          </cell>
          <cell r="M17">
            <v>1537.5047571099999</v>
          </cell>
          <cell r="N17">
            <v>13777.469619080002</v>
          </cell>
          <cell r="O17">
            <v>114061.379235</v>
          </cell>
          <cell r="P17">
            <v>3588.1784159500003</v>
          </cell>
          <cell r="Q17">
            <v>5741.0519226300003</v>
          </cell>
          <cell r="R17">
            <v>732.13716737000004</v>
          </cell>
          <cell r="S17">
            <v>2929.9586876099997</v>
          </cell>
          <cell r="T17">
            <v>354997.64286980999</v>
          </cell>
          <cell r="U17">
            <v>32615.88191873</v>
          </cell>
          <cell r="V17">
            <v>5</v>
          </cell>
          <cell r="W17">
            <v>3275.2550972026143</v>
          </cell>
          <cell r="X17">
            <v>3275.2550972026143</v>
          </cell>
          <cell r="Y17">
            <v>2805.7076259673854</v>
          </cell>
          <cell r="Z17">
            <v>568.30474570260708</v>
          </cell>
          <cell r="AA17">
            <v>3378.2890928051015</v>
          </cell>
          <cell r="AB17">
            <v>3300.8325011381007</v>
          </cell>
          <cell r="AC17">
            <v>6679.1215939432022</v>
          </cell>
        </row>
        <row r="18">
          <cell r="C18" t="str">
            <v>10 a 20 Salários Mín.</v>
          </cell>
          <cell r="D18">
            <v>3069370</v>
          </cell>
          <cell r="E18">
            <v>144909.88410636998</v>
          </cell>
          <cell r="F18">
            <v>6295.57977974</v>
          </cell>
          <cell r="G18">
            <v>19284.781871790001</v>
          </cell>
          <cell r="H18">
            <v>7658.0395392999999</v>
          </cell>
          <cell r="I18">
            <v>5604.1710437900001</v>
          </cell>
          <cell r="J18">
            <v>4631.0203021099996</v>
          </cell>
          <cell r="K18">
            <v>10864.639688089999</v>
          </cell>
          <cell r="L18">
            <v>1505.86430144</v>
          </cell>
          <cell r="M18">
            <v>1821.07197569</v>
          </cell>
          <cell r="N18">
            <v>11166.058303149999</v>
          </cell>
          <cell r="O18">
            <v>101912.14256188</v>
          </cell>
          <cell r="P18">
            <v>11259.961491819999</v>
          </cell>
          <cell r="Q18">
            <v>13049.533524189999</v>
          </cell>
          <cell r="R18">
            <v>1582.5990895300001</v>
          </cell>
          <cell r="S18">
            <v>3441.55270965</v>
          </cell>
          <cell r="T18">
            <v>388581.47285357001</v>
          </cell>
          <cell r="U18">
            <v>43657.76410344</v>
          </cell>
          <cell r="V18">
            <v>6</v>
          </cell>
          <cell r="W18">
            <v>3390.8495582242535</v>
          </cell>
          <cell r="X18">
            <v>3390.8495582242535</v>
          </cell>
          <cell r="Y18">
            <v>2904.7302215157465</v>
          </cell>
          <cell r="Z18">
            <v>3668.492717339388</v>
          </cell>
          <cell r="AA18">
            <v>3765.4941735798466</v>
          </cell>
          <cell r="AB18">
            <v>3417.3296723714666</v>
          </cell>
          <cell r="AC18">
            <v>7182.8238459513132</v>
          </cell>
        </row>
        <row r="19">
          <cell r="C19" t="str">
            <v>20 a 40 Salários Mín.</v>
          </cell>
          <cell r="D19">
            <v>1387523</v>
          </cell>
          <cell r="E19">
            <v>118003.34378194</v>
          </cell>
          <cell r="F19">
            <v>7871.25417105</v>
          </cell>
          <cell r="G19">
            <v>28304.71916982</v>
          </cell>
          <cell r="H19">
            <v>7533.31401783</v>
          </cell>
          <cell r="I19">
            <v>2489.2111433200002</v>
          </cell>
          <cell r="J19">
            <v>2330.1912798600001</v>
          </cell>
          <cell r="K19">
            <v>7639.66823647</v>
          </cell>
          <cell r="L19">
            <v>1913.64592494</v>
          </cell>
          <cell r="M19">
            <v>1912.8994276800001</v>
          </cell>
          <cell r="N19">
            <v>3944.3111904999969</v>
          </cell>
          <cell r="O19">
            <v>90642.264911220002</v>
          </cell>
          <cell r="P19">
            <v>17093.187427819998</v>
          </cell>
          <cell r="Q19">
            <v>17320.19603232</v>
          </cell>
          <cell r="R19">
            <v>1711.6113417000001</v>
          </cell>
          <cell r="S19">
            <v>2010.1074393599999</v>
          </cell>
          <cell r="T19">
            <v>393465.49086759007</v>
          </cell>
          <cell r="U19">
            <v>28143.358010169999</v>
          </cell>
          <cell r="V19">
            <v>7</v>
          </cell>
          <cell r="W19">
            <v>4239.5203718120429</v>
          </cell>
          <cell r="X19">
            <v>6434.8708047186665</v>
          </cell>
          <cell r="Y19">
            <v>1436.3833663313335</v>
          </cell>
          <cell r="Z19">
            <v>12319.210152062342</v>
          </cell>
          <cell r="AA19">
            <v>7648.349448997863</v>
          </cell>
          <cell r="AB19">
            <v>1689.8627839192159</v>
          </cell>
          <cell r="AC19">
            <v>9338.2122329170779</v>
          </cell>
        </row>
        <row r="20">
          <cell r="C20" t="str">
            <v>40 a 80 Salários Mín.</v>
          </cell>
          <cell r="D20">
            <v>525827</v>
          </cell>
          <cell r="E20">
            <v>75093.393825730003</v>
          </cell>
          <cell r="F20">
            <v>8234.6507225900004</v>
          </cell>
          <cell r="G20">
            <v>32195.03498276</v>
          </cell>
          <cell r="H20">
            <v>5363.1258794699997</v>
          </cell>
          <cell r="I20">
            <v>881.53582532000007</v>
          </cell>
          <cell r="J20">
            <v>816.79521105999993</v>
          </cell>
          <cell r="K20">
            <v>3744.76848389</v>
          </cell>
          <cell r="L20">
            <v>1542.05737531</v>
          </cell>
          <cell r="M20">
            <v>1204.84916228</v>
          </cell>
          <cell r="N20">
            <v>974.47802998999941</v>
          </cell>
          <cell r="O20">
            <v>60888.555638470003</v>
          </cell>
          <cell r="P20">
            <v>13802.953968380001</v>
          </cell>
          <cell r="Q20">
            <v>13463.41579508</v>
          </cell>
          <cell r="R20">
            <v>1178.5892232599999</v>
          </cell>
          <cell r="S20">
            <v>910.84382902999994</v>
          </cell>
          <cell r="T20">
            <v>328644.02914333</v>
          </cell>
          <cell r="U20">
            <v>18473.25803619</v>
          </cell>
          <cell r="V20">
            <v>8</v>
          </cell>
          <cell r="W20">
            <v>2697.8894216844296</v>
          </cell>
          <cell r="X20">
            <v>4893.2398545910528</v>
          </cell>
          <cell r="Y20">
            <v>3341.4108679989477</v>
          </cell>
          <cell r="Z20">
            <v>26249.990906476847</v>
          </cell>
          <cell r="AA20">
            <v>6002.4986268009416</v>
          </cell>
          <cell r="AB20">
            <v>3931.0716094105269</v>
          </cell>
          <cell r="AC20">
            <v>9933.570236211468</v>
          </cell>
        </row>
        <row r="21">
          <cell r="C21" t="str">
            <v>80 a 160 Salários Mín.</v>
          </cell>
          <cell r="D21">
            <v>138203</v>
          </cell>
          <cell r="E21">
            <v>26609.172153070002</v>
          </cell>
          <cell r="F21">
            <v>5776.8433222900003</v>
          </cell>
          <cell r="G21">
            <v>25928.923808659998</v>
          </cell>
          <cell r="H21">
            <v>1513.9189165100001</v>
          </cell>
          <cell r="I21">
            <v>201.20141580000001</v>
          </cell>
          <cell r="J21">
            <v>177.56920558000002</v>
          </cell>
          <cell r="K21">
            <v>1072.70409767</v>
          </cell>
          <cell r="L21">
            <v>673.18307791999996</v>
          </cell>
          <cell r="M21">
            <v>367.46836558000001</v>
          </cell>
          <cell r="N21">
            <v>293.27680022999994</v>
          </cell>
          <cell r="O21">
            <v>22429.592523660001</v>
          </cell>
          <cell r="P21">
            <v>5426.4531899200001</v>
          </cell>
          <cell r="Q21">
            <v>5091.6595888799993</v>
          </cell>
          <cell r="R21">
            <v>549.07476694000002</v>
          </cell>
          <cell r="S21">
            <v>273.96030956999999</v>
          </cell>
          <cell r="T21">
            <v>207546.48422340999</v>
          </cell>
          <cell r="U21">
            <v>9873.4046266500009</v>
          </cell>
          <cell r="V21">
            <v>9</v>
          </cell>
          <cell r="W21">
            <v>955.99093893862346</v>
          </cell>
          <cell r="X21">
            <v>3151.3413718452466</v>
          </cell>
          <cell r="Y21">
            <v>2625.5019504447537</v>
          </cell>
          <cell r="Z21">
            <v>39264.366113036624</v>
          </cell>
          <cell r="AA21">
            <v>3913.7540827198568</v>
          </cell>
          <cell r="AB21">
            <v>3088.8258240526516</v>
          </cell>
          <cell r="AC21">
            <v>7002.5799067725084</v>
          </cell>
        </row>
        <row r="22">
          <cell r="C22" t="str">
            <v>&gt; 160 Salários Mín.</v>
          </cell>
          <cell r="D22">
            <v>66596</v>
          </cell>
          <cell r="E22">
            <v>23642.850935550003</v>
          </cell>
          <cell r="F22">
            <v>41617.54116542</v>
          </cell>
          <cell r="G22">
            <v>90734.34007635001</v>
          </cell>
          <cell r="H22">
            <v>670.81974065999998</v>
          </cell>
          <cell r="I22">
            <v>86.93115576000001</v>
          </cell>
          <cell r="J22">
            <v>71.583864879999993</v>
          </cell>
          <cell r="K22">
            <v>597.71484114999998</v>
          </cell>
          <cell r="L22">
            <v>2350.6107978699997</v>
          </cell>
          <cell r="M22">
            <v>237.85550975000001</v>
          </cell>
          <cell r="N22">
            <v>154.0499541800009</v>
          </cell>
          <cell r="O22">
            <v>19584.45291294</v>
          </cell>
          <cell r="P22">
            <v>5037.8372810000001</v>
          </cell>
          <cell r="Q22">
            <v>4358.0902895600002</v>
          </cell>
          <cell r="R22">
            <v>793.41036297999995</v>
          </cell>
          <cell r="S22">
            <v>159.51064660999998</v>
          </cell>
          <cell r="T22">
            <v>591844.61524613004</v>
          </cell>
          <cell r="U22">
            <v>28733.234788949998</v>
          </cell>
          <cell r="V22">
            <v>10</v>
          </cell>
          <cell r="W22">
            <v>849.41955860339078</v>
          </cell>
          <cell r="X22">
            <v>3044.7699915100138</v>
          </cell>
          <cell r="Y22">
            <v>38572.771173909983</v>
          </cell>
          <cell r="Z22">
            <v>75647.745825575112</v>
          </cell>
          <cell r="AA22">
            <v>3827.9961476598369</v>
          </cell>
          <cell r="AB22">
            <v>45379.730792835275</v>
          </cell>
          <cell r="AC22">
            <v>49207.726940495115</v>
          </cell>
        </row>
        <row r="23">
          <cell r="C23" t="str">
            <v xml:space="preserve">    Total</v>
          </cell>
          <cell r="D23">
            <v>25224768</v>
          </cell>
          <cell r="E23">
            <v>696851.95743969001</v>
          </cell>
          <cell r="F23">
            <v>77446.72632809999</v>
          </cell>
          <cell r="G23">
            <v>210989.58637173002</v>
          </cell>
          <cell r="H23">
            <v>33692.487775900001</v>
          </cell>
          <cell r="I23">
            <v>23335.69187595</v>
          </cell>
          <cell r="J23">
            <v>13518.91729313</v>
          </cell>
          <cell r="K23">
            <v>33547.923875280001</v>
          </cell>
          <cell r="L23">
            <v>8749.0386640499983</v>
          </cell>
          <cell r="M23">
            <v>7322.8876722000005</v>
          </cell>
          <cell r="N23">
            <v>53167.023282310001</v>
          </cell>
          <cell r="O23">
            <v>525574.73411566997</v>
          </cell>
          <cell r="P23">
            <v>56311.607450900003</v>
          </cell>
          <cell r="Q23">
            <v>59990.535296370006</v>
          </cell>
          <cell r="R23">
            <v>6578.4252832500006</v>
          </cell>
          <cell r="S23">
            <v>10657.13182649</v>
          </cell>
          <cell r="T23">
            <v>2661498.9089776101</v>
          </cell>
          <cell r="U23">
            <v>188426.56940986001</v>
          </cell>
          <cell r="V23"/>
          <cell r="W23">
            <v>25035.884365802289</v>
          </cell>
          <cell r="X23">
            <v>25035.884365802289</v>
          </cell>
          <cell r="Y23">
            <v>52410.841962297702</v>
          </cell>
          <cell r="Z23"/>
          <cell r="AA23">
            <v>29382.749071942948</v>
          </cell>
          <cell r="AB23">
            <v>61659.814073291418</v>
          </cell>
          <cell r="AC23">
            <v>91042.563145234366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D9" t="str">
            <v>Tabela 9 - Resumo das Declarações Por Faixa de Rendimentos Totais</v>
          </cell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 t="str">
            <v>Valores R$ milhões</v>
          </cell>
        </row>
        <row r="10">
          <cell r="D10" t="str">
            <v>Faixa de Rendimento Total</v>
          </cell>
          <cell r="E10" t="str">
            <v>Qtde Declarantes</v>
          </cell>
          <cell r="F10" t="str">
            <v>Rendim. Tribut.</v>
          </cell>
          <cell r="G10" t="str">
            <v>Rendim. Tribut. Exclus.</v>
          </cell>
          <cell r="H10" t="str">
            <v>Rendim. Isentos</v>
          </cell>
          <cell r="I10" t="str">
            <v>DEDUÇÕES</v>
          </cell>
          <cell r="J10"/>
          <cell r="K10"/>
          <cell r="L10"/>
          <cell r="M10"/>
          <cell r="N10"/>
          <cell r="O10"/>
          <cell r="P10" t="str">
            <v>Base de Cálculo (RTL)</v>
          </cell>
          <cell r="Q10" t="str">
            <v>Imposto Devido</v>
          </cell>
          <cell r="R10" t="str">
            <v>Imposto Pago</v>
          </cell>
          <cell r="S10" t="str">
            <v>Imposto a Pagar</v>
          </cell>
          <cell r="T10" t="str">
            <v>Imposto a Restituir</v>
          </cell>
          <cell r="U10" t="str">
            <v>Bens e Direitos</v>
          </cell>
          <cell r="V10" t="str">
            <v>Dívidas e Ônus</v>
          </cell>
        </row>
        <row r="11">
          <cell r="D11"/>
          <cell r="E11"/>
          <cell r="F11"/>
          <cell r="G11"/>
          <cell r="H11"/>
          <cell r="I11" t="str">
            <v>Contrib. Previden.</v>
          </cell>
          <cell r="J11" t="str">
            <v>Dependentes</v>
          </cell>
          <cell r="K11" t="str">
            <v>Instrução</v>
          </cell>
          <cell r="L11" t="str">
            <v>Médicas</v>
          </cell>
          <cell r="M11" t="str">
            <v>Livro Caixa</v>
          </cell>
          <cell r="N11" t="str">
            <v>Pensão Aliment.</v>
          </cell>
          <cell r="O11" t="str">
            <v>Desc. Padrão</v>
          </cell>
          <cell r="P11"/>
          <cell r="Q11"/>
          <cell r="R11"/>
          <cell r="S11"/>
          <cell r="T11"/>
          <cell r="U11"/>
          <cell r="V11"/>
        </row>
        <row r="12">
          <cell r="D12" t="str">
            <v>Até 1/2 Salário Mín.</v>
          </cell>
          <cell r="E12">
            <v>2483264</v>
          </cell>
          <cell r="F12">
            <v>204.74731050999998</v>
          </cell>
          <cell r="G12">
            <v>18.097361759999998</v>
          </cell>
          <cell r="H12">
            <v>65.830653229999996</v>
          </cell>
          <cell r="I12">
            <v>15.7951944</v>
          </cell>
          <cell r="J12">
            <v>126.37113462000001</v>
          </cell>
          <cell r="K12">
            <v>6.3909585099999999</v>
          </cell>
          <cell r="L12">
            <v>19.34603345</v>
          </cell>
          <cell r="M12">
            <v>3.8900519999999994E-2</v>
          </cell>
          <cell r="N12">
            <v>6.2699753999999999</v>
          </cell>
          <cell r="O12">
            <v>23.887846760000002</v>
          </cell>
          <cell r="P12">
            <v>173.891479</v>
          </cell>
          <cell r="Q12">
            <v>0.80723869999999998</v>
          </cell>
          <cell r="R12">
            <v>10.690380170000001</v>
          </cell>
          <cell r="S12">
            <v>7.9202549999999997E-2</v>
          </cell>
          <cell r="T12">
            <v>10.534058609999999</v>
          </cell>
          <cell r="U12">
            <v>58988.054427950003</v>
          </cell>
          <cell r="V12">
            <v>3782.0766101199997</v>
          </cell>
        </row>
        <row r="13">
          <cell r="D13" t="str">
            <v>1/2 a 1 Salário Mín.</v>
          </cell>
          <cell r="E13">
            <v>700637</v>
          </cell>
          <cell r="F13">
            <v>2927.87180266</v>
          </cell>
          <cell r="G13">
            <v>38.46859628</v>
          </cell>
          <cell r="H13">
            <v>185.71571065000001</v>
          </cell>
          <cell r="I13">
            <v>50.790070729999997</v>
          </cell>
          <cell r="J13">
            <v>46.022949509999997</v>
          </cell>
          <cell r="K13">
            <v>3.6880587599999997</v>
          </cell>
          <cell r="L13">
            <v>8.1712124900000003</v>
          </cell>
          <cell r="M13">
            <v>0.27173428000000005</v>
          </cell>
          <cell r="N13">
            <v>1.6940354399999999</v>
          </cell>
          <cell r="O13">
            <v>430.74561226000009</v>
          </cell>
          <cell r="P13">
            <v>2411.4659940399997</v>
          </cell>
          <cell r="Q13">
            <v>0.37451321000000004</v>
          </cell>
          <cell r="R13">
            <v>8.9821490900000001</v>
          </cell>
          <cell r="S13">
            <v>2.5610589999999999E-2</v>
          </cell>
          <cell r="T13">
            <v>8.9603195299999996</v>
          </cell>
          <cell r="U13">
            <v>17305.264698999999</v>
          </cell>
          <cell r="V13">
            <v>997.73326167999994</v>
          </cell>
        </row>
        <row r="14">
          <cell r="D14" t="str">
            <v>1 a 2 Salários Mín.</v>
          </cell>
          <cell r="E14">
            <v>1361844</v>
          </cell>
          <cell r="F14">
            <v>8623.9037963999999</v>
          </cell>
          <cell r="G14">
            <v>275.67833010000004</v>
          </cell>
          <cell r="H14">
            <v>1222.51701407</v>
          </cell>
          <cell r="I14">
            <v>124.72780521</v>
          </cell>
          <cell r="J14">
            <v>148.50498875</v>
          </cell>
          <cell r="K14">
            <v>14.494379439999999</v>
          </cell>
          <cell r="L14">
            <v>29.144491500000001</v>
          </cell>
          <cell r="M14">
            <v>1.45333406</v>
          </cell>
          <cell r="N14">
            <v>5.0173332999999998</v>
          </cell>
          <cell r="O14">
            <v>1164.0925864200001</v>
          </cell>
          <cell r="P14">
            <v>7178.1343711999998</v>
          </cell>
          <cell r="Q14">
            <v>1.79356228</v>
          </cell>
          <cell r="R14">
            <v>41.892500460000001</v>
          </cell>
          <cell r="S14">
            <v>1.4360470000000002E-2</v>
          </cell>
          <cell r="T14">
            <v>41.992101320000003</v>
          </cell>
          <cell r="U14">
            <v>34480.859486540001</v>
          </cell>
          <cell r="V14">
            <v>2105.5533218800001</v>
          </cell>
        </row>
        <row r="15">
          <cell r="D15" t="str">
            <v>2 a 3 Salários Mín.</v>
          </cell>
          <cell r="E15">
            <v>1913832</v>
          </cell>
          <cell r="F15">
            <v>21460.082090010001</v>
          </cell>
          <cell r="G15">
            <v>604.2082224400001</v>
          </cell>
          <cell r="H15">
            <v>2192.65703515</v>
          </cell>
          <cell r="I15">
            <v>305.34578868000006</v>
          </cell>
          <cell r="J15">
            <v>297.94865033999997</v>
          </cell>
          <cell r="K15">
            <v>35.028239340000006</v>
          </cell>
          <cell r="L15">
            <v>67.877551339999997</v>
          </cell>
          <cell r="M15">
            <v>7.4232178099999997</v>
          </cell>
          <cell r="N15">
            <v>12.893944420000002</v>
          </cell>
          <cell r="O15">
            <v>2839.0500837499999</v>
          </cell>
          <cell r="P15">
            <v>17956.762359290002</v>
          </cell>
          <cell r="Q15">
            <v>4.9267547699999996</v>
          </cell>
          <cell r="R15">
            <v>95.389434859999994</v>
          </cell>
          <cell r="S15">
            <v>7.8389489999999992E-2</v>
          </cell>
          <cell r="T15">
            <v>95.887192040000002</v>
          </cell>
          <cell r="U15">
            <v>60762.426605770001</v>
          </cell>
          <cell r="V15">
            <v>3716.8198313299999</v>
          </cell>
        </row>
        <row r="16">
          <cell r="D16" t="str">
            <v>3 a 5 Salários Mín.</v>
          </cell>
          <cell r="E16">
            <v>7371132</v>
          </cell>
          <cell r="F16">
            <v>129178.30449777</v>
          </cell>
          <cell r="G16">
            <v>5378.70835369</v>
          </cell>
          <cell r="H16">
            <v>10541.483548209999</v>
          </cell>
          <cell r="I16">
            <v>3008.62448004</v>
          </cell>
          <cell r="J16">
            <v>3714.77415535</v>
          </cell>
          <cell r="K16">
            <v>664.47973364999996</v>
          </cell>
          <cell r="L16">
            <v>1199.90838321</v>
          </cell>
          <cell r="M16">
            <v>99.237325959999993</v>
          </cell>
          <cell r="N16">
            <v>307.47580965000003</v>
          </cell>
          <cell r="O16">
            <v>18371.750453879999</v>
          </cell>
          <cell r="P16">
            <v>102209.94055008001</v>
          </cell>
          <cell r="Q16">
            <v>154.45462006999998</v>
          </cell>
          <cell r="R16">
            <v>953.64179025999988</v>
          </cell>
          <cell r="S16">
            <v>52.134190620000005</v>
          </cell>
          <cell r="T16">
            <v>879.54071094000005</v>
          </cell>
          <cell r="U16">
            <v>273884.44525137002</v>
          </cell>
          <cell r="V16">
            <v>21169.146972719998</v>
          </cell>
        </row>
        <row r="17">
          <cell r="D17" t="str">
            <v>5 a 10 Salários Mín.</v>
          </cell>
          <cell r="E17">
            <v>6501415</v>
          </cell>
          <cell r="F17">
            <v>182612.58238420001</v>
          </cell>
          <cell r="G17">
            <v>12024.9081099</v>
          </cell>
          <cell r="H17">
            <v>30106.439814640002</v>
          </cell>
          <cell r="I17">
            <v>9850.2682750700005</v>
          </cell>
          <cell r="J17">
            <v>11077.544479540002</v>
          </cell>
          <cell r="K17">
            <v>5480.2636777200005</v>
          </cell>
          <cell r="L17">
            <v>10258.11378161</v>
          </cell>
          <cell r="M17">
            <v>859.74195055999996</v>
          </cell>
          <cell r="N17">
            <v>1718.2032935099999</v>
          </cell>
          <cell r="O17">
            <v>15320.014231840003</v>
          </cell>
          <cell r="P17">
            <v>128486.93219426001</v>
          </cell>
          <cell r="Q17">
            <v>4623.3515205399999</v>
          </cell>
          <cell r="R17">
            <v>6978.7699250300002</v>
          </cell>
          <cell r="S17">
            <v>898.61173499000006</v>
          </cell>
          <cell r="T17">
            <v>3327.9807905100006</v>
          </cell>
          <cell r="U17">
            <v>392524.43781576003</v>
          </cell>
          <cell r="V17">
            <v>36142.312595059993</v>
          </cell>
        </row>
        <row r="18">
          <cell r="D18" t="str">
            <v>10 a 20 Salários Mín.</v>
          </cell>
          <cell r="E18">
            <v>3207904</v>
          </cell>
          <cell r="F18">
            <v>164024.23022336001</v>
          </cell>
          <cell r="G18">
            <v>12601.346071689999</v>
          </cell>
          <cell r="H18">
            <v>43914.237065300003</v>
          </cell>
          <cell r="I18">
            <v>8651.7051088500011</v>
          </cell>
          <cell r="J18">
            <v>5714.7451051099997</v>
          </cell>
          <cell r="K18">
            <v>4826.6453393700003</v>
          </cell>
          <cell r="L18">
            <v>12002.39150722</v>
          </cell>
          <cell r="M18">
            <v>1707.0964028599999</v>
          </cell>
          <cell r="N18">
            <v>1996.57329218</v>
          </cell>
          <cell r="O18">
            <v>12675.847320379995</v>
          </cell>
          <cell r="P18">
            <v>116769.91501145001</v>
          </cell>
          <cell r="Q18">
            <v>13630.388703500001</v>
          </cell>
          <cell r="R18">
            <v>15514.877737100001</v>
          </cell>
          <cell r="S18">
            <v>1840.8485686900003</v>
          </cell>
          <cell r="T18">
            <v>3853.2938875699997</v>
          </cell>
          <cell r="U18">
            <v>435564.96854021004</v>
          </cell>
          <cell r="V18">
            <v>40317.286363649997</v>
          </cell>
        </row>
        <row r="19">
          <cell r="D19" t="str">
            <v>20 a 40 Salários Mín.</v>
          </cell>
          <cell r="E19">
            <v>1458385</v>
          </cell>
          <cell r="F19">
            <v>133919.63339773001</v>
          </cell>
          <cell r="G19">
            <v>13066.142134310001</v>
          </cell>
          <cell r="H19">
            <v>52706.27944785</v>
          </cell>
          <cell r="I19">
            <v>8654.7674705299996</v>
          </cell>
          <cell r="J19">
            <v>2557.2710549099997</v>
          </cell>
          <cell r="K19">
            <v>2381.09203815</v>
          </cell>
          <cell r="L19">
            <v>8149.9943365400004</v>
          </cell>
          <cell r="M19">
            <v>2072.27721668</v>
          </cell>
          <cell r="N19">
            <v>2084.5315329300001</v>
          </cell>
          <cell r="O19">
            <v>4367.4367582700033</v>
          </cell>
          <cell r="P19">
            <v>104120.11325524999</v>
          </cell>
          <cell r="Q19">
            <v>20052.428054020002</v>
          </cell>
          <cell r="R19">
            <v>20134.11386342</v>
          </cell>
          <cell r="S19">
            <v>1952.5871296999999</v>
          </cell>
          <cell r="T19">
            <v>2183.6319668400001</v>
          </cell>
          <cell r="U19">
            <v>443408.07325963996</v>
          </cell>
          <cell r="V19">
            <v>35871.64041616</v>
          </cell>
        </row>
        <row r="20">
          <cell r="D20" t="str">
            <v>40 a 80 Salários Mín.</v>
          </cell>
          <cell r="E20">
            <v>555554</v>
          </cell>
          <cell r="F20">
            <v>85075.798735250006</v>
          </cell>
          <cell r="G20">
            <v>11657.505147399999</v>
          </cell>
          <cell r="H20">
            <v>52143.51406247</v>
          </cell>
          <cell r="I20">
            <v>6017.5804949499998</v>
          </cell>
          <cell r="J20">
            <v>914.63856439999995</v>
          </cell>
          <cell r="K20">
            <v>833.48255823</v>
          </cell>
          <cell r="L20">
            <v>4015.6079785300003</v>
          </cell>
          <cell r="M20">
            <v>1738.5193474</v>
          </cell>
          <cell r="N20">
            <v>1305.0138961299999</v>
          </cell>
          <cell r="O20">
            <v>1120.4615637499992</v>
          </cell>
          <cell r="P20">
            <v>69520.895627820006</v>
          </cell>
          <cell r="Q20">
            <v>15882.03800348</v>
          </cell>
          <cell r="R20">
            <v>15343.98522069</v>
          </cell>
          <cell r="S20">
            <v>1378.84591391</v>
          </cell>
          <cell r="T20">
            <v>978.28120872</v>
          </cell>
          <cell r="U20">
            <v>376576.49890963</v>
          </cell>
          <cell r="V20">
            <v>22117.719032190002</v>
          </cell>
        </row>
        <row r="21">
          <cell r="D21" t="str">
            <v>80 a 160 Salários Mín.</v>
          </cell>
          <cell r="E21">
            <v>146930</v>
          </cell>
          <cell r="F21">
            <v>30383.578390839997</v>
          </cell>
          <cell r="G21">
            <v>8001.2934183800007</v>
          </cell>
          <cell r="H21">
            <v>39687.987063370005</v>
          </cell>
          <cell r="I21">
            <v>1683.6252280799999</v>
          </cell>
          <cell r="J21">
            <v>209.45226119999998</v>
          </cell>
          <cell r="K21">
            <v>181.73427763000001</v>
          </cell>
          <cell r="L21">
            <v>1137.8026832799999</v>
          </cell>
          <cell r="M21">
            <v>754.35678392999989</v>
          </cell>
          <cell r="N21">
            <v>407.76850580000001</v>
          </cell>
          <cell r="O21">
            <v>346.22759964999932</v>
          </cell>
          <cell r="P21">
            <v>25793.45054007</v>
          </cell>
          <cell r="Q21">
            <v>6273.9689584000007</v>
          </cell>
          <cell r="R21">
            <v>5842.2058851599995</v>
          </cell>
          <cell r="S21">
            <v>629.61538024000004</v>
          </cell>
          <cell r="T21">
            <v>314.17605495999999</v>
          </cell>
          <cell r="U21">
            <v>235826.49426745999</v>
          </cell>
          <cell r="V21">
            <v>11633.55872379</v>
          </cell>
        </row>
        <row r="22">
          <cell r="D22" t="str">
            <v>&gt; 160 Salários Mín.</v>
          </cell>
          <cell r="E22">
            <v>71458</v>
          </cell>
          <cell r="F22">
            <v>28248.30591123</v>
          </cell>
          <cell r="G22">
            <v>50198.619699739997</v>
          </cell>
          <cell r="H22">
            <v>130391.58362135</v>
          </cell>
          <cell r="I22">
            <v>771.76175024999998</v>
          </cell>
          <cell r="J22">
            <v>92.825321040000006</v>
          </cell>
          <cell r="K22">
            <v>75.365132319999987</v>
          </cell>
          <cell r="L22">
            <v>622.83113925999999</v>
          </cell>
          <cell r="M22">
            <v>2624.5731230300003</v>
          </cell>
          <cell r="N22">
            <v>261.46612325999996</v>
          </cell>
          <cell r="O22">
            <v>188.86040972999945</v>
          </cell>
          <cell r="P22">
            <v>23722.134941460001</v>
          </cell>
          <cell r="Q22">
            <v>6131.43849262</v>
          </cell>
          <cell r="R22">
            <v>5342.5324617099996</v>
          </cell>
          <cell r="S22">
            <v>873.95231450000006</v>
          </cell>
          <cell r="T22">
            <v>188.59652148999999</v>
          </cell>
          <cell r="U22">
            <v>696508.74345179996</v>
          </cell>
          <cell r="V22">
            <v>33930.430706010004</v>
          </cell>
        </row>
        <row r="23">
          <cell r="D23" t="str">
            <v xml:space="preserve">    Total</v>
          </cell>
          <cell r="E23">
            <v>25772355</v>
          </cell>
          <cell r="F23">
            <v>786659.03853996005</v>
          </cell>
          <cell r="G23">
            <v>113864.97544569</v>
          </cell>
          <cell r="H23">
            <v>363158.24503629003</v>
          </cell>
          <cell r="I23">
            <v>39134.991666790003</v>
          </cell>
          <cell r="J23">
            <v>24900.098664770001</v>
          </cell>
          <cell r="K23">
            <v>14502.66439312</v>
          </cell>
          <cell r="L23">
            <v>37511.189098430004</v>
          </cell>
          <cell r="M23">
            <v>9864.9893370900008</v>
          </cell>
          <cell r="N23">
            <v>8106.9077420199992</v>
          </cell>
          <cell r="O23">
            <v>56848.374466689987</v>
          </cell>
          <cell r="P23">
            <v>598343.63632391999</v>
          </cell>
          <cell r="Q23">
            <v>66755.970421589998</v>
          </cell>
          <cell r="R23">
            <v>70267.081347949992</v>
          </cell>
          <cell r="S23">
            <v>7626.7927957500015</v>
          </cell>
          <cell r="T23">
            <v>11882.874812530003</v>
          </cell>
          <cell r="U23">
            <v>3025830.2667151298</v>
          </cell>
          <cell r="V23">
            <v>211784.27783458997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 Salário Mín.</v>
          </cell>
          <cell r="D12">
            <v>1801664</v>
          </cell>
          <cell r="E12">
            <v>163.94733792</v>
          </cell>
          <cell r="F12">
            <v>24.309308039999998</v>
          </cell>
          <cell r="G12">
            <v>96.112481410000001</v>
          </cell>
          <cell r="H12">
            <v>15.24228325</v>
          </cell>
          <cell r="I12">
            <v>142.81684071999999</v>
          </cell>
          <cell r="J12">
            <v>7.40032639</v>
          </cell>
          <cell r="K12">
            <v>24.491279429999999</v>
          </cell>
          <cell r="L12">
            <v>3.20135E-2</v>
          </cell>
          <cell r="M12">
            <v>7.9239249900000006</v>
          </cell>
          <cell r="N12">
            <v>17.455332060000046</v>
          </cell>
          <cell r="O12">
            <v>136.80473678999999</v>
          </cell>
          <cell r="P12">
            <v>0.30056587000000001</v>
          </cell>
          <cell r="Q12">
            <v>32.584042919999995</v>
          </cell>
          <cell r="R12">
            <v>4.7362700000000001E-2</v>
          </cell>
          <cell r="S12">
            <v>32.797566979999999</v>
          </cell>
          <cell r="T12">
            <v>57406.401180590001</v>
          </cell>
          <cell r="U12">
            <v>4292.5070459300005</v>
          </cell>
        </row>
        <row r="13">
          <cell r="C13" t="str">
            <v>1/2 a 1 Salário Mín.</v>
          </cell>
          <cell r="D13">
            <v>538508</v>
          </cell>
          <cell r="E13">
            <v>2511.7437598200004</v>
          </cell>
          <cell r="F13">
            <v>38.256025479999991</v>
          </cell>
          <cell r="G13">
            <v>172.88138486</v>
          </cell>
          <cell r="H13">
            <v>98.051117650000009</v>
          </cell>
          <cell r="I13">
            <v>49.105291399999999</v>
          </cell>
          <cell r="J13">
            <v>4.5610618299999999</v>
          </cell>
          <cell r="K13">
            <v>19.393530179999999</v>
          </cell>
          <cell r="L13">
            <v>0.21451235999999999</v>
          </cell>
          <cell r="M13">
            <v>2.2810283100000004</v>
          </cell>
          <cell r="N13">
            <v>343.26575172000003</v>
          </cell>
          <cell r="O13">
            <v>2071.0987309800003</v>
          </cell>
          <cell r="P13">
            <v>7.624083999999999E-2</v>
          </cell>
          <cell r="Q13">
            <v>10.495540119999999</v>
          </cell>
          <cell r="R13">
            <v>8.4918599999999986E-3</v>
          </cell>
          <cell r="S13">
            <v>10.487710490000001</v>
          </cell>
          <cell r="T13">
            <v>15805.739722580001</v>
          </cell>
          <cell r="U13">
            <v>1482.0685074099999</v>
          </cell>
        </row>
        <row r="14">
          <cell r="C14" t="str">
            <v>1 a 2 Salários Mín.</v>
          </cell>
          <cell r="D14">
            <v>1069574</v>
          </cell>
          <cell r="E14">
            <v>7610.4283064999991</v>
          </cell>
          <cell r="F14">
            <v>265.90527578000001</v>
          </cell>
          <cell r="G14">
            <v>1101.9043520099999</v>
          </cell>
          <cell r="H14">
            <v>212.24722123000001</v>
          </cell>
          <cell r="I14">
            <v>158.76364131</v>
          </cell>
          <cell r="J14">
            <v>18.1579181</v>
          </cell>
          <cell r="K14">
            <v>39.307795110000001</v>
          </cell>
          <cell r="L14">
            <v>1.66529072</v>
          </cell>
          <cell r="M14">
            <v>6.6480451700000005</v>
          </cell>
          <cell r="N14">
            <v>962.01285518999987</v>
          </cell>
          <cell r="O14">
            <v>6336.2771235700002</v>
          </cell>
          <cell r="P14">
            <v>0.23426264999999999</v>
          </cell>
          <cell r="Q14">
            <v>38.520035539999995</v>
          </cell>
          <cell r="R14">
            <v>1.3050610000000001E-2</v>
          </cell>
          <cell r="S14">
            <v>38.664680820000001</v>
          </cell>
          <cell r="T14">
            <v>34943.405898810001</v>
          </cell>
          <cell r="U14">
            <v>2283.7591171100003</v>
          </cell>
        </row>
        <row r="15">
          <cell r="C15" t="str">
            <v>2 a 3 Salários Mín.</v>
          </cell>
          <cell r="D15">
            <v>1809431</v>
          </cell>
          <cell r="E15">
            <v>22966.987010980003</v>
          </cell>
          <cell r="F15">
            <v>639.00436308999997</v>
          </cell>
          <cell r="G15">
            <v>2217.1452284699999</v>
          </cell>
          <cell r="H15">
            <v>371.79716855000004</v>
          </cell>
          <cell r="I15">
            <v>341.44861624000004</v>
          </cell>
          <cell r="J15">
            <v>43.067676570000003</v>
          </cell>
          <cell r="K15">
            <v>91.372350900000001</v>
          </cell>
          <cell r="L15">
            <v>8.8147386500000007</v>
          </cell>
          <cell r="M15">
            <v>30.453190670000001</v>
          </cell>
          <cell r="N15">
            <v>2903.57955773</v>
          </cell>
          <cell r="O15">
            <v>19281.222829679999</v>
          </cell>
          <cell r="P15">
            <v>0.98928494999999994</v>
          </cell>
          <cell r="Q15">
            <v>87.997930709999991</v>
          </cell>
          <cell r="R15">
            <v>2.6563919999999998E-2</v>
          </cell>
          <cell r="S15">
            <v>88.457094179999999</v>
          </cell>
          <cell r="T15">
            <v>67073.922967880004</v>
          </cell>
          <cell r="U15">
            <v>5990.5024480700004</v>
          </cell>
        </row>
        <row r="16">
          <cell r="C16" t="str">
            <v>3 a 5 Salários Mín.</v>
          </cell>
          <cell r="D16">
            <v>7406009</v>
          </cell>
          <cell r="E16">
            <v>142890.24840982998</v>
          </cell>
          <cell r="F16">
            <v>6547.3202614900001</v>
          </cell>
          <cell r="G16">
            <v>11763.4663986</v>
          </cell>
          <cell r="H16">
            <v>3847.7471466500001</v>
          </cell>
          <cell r="I16">
            <v>4686.6491305500003</v>
          </cell>
          <cell r="J16">
            <v>955.28019927999992</v>
          </cell>
          <cell r="K16">
            <v>1728.4976747599999</v>
          </cell>
          <cell r="L16">
            <v>133.55033865000001</v>
          </cell>
          <cell r="M16">
            <v>435.64617390999996</v>
          </cell>
          <cell r="N16">
            <v>19852.030870160001</v>
          </cell>
          <cell r="O16">
            <v>111780.15296013</v>
          </cell>
          <cell r="P16">
            <v>170.65536416</v>
          </cell>
          <cell r="Q16">
            <v>813.61881199000004</v>
          </cell>
          <cell r="R16">
            <v>56.672390430000007</v>
          </cell>
          <cell r="S16">
            <v>712.69406247999996</v>
          </cell>
          <cell r="T16">
            <v>302698.90635422</v>
          </cell>
          <cell r="U16">
            <v>47131.666798120001</v>
          </cell>
        </row>
        <row r="17">
          <cell r="C17" t="str">
            <v>5 a 10 Salários Mín.</v>
          </cell>
          <cell r="D17">
            <v>6429074</v>
          </cell>
          <cell r="E17">
            <v>202625.58947846002</v>
          </cell>
          <cell r="F17">
            <v>13523.848048569998</v>
          </cell>
          <cell r="G17">
            <v>33275.417489680003</v>
          </cell>
          <cell r="H17">
            <v>10536.28856879</v>
          </cell>
          <cell r="I17">
            <v>10581.243141540001</v>
          </cell>
          <cell r="J17">
            <v>5545.5580293900002</v>
          </cell>
          <cell r="K17">
            <v>10386.154648299998</v>
          </cell>
          <cell r="L17">
            <v>994.77033324000001</v>
          </cell>
          <cell r="M17">
            <v>1939.27070675</v>
          </cell>
          <cell r="N17">
            <v>18559.315264320001</v>
          </cell>
          <cell r="O17">
            <v>144769.22400826</v>
          </cell>
          <cell r="P17">
            <v>4134.2753716900006</v>
          </cell>
          <cell r="Q17">
            <v>6131.16156563</v>
          </cell>
          <cell r="R17">
            <v>886.06259319000003</v>
          </cell>
          <cell r="S17">
            <v>2958.4262745999999</v>
          </cell>
          <cell r="T17">
            <v>447474.87454014999</v>
          </cell>
          <cell r="U17">
            <v>45390.444531250003</v>
          </cell>
        </row>
        <row r="18">
          <cell r="C18" t="str">
            <v>10 a 20 Salários Mín.</v>
          </cell>
          <cell r="D18">
            <v>3160810</v>
          </cell>
          <cell r="E18">
            <v>180659.83739691999</v>
          </cell>
          <cell r="F18">
            <v>13965.8306261</v>
          </cell>
          <cell r="G18">
            <v>48586.956884489991</v>
          </cell>
          <cell r="H18">
            <v>9219.8259395999994</v>
          </cell>
          <cell r="I18">
            <v>5404.8881561400003</v>
          </cell>
          <cell r="J18">
            <v>4591.2203353999994</v>
          </cell>
          <cell r="K18">
            <v>11340.992922469999</v>
          </cell>
          <cell r="L18">
            <v>1878.2132896199998</v>
          </cell>
          <cell r="M18">
            <v>2099.2787801300001</v>
          </cell>
          <cell r="N18">
            <v>14436.477294620003</v>
          </cell>
          <cell r="O18">
            <v>132025.78996888001</v>
          </cell>
          <cell r="P18">
            <v>14450.759699</v>
          </cell>
          <cell r="Q18">
            <v>15718.307007740001</v>
          </cell>
          <cell r="R18">
            <v>2155.55738354</v>
          </cell>
          <cell r="S18">
            <v>3566.6401768300002</v>
          </cell>
          <cell r="T18">
            <v>499068.42840890994</v>
          </cell>
          <cell r="U18">
            <v>97132.168495140009</v>
          </cell>
        </row>
        <row r="19">
          <cell r="C19" t="str">
            <v>20 a 40 Salários Mín.</v>
          </cell>
          <cell r="D19">
            <v>1429716</v>
          </cell>
          <cell r="E19">
            <v>146865.87593721002</v>
          </cell>
          <cell r="F19">
            <v>14123.331992380001</v>
          </cell>
          <cell r="G19">
            <v>58186.631947229995</v>
          </cell>
          <cell r="H19">
            <v>9764.3236744100013</v>
          </cell>
          <cell r="I19">
            <v>2488.5763711</v>
          </cell>
          <cell r="J19">
            <v>2279.5695664200002</v>
          </cell>
          <cell r="K19">
            <v>7966.2853392200004</v>
          </cell>
          <cell r="L19">
            <v>2240.53597094</v>
          </cell>
          <cell r="M19">
            <v>2232.1295664200002</v>
          </cell>
          <cell r="N19">
            <v>4453.7622246099927</v>
          </cell>
          <cell r="O19">
            <v>116080.51340579</v>
          </cell>
          <cell r="P19">
            <v>21810.967749399999</v>
          </cell>
          <cell r="Q19">
            <v>21251.063055210001</v>
          </cell>
          <cell r="R19">
            <v>2373.6796697700001</v>
          </cell>
          <cell r="S19">
            <v>1965.1266486099998</v>
          </cell>
          <cell r="T19">
            <v>503163.49136026995</v>
          </cell>
          <cell r="U19">
            <v>41573.237286589996</v>
          </cell>
        </row>
        <row r="20">
          <cell r="C20" t="str">
            <v>40 a 80 Salários Mín.</v>
          </cell>
          <cell r="D20">
            <v>539949</v>
          </cell>
          <cell r="E20">
            <v>91458.897846229986</v>
          </cell>
          <cell r="F20">
            <v>12380.127280040002</v>
          </cell>
          <cell r="G20">
            <v>56960.704833470001</v>
          </cell>
          <cell r="H20">
            <v>6579.3973677799995</v>
          </cell>
          <cell r="I20">
            <v>900.20253008000009</v>
          </cell>
          <cell r="J20">
            <v>804.68904712999995</v>
          </cell>
          <cell r="K20">
            <v>3984.1108357500002</v>
          </cell>
          <cell r="L20">
            <v>1828.83998509</v>
          </cell>
          <cell r="M20">
            <v>1408.8990235799999</v>
          </cell>
          <cell r="N20">
            <v>1148.4825715200041</v>
          </cell>
          <cell r="O20">
            <v>75266.758218389994</v>
          </cell>
          <cell r="P20">
            <v>16916.60387771</v>
          </cell>
          <cell r="Q20">
            <v>15908.555642279998</v>
          </cell>
          <cell r="R20">
            <v>1737.33251354</v>
          </cell>
          <cell r="S20">
            <v>895.66422956999997</v>
          </cell>
          <cell r="T20">
            <v>427333.33444119996</v>
          </cell>
          <cell r="U20">
            <v>30785.20048032</v>
          </cell>
        </row>
        <row r="21">
          <cell r="C21" t="str">
            <v>80 a 160 Salários Mín.</v>
          </cell>
          <cell r="D21">
            <v>134233</v>
          </cell>
          <cell r="E21">
            <v>29645.166874439998</v>
          </cell>
          <cell r="F21">
            <v>8094.1374975399995</v>
          </cell>
          <cell r="G21">
            <v>42018.570894029996</v>
          </cell>
          <cell r="H21">
            <v>1564.3897209500001</v>
          </cell>
          <cell r="I21">
            <v>194.7444064</v>
          </cell>
          <cell r="J21">
            <v>167.53934465</v>
          </cell>
          <cell r="K21">
            <v>1039.2083682100001</v>
          </cell>
          <cell r="L21">
            <v>799.45196724000004</v>
          </cell>
          <cell r="M21">
            <v>378.72592742</v>
          </cell>
          <cell r="N21">
            <v>353.77464204999978</v>
          </cell>
          <cell r="O21">
            <v>25276.12510569</v>
          </cell>
          <cell r="P21">
            <v>6058.3535675799994</v>
          </cell>
          <cell r="Q21">
            <v>5425.3408564299998</v>
          </cell>
          <cell r="R21">
            <v>759.31274243999997</v>
          </cell>
          <cell r="S21">
            <v>277.09708296000002</v>
          </cell>
          <cell r="T21">
            <v>258703.96956726999</v>
          </cell>
          <cell r="U21">
            <v>13118.50297408</v>
          </cell>
        </row>
        <row r="22">
          <cell r="C22" t="str">
            <v>&gt; 160 Salários Mín.</v>
          </cell>
          <cell r="D22">
            <v>64646</v>
          </cell>
          <cell r="E22">
            <v>26908.905869390001</v>
          </cell>
          <cell r="F22">
            <v>41500.85458562</v>
          </cell>
          <cell r="G22">
            <v>123103.77664910999</v>
          </cell>
          <cell r="H22">
            <v>765.89005184999996</v>
          </cell>
          <cell r="I22">
            <v>86.630745599999997</v>
          </cell>
          <cell r="J22">
            <v>70.258892680000002</v>
          </cell>
          <cell r="K22">
            <v>586.70370336999997</v>
          </cell>
          <cell r="L22">
            <v>2872.6687234400001</v>
          </cell>
          <cell r="M22">
            <v>259.96787632000002</v>
          </cell>
          <cell r="N22">
            <v>188.8457310900003</v>
          </cell>
          <cell r="O22">
            <v>22202.793398539998</v>
          </cell>
          <cell r="P22">
            <v>5682.6505883200007</v>
          </cell>
          <cell r="Q22">
            <v>4815.03227023</v>
          </cell>
          <cell r="R22">
            <v>950.62332872000002</v>
          </cell>
          <cell r="S22">
            <v>170.39586346999999</v>
          </cell>
          <cell r="T22">
            <v>739289.35289350001</v>
          </cell>
          <cell r="U22">
            <v>30594.815306249999</v>
          </cell>
        </row>
        <row r="23">
          <cell r="C23" t="str">
            <v xml:space="preserve">    Total</v>
          </cell>
          <cell r="D23">
            <v>24383614</v>
          </cell>
          <cell r="E23">
            <v>854307.62822770001</v>
          </cell>
          <cell r="F23">
            <v>111102.92526413</v>
          </cell>
          <cell r="G23">
            <v>377483.56854335999</v>
          </cell>
          <cell r="H23">
            <v>42975.20026071</v>
          </cell>
          <cell r="I23">
            <v>25035.068871080002</v>
          </cell>
          <cell r="J23">
            <v>14487.302397839998</v>
          </cell>
          <cell r="K23">
            <v>37206.5184477</v>
          </cell>
          <cell r="L23">
            <v>10758.75716345</v>
          </cell>
          <cell r="M23">
            <v>8801.2242436700017</v>
          </cell>
          <cell r="N23">
            <v>63219.002095069998</v>
          </cell>
          <cell r="O23">
            <v>655226.76048669987</v>
          </cell>
          <cell r="P23">
            <v>69225.866572169994</v>
          </cell>
          <cell r="Q23">
            <v>70232.676758799993</v>
          </cell>
          <cell r="R23">
            <v>8919.3360907200004</v>
          </cell>
          <cell r="S23">
            <v>10716.451390989998</v>
          </cell>
          <cell r="T23">
            <v>3352961.82733538</v>
          </cell>
          <cell r="U23">
            <v>319774.87299027003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8_T19"/>
      <sheetName val="P47_T18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 Salário Mín.</v>
          </cell>
          <cell r="D12">
            <v>1483437</v>
          </cell>
          <cell r="E12">
            <v>169.85338196999999</v>
          </cell>
          <cell r="F12">
            <v>21.228571760000001</v>
          </cell>
          <cell r="G12">
            <v>47.628852240000001</v>
          </cell>
          <cell r="H12">
            <v>32.545420790000001</v>
          </cell>
          <cell r="I12">
            <v>119.08970423999999</v>
          </cell>
          <cell r="J12">
            <v>6.8728539299999998</v>
          </cell>
          <cell r="K12">
            <v>21.799696469999997</v>
          </cell>
          <cell r="L12">
            <v>2.5641859999999999E-2</v>
          </cell>
          <cell r="M12">
            <v>7.3783245599999994</v>
          </cell>
          <cell r="N12">
            <v>17.739225430000033</v>
          </cell>
          <cell r="O12">
            <v>139.86036243000001</v>
          </cell>
          <cell r="P12">
            <v>1.00673E-3</v>
          </cell>
          <cell r="Q12">
            <v>16.626936780000001</v>
          </cell>
          <cell r="R12">
            <v>2.5320000000000002E-5</v>
          </cell>
          <cell r="S12">
            <v>16.948507110000001</v>
          </cell>
          <cell r="T12">
            <v>57543.019678120007</v>
          </cell>
          <cell r="U12">
            <v>6067.6986380999997</v>
          </cell>
        </row>
        <row r="13">
          <cell r="C13" t="str">
            <v>1/2 a 1 Salário Mín.</v>
          </cell>
          <cell r="D13">
            <v>522474</v>
          </cell>
          <cell r="E13">
            <v>2720.9683667200002</v>
          </cell>
          <cell r="F13">
            <v>42.341454549999995</v>
          </cell>
          <cell r="G13">
            <v>173.02279120999998</v>
          </cell>
          <cell r="H13">
            <v>76.179086850000004</v>
          </cell>
          <cell r="I13">
            <v>50.71140432</v>
          </cell>
          <cell r="J13">
            <v>4.3527561500000003</v>
          </cell>
          <cell r="K13">
            <v>11.575756779999999</v>
          </cell>
          <cell r="L13">
            <v>0.29700912000000002</v>
          </cell>
          <cell r="M13">
            <v>14.16868618</v>
          </cell>
          <cell r="N13">
            <v>364.13416181999992</v>
          </cell>
          <cell r="O13">
            <v>2246.9772637700003</v>
          </cell>
          <cell r="P13">
            <v>4.1925599999999997E-3</v>
          </cell>
          <cell r="Q13">
            <v>8.2669650399999988</v>
          </cell>
          <cell r="R13">
            <v>0</v>
          </cell>
          <cell r="S13">
            <v>8.3222037899999997</v>
          </cell>
          <cell r="T13">
            <v>17365.122285379999</v>
          </cell>
          <cell r="U13">
            <v>1379.80772424</v>
          </cell>
        </row>
        <row r="14">
          <cell r="C14" t="str">
            <v>1 a 2 Salários Mín.</v>
          </cell>
          <cell r="D14">
            <v>1032184</v>
          </cell>
          <cell r="E14">
            <v>8369.4028092900007</v>
          </cell>
          <cell r="F14">
            <v>288.48733254000001</v>
          </cell>
          <cell r="G14">
            <v>1138.3779816000001</v>
          </cell>
          <cell r="H14">
            <v>167.49228378999999</v>
          </cell>
          <cell r="I14">
            <v>164.51008128000001</v>
          </cell>
          <cell r="J14">
            <v>19.737860469999998</v>
          </cell>
          <cell r="K14">
            <v>52.669962329999997</v>
          </cell>
          <cell r="L14">
            <v>2.0560439800000001</v>
          </cell>
          <cell r="M14">
            <v>7.4833674999999999</v>
          </cell>
          <cell r="N14">
            <v>1046.0947766499999</v>
          </cell>
          <cell r="O14">
            <v>6980.0820841900004</v>
          </cell>
          <cell r="P14">
            <v>8.4718599999999995E-3</v>
          </cell>
          <cell r="Q14">
            <v>49.700802109999998</v>
          </cell>
          <cell r="R14">
            <v>4.1536999999999998E-4</v>
          </cell>
          <cell r="S14">
            <v>49.920935799999995</v>
          </cell>
          <cell r="T14">
            <v>39522.853699849999</v>
          </cell>
          <cell r="U14">
            <v>3091.8826463699997</v>
          </cell>
        </row>
        <row r="15">
          <cell r="C15" t="str">
            <v>2 a 3 Salários Mín.</v>
          </cell>
          <cell r="D15">
            <v>1928144</v>
          </cell>
          <cell r="E15">
            <v>27802.520345159999</v>
          </cell>
          <cell r="F15">
            <v>731.58514177000006</v>
          </cell>
          <cell r="G15">
            <v>2355.07815377</v>
          </cell>
          <cell r="H15">
            <v>425.71972701999999</v>
          </cell>
          <cell r="I15">
            <v>366.41900951999997</v>
          </cell>
          <cell r="J15">
            <v>49.249105979999996</v>
          </cell>
          <cell r="K15">
            <v>110.32553236</v>
          </cell>
          <cell r="L15">
            <v>11.019275589999999</v>
          </cell>
          <cell r="M15">
            <v>19.851122650000001</v>
          </cell>
          <cell r="N15">
            <v>3674.24648325</v>
          </cell>
          <cell r="O15">
            <v>23254.952072070002</v>
          </cell>
          <cell r="P15">
            <v>5.5064920000000003E-2</v>
          </cell>
          <cell r="Q15">
            <v>114.95057439</v>
          </cell>
          <cell r="R15">
            <v>1.854898E-2</v>
          </cell>
          <cell r="S15">
            <v>115.71896328</v>
          </cell>
          <cell r="T15">
            <v>81210.158325989993</v>
          </cell>
          <cell r="U15">
            <v>6544.3004891600003</v>
          </cell>
        </row>
        <row r="16">
          <cell r="C16" t="str">
            <v>3 a 5 Salários Mín.</v>
          </cell>
          <cell r="D16">
            <v>6794781</v>
          </cell>
          <cell r="E16">
            <v>144414.05122374001</v>
          </cell>
          <cell r="F16">
            <v>6848.7196809699999</v>
          </cell>
          <cell r="G16">
            <v>12688.25396736</v>
          </cell>
          <cell r="H16">
            <v>3970.5906208800002</v>
          </cell>
          <cell r="I16">
            <v>4765.7798049599996</v>
          </cell>
          <cell r="J16">
            <v>1143.3452635199999</v>
          </cell>
          <cell r="K16">
            <v>1992.274206</v>
          </cell>
          <cell r="L16">
            <v>176.17142035000001</v>
          </cell>
          <cell r="M16">
            <v>480.18047153999998</v>
          </cell>
          <cell r="N16">
            <v>20615.691643569997</v>
          </cell>
          <cell r="O16">
            <v>111964.0728734</v>
          </cell>
          <cell r="P16">
            <v>303.21611963999999</v>
          </cell>
          <cell r="Q16">
            <v>1050.0806103499999</v>
          </cell>
          <cell r="R16">
            <v>93.617757059999988</v>
          </cell>
          <cell r="S16">
            <v>854.31488417000014</v>
          </cell>
          <cell r="T16">
            <v>323298.18429862004</v>
          </cell>
          <cell r="U16">
            <v>146671.33769812001</v>
          </cell>
        </row>
        <row r="17">
          <cell r="C17" t="str">
            <v>5 a 10 Salários Mín.</v>
          </cell>
          <cell r="D17">
            <v>6672144</v>
          </cell>
          <cell r="E17">
            <v>230350.30427627001</v>
          </cell>
          <cell r="F17">
            <v>15623.834375310002</v>
          </cell>
          <cell r="G17">
            <v>37934.01077357</v>
          </cell>
          <cell r="H17">
            <v>11370.343112009999</v>
          </cell>
          <cell r="I17">
            <v>10903.387724280001</v>
          </cell>
          <cell r="J17">
            <v>5972.3088426800005</v>
          </cell>
          <cell r="K17">
            <v>10199.286228049999</v>
          </cell>
          <cell r="L17">
            <v>1142.6095811500002</v>
          </cell>
          <cell r="M17">
            <v>2163.39570809</v>
          </cell>
          <cell r="N17">
            <v>22580.309253359999</v>
          </cell>
          <cell r="O17">
            <v>166819.76890273998</v>
          </cell>
          <cell r="P17">
            <v>5610.3828147300001</v>
          </cell>
          <cell r="Q17">
            <v>7752.7463684700006</v>
          </cell>
          <cell r="R17">
            <v>1173.3908646699999</v>
          </cell>
          <cell r="S17">
            <v>3408.5507935700002</v>
          </cell>
          <cell r="T17">
            <v>510417.38288891001</v>
          </cell>
          <cell r="U17">
            <v>119999.77316667</v>
          </cell>
        </row>
        <row r="18">
          <cell r="C18" t="str">
            <v>10 a 20 Salários Mín.</v>
          </cell>
          <cell r="D18">
            <v>3290290</v>
          </cell>
          <cell r="E18">
            <v>205362.18946912</v>
          </cell>
          <cell r="F18">
            <v>16582.746243819998</v>
          </cell>
          <cell r="G18">
            <v>55753.431101959999</v>
          </cell>
          <cell r="H18">
            <v>10414.294155090001</v>
          </cell>
          <cell r="I18">
            <v>5598.4240303199995</v>
          </cell>
          <cell r="J18">
            <v>4860.1269706700004</v>
          </cell>
          <cell r="K18">
            <v>10901.50430769</v>
          </cell>
          <cell r="L18">
            <v>2104.3249629100001</v>
          </cell>
          <cell r="M18">
            <v>2435.7807358000005</v>
          </cell>
          <cell r="N18">
            <v>16762.709406440001</v>
          </cell>
          <cell r="O18">
            <v>152916.43807927001</v>
          </cell>
          <cell r="P18">
            <v>18000.535853230002</v>
          </cell>
          <cell r="Q18">
            <v>19041.19368402</v>
          </cell>
          <cell r="R18">
            <v>2604.83553643</v>
          </cell>
          <cell r="S18">
            <v>3821.44616847</v>
          </cell>
          <cell r="T18">
            <v>563781.11293665995</v>
          </cell>
          <cell r="U18">
            <v>68107.779721240004</v>
          </cell>
        </row>
        <row r="19">
          <cell r="C19" t="str">
            <v>20 a 40 Salários Mín.</v>
          </cell>
          <cell r="D19">
            <v>1471436</v>
          </cell>
          <cell r="E19">
            <v>162617.4478237</v>
          </cell>
          <cell r="F19">
            <v>17093.172843299999</v>
          </cell>
          <cell r="G19">
            <v>67077.59977008999</v>
          </cell>
          <cell r="H19">
            <v>10874.57273118</v>
          </cell>
          <cell r="I19">
            <v>2575.45002312</v>
          </cell>
          <cell r="J19">
            <v>2339.26634289</v>
          </cell>
          <cell r="K19">
            <v>7827.0977580299996</v>
          </cell>
          <cell r="L19">
            <v>2433.12829831</v>
          </cell>
          <cell r="M19">
            <v>2426.7666082399996</v>
          </cell>
          <cell r="N19">
            <v>4849.5468032499994</v>
          </cell>
          <cell r="O19">
            <v>129933.67053090999</v>
          </cell>
          <cell r="P19">
            <v>24900.15387246</v>
          </cell>
          <cell r="Q19">
            <v>24262.208445669999</v>
          </cell>
          <cell r="R19">
            <v>2626.0383579199997</v>
          </cell>
          <cell r="S19">
            <v>2175.6485760800001</v>
          </cell>
          <cell r="T19">
            <v>575865.57750605</v>
          </cell>
          <cell r="U19">
            <v>51786.741373890007</v>
          </cell>
        </row>
        <row r="20">
          <cell r="C20" t="str">
            <v>40 a 80 Salários Mín.</v>
          </cell>
          <cell r="D20">
            <v>556854</v>
          </cell>
          <cell r="E20">
            <v>99156.993297469991</v>
          </cell>
          <cell r="F20">
            <v>15419.458770559999</v>
          </cell>
          <cell r="G20">
            <v>66371.645820360005</v>
          </cell>
          <cell r="H20">
            <v>7147.0040591100005</v>
          </cell>
          <cell r="I20">
            <v>928.59517872000004</v>
          </cell>
          <cell r="J20">
            <v>819.7385415</v>
          </cell>
          <cell r="K20">
            <v>4025.1518914899998</v>
          </cell>
          <cell r="L20">
            <v>2010.79736525</v>
          </cell>
          <cell r="M20">
            <v>1571.7684873300002</v>
          </cell>
          <cell r="N20">
            <v>1305.472636030001</v>
          </cell>
          <cell r="O20">
            <v>81856.59491349</v>
          </cell>
          <cell r="P20">
            <v>18559.720521540003</v>
          </cell>
          <cell r="Q20">
            <v>17661.826419160003</v>
          </cell>
          <cell r="R20">
            <v>1783.69510412</v>
          </cell>
          <cell r="S20">
            <v>1098.9581953700001</v>
          </cell>
          <cell r="T20">
            <v>480246.94087716006</v>
          </cell>
          <cell r="U20">
            <v>32747.32008908</v>
          </cell>
        </row>
        <row r="21">
          <cell r="C21" t="str">
            <v>80 a 160 Salários Mín.</v>
          </cell>
          <cell r="D21">
            <v>140574</v>
          </cell>
          <cell r="E21">
            <v>31341.592433230002</v>
          </cell>
          <cell r="F21">
            <v>9955.7552782300008</v>
          </cell>
          <cell r="G21">
            <v>49531.582711859999</v>
          </cell>
          <cell r="H21">
            <v>1686.8438701700002</v>
          </cell>
          <cell r="I21">
            <v>202.83295931999999</v>
          </cell>
          <cell r="J21">
            <v>172.50620627000001</v>
          </cell>
          <cell r="K21">
            <v>1085.31516698</v>
          </cell>
          <cell r="L21">
            <v>930.21402839999996</v>
          </cell>
          <cell r="M21">
            <v>404.48506266999999</v>
          </cell>
          <cell r="N21">
            <v>405.2571073500003</v>
          </cell>
          <cell r="O21">
            <v>26592.055805380001</v>
          </cell>
          <cell r="P21">
            <v>6417.9848962899996</v>
          </cell>
          <cell r="Q21">
            <v>5852.3316235499997</v>
          </cell>
          <cell r="R21">
            <v>780.83116078</v>
          </cell>
          <cell r="S21">
            <v>344.33922005000005</v>
          </cell>
          <cell r="T21">
            <v>292602.54080814996</v>
          </cell>
          <cell r="U21">
            <v>16383.056991930003</v>
          </cell>
        </row>
        <row r="22">
          <cell r="C22" t="str">
            <v>&gt; 160 Salários Mín.</v>
          </cell>
          <cell r="D22">
            <v>70665</v>
          </cell>
          <cell r="E22">
            <v>30298.90519695</v>
          </cell>
          <cell r="F22">
            <v>54432.593685990003</v>
          </cell>
          <cell r="G22">
            <v>151288.15428640001</v>
          </cell>
          <cell r="H22">
            <v>893.58505446999993</v>
          </cell>
          <cell r="I22">
            <v>94.978098720000006</v>
          </cell>
          <cell r="J22">
            <v>76.911112290000005</v>
          </cell>
          <cell r="K22">
            <v>642.55607283000006</v>
          </cell>
          <cell r="L22">
            <v>3289.1316051199997</v>
          </cell>
          <cell r="M22">
            <v>296.10159493999998</v>
          </cell>
          <cell r="N22">
            <v>226.5891117400015</v>
          </cell>
          <cell r="O22">
            <v>24922.109023940004</v>
          </cell>
          <cell r="P22">
            <v>6409.4209059900004</v>
          </cell>
          <cell r="Q22">
            <v>5410.2133176699999</v>
          </cell>
          <cell r="R22">
            <v>1156.6633437600001</v>
          </cell>
          <cell r="S22">
            <v>252.98329483000001</v>
          </cell>
          <cell r="T22">
            <v>881772.06906737993</v>
          </cell>
          <cell r="U22">
            <v>36529.776728149998</v>
          </cell>
        </row>
        <row r="23">
          <cell r="C23" t="str">
            <v xml:space="preserve">    Total</v>
          </cell>
          <cell r="D23">
            <v>23962983</v>
          </cell>
          <cell r="E23">
            <v>942604.22862362012</v>
          </cell>
          <cell r="F23">
            <v>137039.92337880001</v>
          </cell>
          <cell r="G23">
            <v>444358.78621042002</v>
          </cell>
          <cell r="H23">
            <v>47059.170121360003</v>
          </cell>
          <cell r="I23">
            <v>25770.178018799998</v>
          </cell>
          <cell r="J23">
            <v>15464.41585635</v>
          </cell>
          <cell r="K23">
            <v>36869.556579009994</v>
          </cell>
          <cell r="L23">
            <v>12099.77523204</v>
          </cell>
          <cell r="M23">
            <v>9827.3601695000016</v>
          </cell>
          <cell r="N23">
            <v>71847.790608889991</v>
          </cell>
          <cell r="O23">
            <v>727626.58191159007</v>
          </cell>
          <cell r="P23">
            <v>80201.483719950003</v>
          </cell>
          <cell r="Q23">
            <v>81220.145747210001</v>
          </cell>
          <cell r="R23">
            <v>10219.091114410001</v>
          </cell>
          <cell r="S23">
            <v>12147.151742520002</v>
          </cell>
          <cell r="T23">
            <v>3823624.9623722699</v>
          </cell>
          <cell r="U23">
            <v>489309.47526695009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 Salário Mín.</v>
          </cell>
          <cell r="D12">
            <v>1423833</v>
          </cell>
          <cell r="E12">
            <v>168.92555284999997</v>
          </cell>
          <cell r="F12">
            <v>24.393364529999999</v>
          </cell>
          <cell r="G12">
            <v>49.526035129999997</v>
          </cell>
          <cell r="H12">
            <v>20.90228162</v>
          </cell>
          <cell r="I12">
            <v>120.62139012</v>
          </cell>
          <cell r="J12">
            <v>6.7074053200000003</v>
          </cell>
          <cell r="K12">
            <v>28.263860430000001</v>
          </cell>
          <cell r="L12">
            <v>4.1766160000000004E-2</v>
          </cell>
          <cell r="M12">
            <v>21.92039415</v>
          </cell>
          <cell r="N12">
            <v>18.203708060000025</v>
          </cell>
          <cell r="O12">
            <v>137.87648364</v>
          </cell>
          <cell r="P12">
            <v>2.70171E-3</v>
          </cell>
          <cell r="Q12">
            <v>21.08000736</v>
          </cell>
          <cell r="R12">
            <v>1.2822300000000001E-3</v>
          </cell>
          <cell r="S12">
            <v>21.397668960000001</v>
          </cell>
          <cell r="T12">
            <v>73788.343301040004</v>
          </cell>
          <cell r="U12">
            <v>5814.26178179</v>
          </cell>
        </row>
        <row r="13">
          <cell r="C13" t="str">
            <v>1/2 a 1 Salário Mín.</v>
          </cell>
          <cell r="D13">
            <v>495904</v>
          </cell>
          <cell r="E13">
            <v>2748.9063824300001</v>
          </cell>
          <cell r="F13">
            <v>47.003519189999999</v>
          </cell>
          <cell r="G13">
            <v>170.42299901000001</v>
          </cell>
          <cell r="H13">
            <v>84.283150600000013</v>
          </cell>
          <cell r="I13">
            <v>51.6722058</v>
          </cell>
          <cell r="J13">
            <v>4.6786161699999997</v>
          </cell>
          <cell r="K13">
            <v>12.748863720000001</v>
          </cell>
          <cell r="L13">
            <v>0.21182571</v>
          </cell>
          <cell r="M13">
            <v>2.4154304799999995</v>
          </cell>
          <cell r="N13">
            <v>364.94754370999999</v>
          </cell>
          <cell r="O13">
            <v>2268.5187962700002</v>
          </cell>
          <cell r="P13">
            <v>2.6798140000000002E-2</v>
          </cell>
          <cell r="Q13">
            <v>9.7613299199999997</v>
          </cell>
          <cell r="R13">
            <v>1.1369010000000001E-2</v>
          </cell>
          <cell r="S13">
            <v>9.82313875</v>
          </cell>
          <cell r="T13">
            <v>19803.502680140002</v>
          </cell>
          <cell r="U13">
            <v>1681.51265528</v>
          </cell>
        </row>
        <row r="14">
          <cell r="C14" t="str">
            <v>1 a 2 Salários Mín.</v>
          </cell>
          <cell r="D14">
            <v>970222</v>
          </cell>
          <cell r="E14">
            <v>8303.8830300199988</v>
          </cell>
          <cell r="F14">
            <v>307.97334222999996</v>
          </cell>
          <cell r="G14">
            <v>1139.3951840699999</v>
          </cell>
          <cell r="H14">
            <v>176.79980717999999</v>
          </cell>
          <cell r="I14">
            <v>168.12505008000002</v>
          </cell>
          <cell r="J14">
            <v>20.610363260000003</v>
          </cell>
          <cell r="K14">
            <v>62.229545130000005</v>
          </cell>
          <cell r="L14">
            <v>2.9790657700000001</v>
          </cell>
          <cell r="M14">
            <v>7.4437023699999996</v>
          </cell>
          <cell r="N14">
            <v>1040.4893780700004</v>
          </cell>
          <cell r="O14">
            <v>6906.9965637200003</v>
          </cell>
          <cell r="P14">
            <v>0.22026208999999999</v>
          </cell>
          <cell r="Q14">
            <v>43.760481850000005</v>
          </cell>
          <cell r="R14">
            <v>7.4680860000000002E-2</v>
          </cell>
          <cell r="S14">
            <v>43.923395450000001</v>
          </cell>
          <cell r="T14">
            <v>42752.696665230003</v>
          </cell>
          <cell r="U14">
            <v>3570.2936962399999</v>
          </cell>
        </row>
        <row r="15">
          <cell r="C15" t="str">
            <v>2 a 3 Salários Mín.</v>
          </cell>
          <cell r="D15">
            <v>1853697</v>
          </cell>
          <cell r="E15">
            <v>28287.665221610001</v>
          </cell>
          <cell r="F15">
            <v>807.37841344000003</v>
          </cell>
          <cell r="G15">
            <v>2377.0271771000002</v>
          </cell>
          <cell r="H15">
            <v>457.13138806000001</v>
          </cell>
          <cell r="I15">
            <v>369.43406820000001</v>
          </cell>
          <cell r="J15">
            <v>50.575414770000002</v>
          </cell>
          <cell r="K15">
            <v>127.40459011</v>
          </cell>
          <cell r="L15">
            <v>11.189459919999999</v>
          </cell>
          <cell r="M15">
            <v>18.407434050000003</v>
          </cell>
          <cell r="N15">
            <v>3720.69567912</v>
          </cell>
          <cell r="O15">
            <v>23655.86980393</v>
          </cell>
          <cell r="P15">
            <v>0.58534321</v>
          </cell>
          <cell r="Q15">
            <v>105.63865177</v>
          </cell>
          <cell r="R15">
            <v>0.24031100999999999</v>
          </cell>
          <cell r="S15">
            <v>106.2359222</v>
          </cell>
          <cell r="T15">
            <v>89547.32614823</v>
          </cell>
          <cell r="U15">
            <v>7532.9248875600006</v>
          </cell>
        </row>
        <row r="16">
          <cell r="C16" t="str">
            <v>3 a 5 Salários Mín.</v>
          </cell>
          <cell r="D16">
            <v>7071437</v>
          </cell>
          <cell r="E16">
            <v>160485.32604481</v>
          </cell>
          <cell r="F16">
            <v>7727.60406951</v>
          </cell>
          <cell r="G16">
            <v>13569.85829294</v>
          </cell>
          <cell r="H16">
            <v>4202.7484501400004</v>
          </cell>
          <cell r="I16">
            <v>5062.1131342799999</v>
          </cell>
          <cell r="J16">
            <v>1269.8245904400001</v>
          </cell>
          <cell r="K16">
            <v>2233.80477651</v>
          </cell>
          <cell r="L16">
            <v>200.50116077999999</v>
          </cell>
          <cell r="M16">
            <v>512.65739131999999</v>
          </cell>
          <cell r="N16">
            <v>23205.03378043</v>
          </cell>
          <cell r="O16">
            <v>124389.29305509001</v>
          </cell>
          <cell r="P16">
            <v>408.09824975999993</v>
          </cell>
          <cell r="Q16">
            <v>1297.3115422599999</v>
          </cell>
          <cell r="R16">
            <v>112.94497671000001</v>
          </cell>
          <cell r="S16">
            <v>1017.3839755400001</v>
          </cell>
          <cell r="T16">
            <v>364008.10967442999</v>
          </cell>
          <cell r="U16">
            <v>123877.75246578001</v>
          </cell>
        </row>
        <row r="17">
          <cell r="C17" t="str">
            <v>5 a 10 Salários Mín.</v>
          </cell>
          <cell r="D17">
            <v>7122696</v>
          </cell>
          <cell r="E17">
            <v>263331.10824088001</v>
          </cell>
          <cell r="F17">
            <v>18424.974439990001</v>
          </cell>
          <cell r="G17">
            <v>42268.756422869999</v>
          </cell>
          <cell r="H17">
            <v>12258.957256029998</v>
          </cell>
          <cell r="I17">
            <v>11402.083980719999</v>
          </cell>
          <cell r="J17">
            <v>6284.0664519100001</v>
          </cell>
          <cell r="K17">
            <v>11276.003697239999</v>
          </cell>
          <cell r="L17">
            <v>1273.9796101300001</v>
          </cell>
          <cell r="M17">
            <v>2365.9736382299993</v>
          </cell>
          <cell r="N17">
            <v>26938.748317400008</v>
          </cell>
          <cell r="O17">
            <v>192164.97142508999</v>
          </cell>
          <cell r="P17">
            <v>6968.3153321299997</v>
          </cell>
          <cell r="Q17">
            <v>9549.04765864</v>
          </cell>
          <cell r="R17">
            <v>1368.6487024600001</v>
          </cell>
          <cell r="S17">
            <v>4052.9790570700002</v>
          </cell>
          <cell r="T17">
            <v>575691.23582430999</v>
          </cell>
          <cell r="U17">
            <v>142111.70843386999</v>
          </cell>
        </row>
        <row r="18">
          <cell r="C18" t="str">
            <v>10 a 20 Salários Mín.</v>
          </cell>
          <cell r="D18">
            <v>3530545</v>
          </cell>
          <cell r="E18">
            <v>234960.23828908999</v>
          </cell>
          <cell r="F18">
            <v>19901.542739799999</v>
          </cell>
          <cell r="G18">
            <v>63021.956434170002</v>
          </cell>
          <cell r="H18">
            <v>10908.05754494</v>
          </cell>
          <cell r="I18">
            <v>5918.9023652400001</v>
          </cell>
          <cell r="J18">
            <v>5107.1671434700002</v>
          </cell>
          <cell r="K18">
            <v>11754.241828</v>
          </cell>
          <cell r="L18">
            <v>2351.32395507</v>
          </cell>
          <cell r="M18">
            <v>2674.3492171000003</v>
          </cell>
          <cell r="N18">
            <v>19544.56849166999</v>
          </cell>
          <cell r="O18">
            <v>177180.04025641002</v>
          </cell>
          <cell r="P18">
            <v>21613.731620099999</v>
          </cell>
          <cell r="Q18">
            <v>22561.25868458</v>
          </cell>
          <cell r="R18">
            <v>3022.9850569</v>
          </cell>
          <cell r="S18">
            <v>4168.67189581</v>
          </cell>
          <cell r="T18">
            <v>640054.74231026997</v>
          </cell>
          <cell r="U18">
            <v>81541.653211140001</v>
          </cell>
        </row>
        <row r="19">
          <cell r="C19" t="str">
            <v>20 a 40 Salários Mín.</v>
          </cell>
          <cell r="D19">
            <v>1586574</v>
          </cell>
          <cell r="E19">
            <v>186306.01759186</v>
          </cell>
          <cell r="F19">
            <v>20957.89912165</v>
          </cell>
          <cell r="G19">
            <v>76894.241460770005</v>
          </cell>
          <cell r="H19">
            <v>11728.881893599999</v>
          </cell>
          <cell r="I19">
            <v>2759.66615916</v>
          </cell>
          <cell r="J19">
            <v>2464.22804494</v>
          </cell>
          <cell r="K19">
            <v>8617.2666969500006</v>
          </cell>
          <cell r="L19">
            <v>2668.0838241300003</v>
          </cell>
          <cell r="M19">
            <v>2638.3916178500003</v>
          </cell>
          <cell r="N19">
            <v>5661.9227852699987</v>
          </cell>
          <cell r="O19">
            <v>150396.94623425999</v>
          </cell>
          <cell r="P19">
            <v>29152.637738379999</v>
          </cell>
          <cell r="Q19">
            <v>28161.914027499999</v>
          </cell>
          <cell r="R19">
            <v>2983.4654966300004</v>
          </cell>
          <cell r="S19">
            <v>2218.3359969799999</v>
          </cell>
          <cell r="T19">
            <v>659766.26696154999</v>
          </cell>
          <cell r="U19">
            <v>64493.56215356</v>
          </cell>
        </row>
        <row r="20">
          <cell r="C20" t="str">
            <v>40 a 80 Salários Mín.</v>
          </cell>
          <cell r="D20">
            <v>603584</v>
          </cell>
          <cell r="E20">
            <v>112112.21115058</v>
          </cell>
          <cell r="F20">
            <v>19624.511480320001</v>
          </cell>
          <cell r="G20">
            <v>78512.042373520002</v>
          </cell>
          <cell r="H20">
            <v>7633.6540788899993</v>
          </cell>
          <cell r="I20">
            <v>1000.28660292</v>
          </cell>
          <cell r="J20">
            <v>865.7312991</v>
          </cell>
          <cell r="K20">
            <v>4508.3528924700004</v>
          </cell>
          <cell r="L20">
            <v>2295.5761592399999</v>
          </cell>
          <cell r="M20">
            <v>1649.7804285600002</v>
          </cell>
          <cell r="N20">
            <v>1562.3064545099987</v>
          </cell>
          <cell r="O20">
            <v>93074.437277449993</v>
          </cell>
          <cell r="P20">
            <v>21172.87095275</v>
          </cell>
          <cell r="Q20">
            <v>19919.018505930002</v>
          </cell>
          <cell r="R20">
            <v>2080.97899082</v>
          </cell>
          <cell r="S20">
            <v>1078.62697579</v>
          </cell>
          <cell r="T20">
            <v>557300.15974316001</v>
          </cell>
          <cell r="U20">
            <v>41119.072150480002</v>
          </cell>
        </row>
        <row r="21">
          <cell r="C21" t="str">
            <v>80 a 160 Salários Mín.</v>
          </cell>
          <cell r="D21">
            <v>158763</v>
          </cell>
          <cell r="E21">
            <v>36978.702526289999</v>
          </cell>
          <cell r="F21">
            <v>13079.051057379998</v>
          </cell>
          <cell r="G21">
            <v>59604.688542560005</v>
          </cell>
          <cell r="H21">
            <v>1895.42429763</v>
          </cell>
          <cell r="I21">
            <v>230.72882328</v>
          </cell>
          <cell r="J21">
            <v>191.23118238000001</v>
          </cell>
          <cell r="K21">
            <v>1255.61172953</v>
          </cell>
          <cell r="L21">
            <v>1085.68195535</v>
          </cell>
          <cell r="M21">
            <v>445.36453294999995</v>
          </cell>
          <cell r="N21">
            <v>493.31707862999974</v>
          </cell>
          <cell r="O21">
            <v>31519.825714589999</v>
          </cell>
          <cell r="P21">
            <v>7634.3976929699993</v>
          </cell>
          <cell r="Q21">
            <v>6905.5847217600003</v>
          </cell>
          <cell r="R21">
            <v>920.79353020999997</v>
          </cell>
          <cell r="S21">
            <v>343.19630515000006</v>
          </cell>
          <cell r="T21">
            <v>348498.08811509999</v>
          </cell>
          <cell r="U21">
            <v>20169.320518399996</v>
          </cell>
        </row>
        <row r="22">
          <cell r="C22" t="str">
            <v>&gt; 160 Salários Mín.</v>
          </cell>
          <cell r="D22">
            <v>80930</v>
          </cell>
          <cell r="E22">
            <v>36244.595869750003</v>
          </cell>
          <cell r="F22">
            <v>82126.01250995</v>
          </cell>
          <cell r="G22">
            <v>183149.15145783999</v>
          </cell>
          <cell r="H22">
            <v>1008.17114239</v>
          </cell>
          <cell r="I22">
            <v>109.04356584</v>
          </cell>
          <cell r="J22">
            <v>87.097752200000002</v>
          </cell>
          <cell r="K22">
            <v>773.79545402999997</v>
          </cell>
          <cell r="L22">
            <v>3827.49085285</v>
          </cell>
          <cell r="M22">
            <v>337.67898431999998</v>
          </cell>
          <cell r="N22">
            <v>280.14750952000031</v>
          </cell>
          <cell r="O22">
            <v>29971.546019929996</v>
          </cell>
          <cell r="P22">
            <v>7717.8829212799992</v>
          </cell>
          <cell r="Q22">
            <v>6445.5232865100006</v>
          </cell>
          <cell r="R22">
            <v>1391.01123495</v>
          </cell>
          <cell r="S22">
            <v>242.72696159</v>
          </cell>
          <cell r="T22">
            <v>1074003.5095347301</v>
          </cell>
          <cell r="U22">
            <v>46683.662374569998</v>
          </cell>
        </row>
        <row r="23">
          <cell r="C23" t="str">
            <v xml:space="preserve">    Total</v>
          </cell>
          <cell r="D23">
            <v>24898185</v>
          </cell>
          <cell r="E23">
            <v>1069927.57990017</v>
          </cell>
          <cell r="F23">
            <v>183028.34405799001</v>
          </cell>
          <cell r="G23">
            <v>520757.06637997995</v>
          </cell>
          <cell r="H23">
            <v>50375.011291079994</v>
          </cell>
          <cell r="I23">
            <v>27192.677345639993</v>
          </cell>
          <cell r="J23">
            <v>16351.91826396</v>
          </cell>
          <cell r="K23">
            <v>40649.723934119997</v>
          </cell>
          <cell r="L23">
            <v>13717.059635110001</v>
          </cell>
          <cell r="M23">
            <v>10674.38277138</v>
          </cell>
          <cell r="N23">
            <v>82830.380726389994</v>
          </cell>
          <cell r="O23">
            <v>831666.32163038</v>
          </cell>
          <cell r="P23">
            <v>94668.769612520002</v>
          </cell>
          <cell r="Q23">
            <v>95019.898898079991</v>
          </cell>
          <cell r="R23">
            <v>11881.155631789999</v>
          </cell>
          <cell r="S23">
            <v>13303.301293290004</v>
          </cell>
          <cell r="T23">
            <v>4445213.9809581898</v>
          </cell>
          <cell r="U23">
            <v>538595.72432867007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"/>
      <sheetName val="P4_P5_T4"/>
      <sheetName val="P6_P7_T5"/>
      <sheetName val="P8_P9_T6"/>
      <sheetName val="P10_P11_T7"/>
      <sheetName val="P12_P13_T8"/>
      <sheetName val="P14_P15_T9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"/>
      <sheetName val="P49_T20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 Salário Mín.</v>
          </cell>
          <cell r="D12">
            <v>1382975</v>
          </cell>
          <cell r="E12">
            <v>187.10513202999999</v>
          </cell>
          <cell r="F12">
            <v>29.350192759999999</v>
          </cell>
          <cell r="G12">
            <v>55.864122449999996</v>
          </cell>
          <cell r="H12">
            <v>41.477300339999999</v>
          </cell>
          <cell r="I12">
            <v>119.06376768000001</v>
          </cell>
          <cell r="J12">
            <v>10.182528019999999</v>
          </cell>
          <cell r="K12">
            <v>35.66295607</v>
          </cell>
          <cell r="L12">
            <v>5.7345769999999997E-2</v>
          </cell>
          <cell r="M12">
            <v>16.567771229999998</v>
          </cell>
          <cell r="N12">
            <v>20.370092039999975</v>
          </cell>
          <cell r="O12">
            <v>152.37542245999998</v>
          </cell>
          <cell r="P12">
            <v>7.2480399999999999E-3</v>
          </cell>
          <cell r="Q12">
            <v>37.476857610000003</v>
          </cell>
          <cell r="R12">
            <v>2.0960900000000001E-3</v>
          </cell>
          <cell r="S12">
            <v>37.835441949999996</v>
          </cell>
          <cell r="T12">
            <v>84309.10302255</v>
          </cell>
          <cell r="U12">
            <v>10726.49967191</v>
          </cell>
        </row>
        <row r="13">
          <cell r="C13" t="str">
            <v>1/2 a 1 Salário Mín.</v>
          </cell>
          <cell r="D13">
            <v>500658</v>
          </cell>
          <cell r="E13">
            <v>3166.13891487</v>
          </cell>
          <cell r="F13">
            <v>57.601547539999999</v>
          </cell>
          <cell r="G13">
            <v>183.72328061000002</v>
          </cell>
          <cell r="H13">
            <v>94.075535150000022</v>
          </cell>
          <cell r="I13">
            <v>56.311115520000001</v>
          </cell>
          <cell r="J13">
            <v>6.4643623899999998</v>
          </cell>
          <cell r="K13">
            <v>20.199559860000001</v>
          </cell>
          <cell r="L13">
            <v>0.32741054999999997</v>
          </cell>
          <cell r="M13">
            <v>3.8199196400000002</v>
          </cell>
          <cell r="N13">
            <v>417.21455100000003</v>
          </cell>
          <cell r="O13">
            <v>2611.5504979300003</v>
          </cell>
          <cell r="P13">
            <v>4.2474729999999995E-2</v>
          </cell>
          <cell r="Q13">
            <v>10.061186599999999</v>
          </cell>
          <cell r="R13">
            <v>1.8069080000000001E-2</v>
          </cell>
          <cell r="S13">
            <v>10.13574768</v>
          </cell>
          <cell r="T13">
            <v>22656.503381560004</v>
          </cell>
          <cell r="U13">
            <v>2055.45275309</v>
          </cell>
        </row>
        <row r="14">
          <cell r="C14" t="str">
            <v>1 a 2 Salários Mín.</v>
          </cell>
          <cell r="D14">
            <v>1047405</v>
          </cell>
          <cell r="E14">
            <v>10255.35983852</v>
          </cell>
          <cell r="F14">
            <v>385.22945361999996</v>
          </cell>
          <cell r="G14">
            <v>1333.1357426200002</v>
          </cell>
          <cell r="H14">
            <v>219.54487688</v>
          </cell>
          <cell r="I14">
            <v>198.75161856</v>
          </cell>
          <cell r="J14">
            <v>29.590102659999999</v>
          </cell>
          <cell r="K14">
            <v>93.346457540000003</v>
          </cell>
          <cell r="L14">
            <v>3.6549087500000002</v>
          </cell>
          <cell r="M14">
            <v>18.520273810000003</v>
          </cell>
          <cell r="N14">
            <v>1278.1957668099999</v>
          </cell>
          <cell r="O14">
            <v>8520.9898033499994</v>
          </cell>
          <cell r="P14">
            <v>0.29313312999999996</v>
          </cell>
          <cell r="Q14">
            <v>51.992056640000001</v>
          </cell>
          <cell r="R14">
            <v>9.7314789999999998E-2</v>
          </cell>
          <cell r="S14">
            <v>52.375777990000003</v>
          </cell>
          <cell r="T14">
            <v>55096.233401289996</v>
          </cell>
          <cell r="U14">
            <v>5602.0975366300008</v>
          </cell>
        </row>
        <row r="15">
          <cell r="C15" t="str">
            <v>2 a 3 Salários Mín.</v>
          </cell>
          <cell r="D15">
            <v>2185271</v>
          </cell>
          <cell r="E15">
            <v>37732.068081110003</v>
          </cell>
          <cell r="F15">
            <v>1150.07729537</v>
          </cell>
          <cell r="G15">
            <v>3173.2449889500003</v>
          </cell>
          <cell r="H15">
            <v>616.11568051999996</v>
          </cell>
          <cell r="I15">
            <v>485.74360031999998</v>
          </cell>
          <cell r="J15">
            <v>80.268591819999997</v>
          </cell>
          <cell r="K15">
            <v>220.90131940000001</v>
          </cell>
          <cell r="L15">
            <v>18.309780379999999</v>
          </cell>
          <cell r="M15">
            <v>28.29736114</v>
          </cell>
          <cell r="N15">
            <v>5299.0979306400004</v>
          </cell>
          <cell r="O15">
            <v>31146.166341309996</v>
          </cell>
          <cell r="P15">
            <v>1.1925911500000002</v>
          </cell>
          <cell r="Q15">
            <v>141.96887706999999</v>
          </cell>
          <cell r="R15">
            <v>0.65937692000000003</v>
          </cell>
          <cell r="S15">
            <v>143.38147545000001</v>
          </cell>
          <cell r="T15">
            <v>119589.83527159999</v>
          </cell>
          <cell r="U15">
            <v>9849.0415508799997</v>
          </cell>
        </row>
        <row r="16">
          <cell r="C16" t="str">
            <v>3 a 5 Salários Mín.</v>
          </cell>
          <cell r="D16">
            <v>7783384</v>
          </cell>
          <cell r="E16">
            <v>196466.69959321001</v>
          </cell>
          <cell r="F16">
            <v>10106.99615182</v>
          </cell>
          <cell r="G16">
            <v>17519.49762568</v>
          </cell>
          <cell r="H16">
            <v>5785.4729573600007</v>
          </cell>
          <cell r="I16">
            <v>6668.2720156800005</v>
          </cell>
          <cell r="J16">
            <v>1978.17226121</v>
          </cell>
          <cell r="K16">
            <v>3549.5029508899997</v>
          </cell>
          <cell r="L16">
            <v>302.11329267000002</v>
          </cell>
          <cell r="M16">
            <v>754.16055619999986</v>
          </cell>
          <cell r="N16">
            <v>27329.392466150002</v>
          </cell>
          <cell r="O16">
            <v>150879.84329304</v>
          </cell>
          <cell r="P16">
            <v>837.82926283999996</v>
          </cell>
          <cell r="Q16">
            <v>1959.2235902799998</v>
          </cell>
          <cell r="R16">
            <v>213.43121962999999</v>
          </cell>
          <cell r="S16">
            <v>1357.02759717</v>
          </cell>
          <cell r="T16">
            <v>451574.25685216003</v>
          </cell>
          <cell r="U16">
            <v>68941.29601726</v>
          </cell>
        </row>
        <row r="17">
          <cell r="C17" t="str">
            <v>5 a 10 Salários Mín.</v>
          </cell>
          <cell r="D17">
            <v>7218899</v>
          </cell>
          <cell r="E17">
            <v>303518.06564884004</v>
          </cell>
          <cell r="F17">
            <v>21585.447915330002</v>
          </cell>
          <cell r="G17">
            <v>50149.666367769998</v>
          </cell>
          <cell r="H17">
            <v>13634.328795200001</v>
          </cell>
          <cell r="I17">
            <v>11732.149197120001</v>
          </cell>
          <cell r="J17">
            <v>7190.8122535500006</v>
          </cell>
          <cell r="K17">
            <v>13469.83021468</v>
          </cell>
          <cell r="L17">
            <v>1600.2397049900001</v>
          </cell>
          <cell r="M17">
            <v>2898.9968328299997</v>
          </cell>
          <cell r="N17">
            <v>31655.698080349997</v>
          </cell>
          <cell r="O17">
            <v>222120.75334468001</v>
          </cell>
          <cell r="P17">
            <v>10063.17306725</v>
          </cell>
          <cell r="Q17">
            <v>12870.17856592</v>
          </cell>
          <cell r="R17">
            <v>1912.6737469</v>
          </cell>
          <cell r="S17">
            <v>4847.2016611899999</v>
          </cell>
          <cell r="T17">
            <v>673457.38878697995</v>
          </cell>
          <cell r="U17">
            <v>95320.945745100005</v>
          </cell>
        </row>
        <row r="18">
          <cell r="C18" t="str">
            <v>10 a 20 Salários Mín.</v>
          </cell>
          <cell r="D18">
            <v>3471099</v>
          </cell>
          <cell r="E18">
            <v>261676.83203126001</v>
          </cell>
          <cell r="F18">
            <v>22562.766868450002</v>
          </cell>
          <cell r="G18">
            <v>72667.989267069992</v>
          </cell>
          <cell r="H18">
            <v>12066.726367339998</v>
          </cell>
          <cell r="I18">
            <v>5874.4306262399996</v>
          </cell>
          <cell r="J18">
            <v>5250.2475129100003</v>
          </cell>
          <cell r="K18">
            <v>12923.311020930001</v>
          </cell>
          <cell r="L18">
            <v>2720.1107209499996</v>
          </cell>
          <cell r="M18">
            <v>3024.4726315500002</v>
          </cell>
          <cell r="N18">
            <v>20413.380933159999</v>
          </cell>
          <cell r="O18">
            <v>199981.51548147999</v>
          </cell>
          <cell r="P18">
            <v>26820.73090671</v>
          </cell>
          <cell r="Q18">
            <v>27164.05781559</v>
          </cell>
          <cell r="R18">
            <v>3686.1794625899997</v>
          </cell>
          <cell r="S18">
            <v>4251.7402427899997</v>
          </cell>
          <cell r="T18">
            <v>742830.37083866005</v>
          </cell>
          <cell r="U18">
            <v>81023.208505449991</v>
          </cell>
        </row>
        <row r="19">
          <cell r="C19" t="str">
            <v>20 a 40 Salários Mín.</v>
          </cell>
          <cell r="D19">
            <v>1527419</v>
          </cell>
          <cell r="E19">
            <v>201719.26054699</v>
          </cell>
          <cell r="F19">
            <v>23152.927096170002</v>
          </cell>
          <cell r="G19">
            <v>87897.510884239993</v>
          </cell>
          <cell r="H19">
            <v>12975.67514055</v>
          </cell>
          <cell r="I19">
            <v>2680.62710784</v>
          </cell>
          <cell r="J19">
            <v>2403.6065649799998</v>
          </cell>
          <cell r="K19">
            <v>9328.9056778700015</v>
          </cell>
          <cell r="L19">
            <v>2913.5022466300002</v>
          </cell>
          <cell r="M19">
            <v>2830.7218190499998</v>
          </cell>
          <cell r="N19">
            <v>5312.1223793600002</v>
          </cell>
          <cell r="O19">
            <v>164037.25647286</v>
          </cell>
          <cell r="P19">
            <v>32816.236577160002</v>
          </cell>
          <cell r="Q19">
            <v>31422.200838869998</v>
          </cell>
          <cell r="R19">
            <v>3343.84498282</v>
          </cell>
          <cell r="S19">
            <v>2188.4617164199999</v>
          </cell>
          <cell r="T19">
            <v>766157.54302614997</v>
          </cell>
          <cell r="U19">
            <v>68312.875118430005</v>
          </cell>
        </row>
        <row r="20">
          <cell r="C20" t="str">
            <v>40 a 80 Salários Mín.</v>
          </cell>
          <cell r="D20">
            <v>540427</v>
          </cell>
          <cell r="E20">
            <v>109063.69739439999</v>
          </cell>
          <cell r="F20">
            <v>20047.31464615</v>
          </cell>
          <cell r="G20">
            <v>86791.056554729992</v>
          </cell>
          <cell r="H20">
            <v>7159.0187106500016</v>
          </cell>
          <cell r="I20">
            <v>906.84276671999999</v>
          </cell>
          <cell r="J20">
            <v>797.2652176900001</v>
          </cell>
          <cell r="K20">
            <v>4312.4599403599996</v>
          </cell>
          <cell r="L20">
            <v>2387.5185109399999</v>
          </cell>
          <cell r="M20">
            <v>1538.9033171099998</v>
          </cell>
          <cell r="N20">
            <v>1493.6462041300001</v>
          </cell>
          <cell r="O20">
            <v>90895.990819649989</v>
          </cell>
          <cell r="P20">
            <v>20878.630558190001</v>
          </cell>
          <cell r="Q20">
            <v>19350.989162309997</v>
          </cell>
          <cell r="R20">
            <v>2164.6963711799999</v>
          </cell>
          <cell r="S20">
            <v>967.03720586000009</v>
          </cell>
          <cell r="T20">
            <v>603812.22389221995</v>
          </cell>
          <cell r="U20">
            <v>41115.680850930003</v>
          </cell>
        </row>
        <row r="21">
          <cell r="C21" t="str">
            <v>80 a 160 Salários Mín.</v>
          </cell>
          <cell r="D21">
            <v>142576</v>
          </cell>
          <cell r="E21">
            <v>35900.605276790004</v>
          </cell>
          <cell r="F21">
            <v>13258.8119895</v>
          </cell>
          <cell r="G21">
            <v>65089.928526399999</v>
          </cell>
          <cell r="H21">
            <v>1701.67809835</v>
          </cell>
          <cell r="I21">
            <v>209.72316287999999</v>
          </cell>
          <cell r="J21">
            <v>178.19959855000002</v>
          </cell>
          <cell r="K21">
            <v>1183.5409616400002</v>
          </cell>
          <cell r="L21">
            <v>1148.4305856800001</v>
          </cell>
          <cell r="M21">
            <v>417.20381444999998</v>
          </cell>
          <cell r="N21">
            <v>477.97386704000019</v>
          </cell>
          <cell r="O21">
            <v>30724.614713280003</v>
          </cell>
          <cell r="P21">
            <v>7495.2860985899997</v>
          </cell>
          <cell r="Q21">
            <v>6608.2560682499998</v>
          </cell>
          <cell r="R21">
            <v>990.31513770000004</v>
          </cell>
          <cell r="S21">
            <v>293.44689247999997</v>
          </cell>
          <cell r="T21">
            <v>380634.85847092001</v>
          </cell>
          <cell r="U21">
            <v>22822.1200197</v>
          </cell>
        </row>
        <row r="22">
          <cell r="C22" t="str">
            <v>&gt; 160 Salários Mín.</v>
          </cell>
          <cell r="D22">
            <v>73743</v>
          </cell>
          <cell r="E22">
            <v>37070.196996819999</v>
          </cell>
          <cell r="F22">
            <v>69091.011928370004</v>
          </cell>
          <cell r="G22">
            <v>181507.34660906001</v>
          </cell>
          <cell r="H22">
            <v>982.09415668999986</v>
          </cell>
          <cell r="I22">
            <v>101.22217248</v>
          </cell>
          <cell r="J22">
            <v>83.191756499999997</v>
          </cell>
          <cell r="K22">
            <v>786.53433147999999</v>
          </cell>
          <cell r="L22">
            <v>4381.4588592700002</v>
          </cell>
          <cell r="M22">
            <v>332.29923985000005</v>
          </cell>
          <cell r="N22">
            <v>267.13971715000025</v>
          </cell>
          <cell r="O22">
            <v>30302.906419589999</v>
          </cell>
          <cell r="P22">
            <v>7832.2259891900003</v>
          </cell>
          <cell r="Q22">
            <v>6475.5786035700003</v>
          </cell>
          <cell r="R22">
            <v>1447.47375564</v>
          </cell>
          <cell r="S22">
            <v>226.02536548999998</v>
          </cell>
          <cell r="T22">
            <v>1183495.3179168999</v>
          </cell>
          <cell r="U22">
            <v>52244.910139489999</v>
          </cell>
        </row>
        <row r="23">
          <cell r="C23" t="str">
            <v xml:space="preserve">    Total</v>
          </cell>
          <cell r="D23">
            <v>25873856</v>
          </cell>
          <cell r="E23">
            <v>1196756.0294548399</v>
          </cell>
          <cell r="F23">
            <v>181427.53508508002</v>
          </cell>
          <cell r="G23">
            <v>566368.96396958001</v>
          </cell>
          <cell r="H23">
            <v>55276.207619029999</v>
          </cell>
          <cell r="I23">
            <v>29033.137151039999</v>
          </cell>
          <cell r="J23">
            <v>18008.00075028</v>
          </cell>
          <cell r="K23">
            <v>45924.19539072</v>
          </cell>
          <cell r="L23">
            <v>15475.723366580001</v>
          </cell>
          <cell r="M23">
            <v>11863.963536859999</v>
          </cell>
          <cell r="N23">
            <v>93964.23198782999</v>
          </cell>
          <cell r="O23">
            <v>931373.96260962996</v>
          </cell>
          <cell r="P23">
            <v>106745.64790698</v>
          </cell>
          <cell r="Q23">
            <v>106091.98362271</v>
          </cell>
          <cell r="R23">
            <v>13759.391533339998</v>
          </cell>
          <cell r="S23">
            <v>14374.66912447</v>
          </cell>
          <cell r="T23">
            <v>5083613.6348609896</v>
          </cell>
          <cell r="U23">
            <v>458014.12790886994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T1"/>
      <sheetName val="P2_T2"/>
      <sheetName val="P3_T3_gender"/>
      <sheetName val="P4_P5_T4_age"/>
      <sheetName val="P6_P7_T5"/>
      <sheetName val="P8_P9_T6"/>
      <sheetName val="P10_P11_T7"/>
      <sheetName val="P12_P13_T8"/>
      <sheetName val="P14_P15_T9_gross total income"/>
      <sheetName val="P16_P17_T10"/>
      <sheetName val="P18_T11"/>
      <sheetName val="P19-26_T12"/>
      <sheetName val="P27_40_T13"/>
      <sheetName val="P41_T14"/>
      <sheetName val="P42_T14"/>
      <sheetName val="P43_T14"/>
      <sheetName val="P44_T15"/>
      <sheetName val="P45_T16"/>
      <sheetName val="P46_T17"/>
      <sheetName val="P47_T18"/>
      <sheetName val="P48_T19_taxed excl "/>
      <sheetName val="P49_T20_nontaxable"/>
      <sheetName val="P50_T21"/>
      <sheetName val="P51_T22"/>
      <sheetName val="P52_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Rendimento Total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 Salário Mín.</v>
          </cell>
          <cell r="D12">
            <v>1268688</v>
          </cell>
          <cell r="E12">
            <v>209.84126642000001</v>
          </cell>
          <cell r="F12">
            <v>34.971421769999999</v>
          </cell>
          <cell r="G12">
            <v>64.808457729999986</v>
          </cell>
          <cell r="H12">
            <v>31.09505905</v>
          </cell>
          <cell r="I12">
            <v>140.77945715999999</v>
          </cell>
          <cell r="J12">
            <v>13.25903192</v>
          </cell>
          <cell r="K12">
            <v>47.933465380000001</v>
          </cell>
          <cell r="L12">
            <v>5.429146E-2</v>
          </cell>
          <cell r="M12">
            <v>19.997503930000001</v>
          </cell>
          <cell r="N12">
            <v>23.127539869999993</v>
          </cell>
          <cell r="O12">
            <v>168.98711556000001</v>
          </cell>
          <cell r="P12">
            <v>3.2488089999999997E-2</v>
          </cell>
          <cell r="Q12">
            <v>11.32690099</v>
          </cell>
          <cell r="R12">
            <v>2.2966599999999998E-3</v>
          </cell>
          <cell r="S12">
            <v>11.9020098</v>
          </cell>
          <cell r="T12">
            <v>91710.704227560011</v>
          </cell>
          <cell r="U12">
            <v>7663.4650582599998</v>
          </cell>
        </row>
        <row r="13">
          <cell r="C13" t="str">
            <v>1/2 a 1 Salário Mín.</v>
          </cell>
          <cell r="D13">
            <v>518341</v>
          </cell>
          <cell r="E13">
            <v>3570.93204711</v>
          </cell>
          <cell r="F13">
            <v>70.465600039999998</v>
          </cell>
          <cell r="G13">
            <v>214.95198968</v>
          </cell>
          <cell r="H13">
            <v>101.81808916999999</v>
          </cell>
          <cell r="I13">
            <v>67.231327559999997</v>
          </cell>
          <cell r="J13">
            <v>9.4350851899999988</v>
          </cell>
          <cell r="K13">
            <v>28.652667829999999</v>
          </cell>
          <cell r="L13">
            <v>0.33991053000000004</v>
          </cell>
          <cell r="M13">
            <v>5.4350513099999995</v>
          </cell>
          <cell r="N13">
            <v>472.49896712000003</v>
          </cell>
          <cell r="O13">
            <v>2934.1175914800006</v>
          </cell>
          <cell r="P13">
            <v>5.6942090000000001E-2</v>
          </cell>
          <cell r="Q13">
            <v>11.295647670000001</v>
          </cell>
          <cell r="R13">
            <v>2.4759419999999997E-2</v>
          </cell>
          <cell r="S13">
            <v>11.41301112</v>
          </cell>
          <cell r="T13">
            <v>28847.878026270002</v>
          </cell>
          <cell r="U13">
            <v>2846.02223177</v>
          </cell>
        </row>
        <row r="14">
          <cell r="C14" t="str">
            <v>1 a 2 Salários Mín.</v>
          </cell>
          <cell r="D14">
            <v>1075827</v>
          </cell>
          <cell r="E14">
            <v>11489.816499790002</v>
          </cell>
          <cell r="F14">
            <v>462.19323253000005</v>
          </cell>
          <cell r="G14">
            <v>1595.3603585199999</v>
          </cell>
          <cell r="H14">
            <v>253.80573530000001</v>
          </cell>
          <cell r="I14">
            <v>225.00279648</v>
          </cell>
          <cell r="J14">
            <v>37.433318530000001</v>
          </cell>
          <cell r="K14">
            <v>118.50549619</v>
          </cell>
          <cell r="L14">
            <v>4.2427922100000002</v>
          </cell>
          <cell r="M14">
            <v>14.666558040000002</v>
          </cell>
          <cell r="N14">
            <v>1443.2283510700001</v>
          </cell>
          <cell r="O14">
            <v>9503.5754111499991</v>
          </cell>
          <cell r="P14">
            <v>0.36576500000000001</v>
          </cell>
          <cell r="Q14">
            <v>64.642018629999995</v>
          </cell>
          <cell r="R14">
            <v>0.14009321999999999</v>
          </cell>
          <cell r="S14">
            <v>65.098488079999996</v>
          </cell>
          <cell r="T14">
            <v>63828.278071790002</v>
          </cell>
          <cell r="U14">
            <v>6857.7573505</v>
          </cell>
        </row>
        <row r="15">
          <cell r="C15" t="str">
            <v>2 a 3 Salários Mín.</v>
          </cell>
          <cell r="D15">
            <v>2692915</v>
          </cell>
          <cell r="E15">
            <v>52210.327568070003</v>
          </cell>
          <cell r="F15">
            <v>1588.0668366999998</v>
          </cell>
          <cell r="G15">
            <v>4045.0235957599998</v>
          </cell>
          <cell r="H15">
            <v>845.71657845999994</v>
          </cell>
          <cell r="I15">
            <v>614.90074715999992</v>
          </cell>
          <cell r="J15">
            <v>109.34103909999999</v>
          </cell>
          <cell r="K15">
            <v>340.67599786</v>
          </cell>
          <cell r="L15">
            <v>29.111671600000001</v>
          </cell>
          <cell r="M15">
            <v>45.464629090000003</v>
          </cell>
          <cell r="N15">
            <v>7947.0773465300008</v>
          </cell>
          <cell r="O15">
            <v>42586.911560799999</v>
          </cell>
          <cell r="P15">
            <v>1.8819723799999999</v>
          </cell>
          <cell r="Q15">
            <v>186.80357405000001</v>
          </cell>
          <cell r="R15">
            <v>1.1483390500000001</v>
          </cell>
          <cell r="S15">
            <v>189.03955948999999</v>
          </cell>
          <cell r="T15">
            <v>162664.67519040999</v>
          </cell>
          <cell r="U15">
            <v>47395.748353829993</v>
          </cell>
        </row>
        <row r="16">
          <cell r="C16" t="str">
            <v>3 a 5 Salários Mín.</v>
          </cell>
          <cell r="D16">
            <v>7882026</v>
          </cell>
          <cell r="E16">
            <v>215199.90025609001</v>
          </cell>
          <cell r="F16">
            <v>13690.81096556</v>
          </cell>
          <cell r="G16">
            <v>21127.669187380001</v>
          </cell>
          <cell r="H16">
            <v>7806.7210924999999</v>
          </cell>
          <cell r="I16">
            <v>7717.5162627600002</v>
          </cell>
          <cell r="J16">
            <v>2448.5856781399998</v>
          </cell>
          <cell r="K16">
            <v>4779.40380723</v>
          </cell>
          <cell r="L16">
            <v>363.67575582999996</v>
          </cell>
          <cell r="M16">
            <v>967.54436340999996</v>
          </cell>
          <cell r="N16">
            <v>28718.929579599993</v>
          </cell>
          <cell r="O16">
            <v>164146.26350899998</v>
          </cell>
          <cell r="P16">
            <v>1180.95926201</v>
          </cell>
          <cell r="Q16">
            <v>2534.9345218200001</v>
          </cell>
          <cell r="R16">
            <v>283.52612868</v>
          </cell>
          <cell r="S16">
            <v>1664.44225345</v>
          </cell>
          <cell r="T16">
            <v>489763.46020329004</v>
          </cell>
          <cell r="U16">
            <v>51170.119070400004</v>
          </cell>
        </row>
        <row r="17">
          <cell r="C17" t="str">
            <v>5 a 10 Salários Mín.</v>
          </cell>
          <cell r="D17">
            <v>7300376</v>
          </cell>
          <cell r="E17">
            <v>331748.06552414998</v>
          </cell>
          <cell r="F17">
            <v>29400.127890939999</v>
          </cell>
          <cell r="G17">
            <v>57666.97844875</v>
          </cell>
          <cell r="H17">
            <v>15405.950535060001</v>
          </cell>
          <cell r="I17">
            <v>11858.24913192</v>
          </cell>
          <cell r="J17">
            <v>7602.9542667599999</v>
          </cell>
          <cell r="K17">
            <v>15148.864452440001</v>
          </cell>
          <cell r="L17">
            <v>1782.73999968</v>
          </cell>
          <cell r="M17">
            <v>3259.6174304799997</v>
          </cell>
          <cell r="N17">
            <v>34940.499290449981</v>
          </cell>
          <cell r="O17">
            <v>243230.76310061998</v>
          </cell>
          <cell r="P17">
            <v>12135.90712856</v>
          </cell>
          <cell r="Q17">
            <v>15419.108205459997</v>
          </cell>
          <cell r="R17">
            <v>2250.8500249099998</v>
          </cell>
          <cell r="S17">
            <v>5680.1389296500001</v>
          </cell>
          <cell r="T17">
            <v>757644.06898645998</v>
          </cell>
          <cell r="U17">
            <v>89089.03986081999</v>
          </cell>
        </row>
        <row r="18">
          <cell r="C18" t="str">
            <v>10 a 20 Salários Mín.</v>
          </cell>
          <cell r="D18">
            <v>3522174</v>
          </cell>
          <cell r="E18">
            <v>285867.49487622001</v>
          </cell>
          <cell r="F18">
            <v>30799.375713640002</v>
          </cell>
          <cell r="G18">
            <v>82919.928656510005</v>
          </cell>
          <cell r="H18">
            <v>13761.350007329998</v>
          </cell>
          <cell r="I18">
            <v>5944.31502</v>
          </cell>
          <cell r="J18">
            <v>5358.6510523799998</v>
          </cell>
          <cell r="K18">
            <v>14146.33033029</v>
          </cell>
          <cell r="L18">
            <v>3016.3715382600003</v>
          </cell>
          <cell r="M18">
            <v>3442.3290272700001</v>
          </cell>
          <cell r="N18">
            <v>21328.747371400001</v>
          </cell>
          <cell r="O18">
            <v>219627.63503445001</v>
          </cell>
          <cell r="P18">
            <v>30517.32187199</v>
          </cell>
          <cell r="Q18">
            <v>31284.31460446</v>
          </cell>
          <cell r="R18">
            <v>3945.6650348000003</v>
          </cell>
          <cell r="S18">
            <v>4955.4185790900001</v>
          </cell>
          <cell r="T18">
            <v>863634.45039100992</v>
          </cell>
          <cell r="U18">
            <v>93949.29144932999</v>
          </cell>
        </row>
        <row r="19">
          <cell r="C19" t="str">
            <v>20 a 40 Salários Mín.</v>
          </cell>
          <cell r="D19">
            <v>1507344</v>
          </cell>
          <cell r="E19">
            <v>212059.52792891001</v>
          </cell>
          <cell r="F19">
            <v>29273.569392750003</v>
          </cell>
          <cell r="G19">
            <v>99738.681584689999</v>
          </cell>
          <cell r="H19">
            <v>14291.418526519999</v>
          </cell>
          <cell r="I19">
            <v>2628.2519040000002</v>
          </cell>
          <cell r="J19">
            <v>2337.6949863600003</v>
          </cell>
          <cell r="K19">
            <v>9941.3667238199996</v>
          </cell>
          <cell r="L19">
            <v>3186.02562214</v>
          </cell>
          <cell r="M19">
            <v>2931.96174509</v>
          </cell>
          <cell r="N19">
            <v>5257.9902525700018</v>
          </cell>
          <cell r="O19">
            <v>172428.69607891998</v>
          </cell>
          <cell r="P19">
            <v>34793.946319410003</v>
          </cell>
          <cell r="Q19">
            <v>33546.958238530002</v>
          </cell>
          <cell r="R19">
            <v>3416.3257579599999</v>
          </cell>
          <cell r="S19">
            <v>2415.25185126</v>
          </cell>
          <cell r="T19">
            <v>946214.97661140992</v>
          </cell>
          <cell r="U19">
            <v>77849.081224470006</v>
          </cell>
        </row>
        <row r="20">
          <cell r="C20" t="str">
            <v>40 a 80 Salários Mín.</v>
          </cell>
          <cell r="D20">
            <v>518567</v>
          </cell>
          <cell r="E20">
            <v>109013.0396316</v>
          </cell>
          <cell r="F20">
            <v>22815.39257683</v>
          </cell>
          <cell r="G20">
            <v>96755.769979289995</v>
          </cell>
          <cell r="H20">
            <v>7299.8581936200007</v>
          </cell>
          <cell r="I20">
            <v>883.64239344000009</v>
          </cell>
          <cell r="J20">
            <v>769.36796222999999</v>
          </cell>
          <cell r="K20">
            <v>4451.1942034899994</v>
          </cell>
          <cell r="L20">
            <v>2507.3683789299998</v>
          </cell>
          <cell r="M20">
            <v>1518.7947990099999</v>
          </cell>
          <cell r="N20">
            <v>1501.694200320002</v>
          </cell>
          <cell r="O20">
            <v>90550.64955967998</v>
          </cell>
          <cell r="P20">
            <v>20764.62631852</v>
          </cell>
          <cell r="Q20">
            <v>19223.026796710001</v>
          </cell>
          <cell r="R20">
            <v>2192.8567674199999</v>
          </cell>
          <cell r="S20">
            <v>998.73967427999992</v>
          </cell>
          <cell r="T20">
            <v>703606.23908507999</v>
          </cell>
          <cell r="U20">
            <v>46862.445153159999</v>
          </cell>
        </row>
        <row r="21">
          <cell r="C21" t="str">
            <v>80 a 160 Salários Mín.</v>
          </cell>
          <cell r="D21">
            <v>136718</v>
          </cell>
          <cell r="E21">
            <v>34452.138270869997</v>
          </cell>
          <cell r="F21">
            <v>14716.583701359999</v>
          </cell>
          <cell r="G21">
            <v>72002.39624627</v>
          </cell>
          <cell r="H21">
            <v>1611.89679093</v>
          </cell>
          <cell r="I21">
            <v>205.10724324</v>
          </cell>
          <cell r="J21">
            <v>175.44489471</v>
          </cell>
          <cell r="K21">
            <v>1212.5316265599999</v>
          </cell>
          <cell r="L21">
            <v>1281.3760032499999</v>
          </cell>
          <cell r="M21">
            <v>401.50110074000003</v>
          </cell>
          <cell r="N21">
            <v>482.34428650999962</v>
          </cell>
          <cell r="O21">
            <v>29216.477645970001</v>
          </cell>
          <cell r="P21">
            <v>7074.2806614599995</v>
          </cell>
          <cell r="Q21">
            <v>6191.1422391799997</v>
          </cell>
          <cell r="R21">
            <v>971.94098785000006</v>
          </cell>
          <cell r="S21">
            <v>299.71364258</v>
          </cell>
          <cell r="T21">
            <v>453223.16207492002</v>
          </cell>
          <cell r="U21">
            <v>27084.970354550002</v>
          </cell>
        </row>
        <row r="22">
          <cell r="C22" t="str">
            <v>&gt; 160 Salários Mín.</v>
          </cell>
          <cell r="D22">
            <v>71440</v>
          </cell>
          <cell r="E22">
            <v>37384.21782369</v>
          </cell>
          <cell r="F22">
            <v>64509.891530840003</v>
          </cell>
          <cell r="G22">
            <v>196039.69319580001</v>
          </cell>
          <cell r="H22">
            <v>953.3476774799999</v>
          </cell>
          <cell r="I22">
            <v>100.13400372</v>
          </cell>
          <cell r="J22">
            <v>82.537378540000006</v>
          </cell>
          <cell r="K22">
            <v>804.23993832000008</v>
          </cell>
          <cell r="L22">
            <v>4919.1005423400002</v>
          </cell>
          <cell r="M22">
            <v>336.59370268999999</v>
          </cell>
          <cell r="N22">
            <v>269.63174769999932</v>
          </cell>
          <cell r="O22">
            <v>30117.87804268</v>
          </cell>
          <cell r="P22">
            <v>7763.0102949399998</v>
          </cell>
          <cell r="Q22">
            <v>6328.8323721100005</v>
          </cell>
          <cell r="R22">
            <v>1500.59729679</v>
          </cell>
          <cell r="S22">
            <v>212.37049986000002</v>
          </cell>
          <cell r="T22">
            <v>1264339.80616746</v>
          </cell>
          <cell r="U22">
            <v>58130.509370349995</v>
          </cell>
        </row>
        <row r="23">
          <cell r="C23" t="str">
            <v xml:space="preserve">    Total</v>
          </cell>
          <cell r="D23">
            <v>26494416</v>
          </cell>
          <cell r="E23">
            <v>1293205.3016929203</v>
          </cell>
          <cell r="F23">
            <v>207361.44886296004</v>
          </cell>
          <cell r="G23">
            <v>632171.26170038001</v>
          </cell>
          <cell r="H23">
            <v>62362.978285419995</v>
          </cell>
          <cell r="I23">
            <v>30385.130287439999</v>
          </cell>
          <cell r="J23">
            <v>18944.704693860003</v>
          </cell>
          <cell r="K23">
            <v>51019.698709409997</v>
          </cell>
          <cell r="L23">
            <v>17090.40650623</v>
          </cell>
          <cell r="M23">
            <v>12943.905911060001</v>
          </cell>
          <cell r="N23">
            <v>102385.76893313999</v>
          </cell>
          <cell r="O23">
            <v>1004511.95465031</v>
          </cell>
          <cell r="P23">
            <v>114232.38902444999</v>
          </cell>
          <cell r="Q23">
            <v>114802.38511961</v>
          </cell>
          <cell r="R23">
            <v>14563.077486759999</v>
          </cell>
          <cell r="S23">
            <v>16503.528498659998</v>
          </cell>
          <cell r="T23">
            <v>5825477.6990356604</v>
          </cell>
          <cell r="U23">
            <v>508898.44947743998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_AC2014"/>
      <sheetName val="T2_AC2014"/>
      <sheetName val="T3_AC2014"/>
      <sheetName val="T4_AC2014"/>
      <sheetName val="T5_AC2014"/>
      <sheetName val="T6_AC2014"/>
      <sheetName val="T7_AC2014"/>
      <sheetName val="T8_AC2014"/>
      <sheetName val="T9_AC2014"/>
      <sheetName val="T10_AC2014"/>
      <sheetName val="T11_AC2014"/>
      <sheetName val="T12_AC2014"/>
      <sheetName val="T12A_AC2014"/>
      <sheetName val="T12B_AC2014"/>
      <sheetName val="T13_AC2014"/>
      <sheetName val="T14-1_AC2014"/>
      <sheetName val="T14-2_AC2014"/>
      <sheetName val="T14-3_AC2014"/>
      <sheetName val="T15_AC2014"/>
      <sheetName val="T16_AC2014"/>
      <sheetName val="T17_AC2014"/>
      <sheetName val="T18_AC2014"/>
      <sheetName val="T19_AC2014"/>
      <sheetName val="T20_AC2014"/>
      <sheetName val="T21_AC2014"/>
      <sheetName val="T22_AC2014"/>
      <sheetName val="T23_AC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 t="str">
            <v>Valores R$ milhões</v>
          </cell>
        </row>
        <row r="10">
          <cell r="C10" t="str">
            <v>Faixa de Salário Mín. Mensal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</row>
        <row r="12">
          <cell r="C12" t="str">
            <v>Até 1/2</v>
          </cell>
          <cell r="D12">
            <v>1173389</v>
          </cell>
          <cell r="E12">
            <v>205.40746429999999</v>
          </cell>
          <cell r="F12">
            <v>37.112595409999997</v>
          </cell>
          <cell r="G12">
            <v>74.597223909999997</v>
          </cell>
          <cell r="H12">
            <v>23.293566590000001</v>
          </cell>
          <cell r="I12">
            <v>135.806847</v>
          </cell>
          <cell r="J12">
            <v>14.19964541</v>
          </cell>
          <cell r="K12">
            <v>59.545124289999997</v>
          </cell>
          <cell r="L12">
            <v>5.5175919999999996E-2</v>
          </cell>
          <cell r="M12">
            <v>13.583772230000001</v>
          </cell>
          <cell r="N12">
            <v>22.783235550000001</v>
          </cell>
          <cell r="O12">
            <v>164.83249608000003</v>
          </cell>
          <cell r="P12">
            <v>1.1965940000000001E-2</v>
          </cell>
          <cell r="Q12">
            <v>16.201266179999998</v>
          </cell>
          <cell r="R12">
            <v>2.3786999999999997E-3</v>
          </cell>
          <cell r="S12">
            <v>16.191678939999999</v>
          </cell>
          <cell r="T12">
            <v>129908.15489204001</v>
          </cell>
          <cell r="U12">
            <v>8676.9370572799999</v>
          </cell>
        </row>
        <row r="13">
          <cell r="C13" t="str">
            <v>Mais de 1/2 a 1</v>
          </cell>
          <cell r="D13">
            <v>501551</v>
          </cell>
          <cell r="E13">
            <v>3658.4012237699999</v>
          </cell>
          <cell r="F13">
            <v>73.39154619</v>
          </cell>
          <cell r="G13">
            <v>233.59602150000001</v>
          </cell>
          <cell r="H13">
            <v>107.22279976</v>
          </cell>
          <cell r="I13">
            <v>67.678067159999998</v>
          </cell>
          <cell r="J13">
            <v>9.41557931</v>
          </cell>
          <cell r="K13">
            <v>32.893917899999998</v>
          </cell>
          <cell r="L13">
            <v>0.37867878000000005</v>
          </cell>
          <cell r="M13">
            <v>4.3134759900000006</v>
          </cell>
          <cell r="N13">
            <v>487.12859784</v>
          </cell>
          <cell r="O13">
            <v>3003.6022651800004</v>
          </cell>
          <cell r="P13">
            <v>6.5253850000000002E-2</v>
          </cell>
          <cell r="Q13">
            <v>11.18778582</v>
          </cell>
          <cell r="R13">
            <v>3.2266160000000002E-2</v>
          </cell>
          <cell r="S13">
            <v>11.15479813</v>
          </cell>
          <cell r="T13">
            <v>29092.971896359999</v>
          </cell>
          <cell r="U13">
            <v>3260.7870425299998</v>
          </cell>
        </row>
        <row r="14">
          <cell r="C14" t="str">
            <v>Mais de 1 a 2</v>
          </cell>
          <cell r="D14">
            <v>1067416</v>
          </cell>
          <cell r="E14">
            <v>11796.582514539999</v>
          </cell>
          <cell r="F14">
            <v>489.02507142000002</v>
          </cell>
          <cell r="G14">
            <v>1802.5262321</v>
          </cell>
          <cell r="H14">
            <v>253.19486589999997</v>
          </cell>
          <cell r="I14">
            <v>230.26673603999998</v>
          </cell>
          <cell r="J14">
            <v>40.25019356</v>
          </cell>
          <cell r="K14">
            <v>131.59508037000001</v>
          </cell>
          <cell r="L14">
            <v>4.3121902499999996</v>
          </cell>
          <cell r="M14">
            <v>17.949831849999999</v>
          </cell>
          <cell r="N14">
            <v>1488.50737033</v>
          </cell>
          <cell r="O14">
            <v>9731.0876736400005</v>
          </cell>
          <cell r="P14">
            <v>0.36803996999999999</v>
          </cell>
          <cell r="Q14">
            <v>66.104060840000002</v>
          </cell>
          <cell r="R14">
            <v>0.1215865</v>
          </cell>
          <cell r="S14">
            <v>65.857607369999997</v>
          </cell>
          <cell r="T14">
            <v>73169.14169602</v>
          </cell>
          <cell r="U14">
            <v>9298.50887324</v>
          </cell>
        </row>
        <row r="15">
          <cell r="C15" t="str">
            <v>Mais de 2 a 3</v>
          </cell>
          <cell r="D15">
            <v>2744805</v>
          </cell>
          <cell r="E15">
            <v>55670.564952630004</v>
          </cell>
          <cell r="F15">
            <v>1718.0045174100001</v>
          </cell>
          <cell r="G15">
            <v>4570.7725616799999</v>
          </cell>
          <cell r="H15">
            <v>797.88301427999988</v>
          </cell>
          <cell r="I15">
            <v>633.13055027999997</v>
          </cell>
          <cell r="J15">
            <v>118.97349078000001</v>
          </cell>
          <cell r="K15">
            <v>357.08888349</v>
          </cell>
          <cell r="L15">
            <v>27.579263690000001</v>
          </cell>
          <cell r="M15">
            <v>46.764550049999997</v>
          </cell>
          <cell r="N15">
            <v>8571.1059779999996</v>
          </cell>
          <cell r="O15">
            <v>45311.253246599998</v>
          </cell>
          <cell r="P15">
            <v>2.1412395300000004</v>
          </cell>
          <cell r="Q15">
            <v>203.66661037</v>
          </cell>
          <cell r="R15">
            <v>1.3062978300000001</v>
          </cell>
          <cell r="S15">
            <v>202.83166867</v>
          </cell>
          <cell r="T15">
            <v>185521.33692294001</v>
          </cell>
          <cell r="U15">
            <v>18845.345662200001</v>
          </cell>
        </row>
        <row r="16">
          <cell r="C16" t="str">
            <v>Mais de 3 a 5</v>
          </cell>
          <cell r="D16">
            <v>8192562</v>
          </cell>
          <cell r="E16">
            <v>235060.25067939999</v>
          </cell>
          <cell r="F16">
            <v>15140.712707040002</v>
          </cell>
          <cell r="G16">
            <v>24223.619167520003</v>
          </cell>
          <cell r="H16">
            <v>8026.0024216699994</v>
          </cell>
          <cell r="I16">
            <v>8152.2731473200001</v>
          </cell>
          <cell r="J16">
            <v>2605.3466189699998</v>
          </cell>
          <cell r="K16">
            <v>5313.7102780100004</v>
          </cell>
          <cell r="L16">
            <v>381.59559182999999</v>
          </cell>
          <cell r="M16">
            <v>1009.17377</v>
          </cell>
          <cell r="N16">
            <v>31474.598816439997</v>
          </cell>
          <cell r="O16">
            <v>179437.17097323001</v>
          </cell>
          <cell r="P16">
            <v>1375.9819510799998</v>
          </cell>
          <cell r="Q16">
            <v>2913.71367693</v>
          </cell>
          <cell r="R16">
            <v>320.33272559</v>
          </cell>
          <cell r="S16">
            <v>1858.0644514399999</v>
          </cell>
          <cell r="T16">
            <v>545991.88901032996</v>
          </cell>
          <cell r="U16">
            <v>55543.535202309999</v>
          </cell>
        </row>
        <row r="17">
          <cell r="C17" t="str">
            <v>Mais de 5 a 7</v>
          </cell>
          <cell r="D17">
            <v>4396494</v>
          </cell>
          <cell r="E17">
            <v>181750.35612432999</v>
          </cell>
          <cell r="F17">
            <v>15405.33556901</v>
          </cell>
          <cell r="G17">
            <v>28390.881515679997</v>
          </cell>
          <cell r="H17">
            <v>8329.1240263899999</v>
          </cell>
          <cell r="I17">
            <v>6800.8704806400001</v>
          </cell>
          <cell r="J17">
            <v>3748.6147544400001</v>
          </cell>
          <cell r="K17">
            <v>7371.3540337499999</v>
          </cell>
          <cell r="L17">
            <v>689.78960672000005</v>
          </cell>
          <cell r="M17">
            <v>1469.77823932</v>
          </cell>
          <cell r="N17">
            <v>19825.347328700002</v>
          </cell>
          <cell r="O17">
            <v>134292.15527968999</v>
          </cell>
          <cell r="P17">
            <v>4344.3843185000005</v>
          </cell>
          <cell r="Q17">
            <v>6130.3613577699998</v>
          </cell>
          <cell r="R17">
            <v>854.46765389000007</v>
          </cell>
          <cell r="S17">
            <v>2640.44469316</v>
          </cell>
          <cell r="T17">
            <v>412820.69478546001</v>
          </cell>
          <cell r="U17">
            <v>57553.496363719998</v>
          </cell>
        </row>
        <row r="18">
          <cell r="C18" t="str">
            <v>Mais de 7 a 10</v>
          </cell>
          <cell r="D18">
            <v>3403789</v>
          </cell>
          <cell r="E18">
            <v>191033.22493149003</v>
          </cell>
          <cell r="F18">
            <v>17617.04631913</v>
          </cell>
          <cell r="G18">
            <v>37252.200754029996</v>
          </cell>
          <cell r="H18">
            <v>8212.5700185599999</v>
          </cell>
          <cell r="I18">
            <v>5612.0802045600003</v>
          </cell>
          <cell r="J18">
            <v>4231.5105038399997</v>
          </cell>
          <cell r="K18">
            <v>9200.1467568600001</v>
          </cell>
          <cell r="L18">
            <v>1108.1217621199999</v>
          </cell>
          <cell r="M18">
            <v>2007.3329202899999</v>
          </cell>
          <cell r="N18">
            <v>20554.994271389998</v>
          </cell>
          <cell r="O18">
            <v>140538.97199252999</v>
          </cell>
          <cell r="P18">
            <v>9717.4899379899998</v>
          </cell>
          <cell r="Q18">
            <v>11723.523980989999</v>
          </cell>
          <cell r="R18">
            <v>1695.6346198599999</v>
          </cell>
          <cell r="S18">
            <v>3701.66866286</v>
          </cell>
          <cell r="T18">
            <v>456989.66991960001</v>
          </cell>
          <cell r="U18">
            <v>74415.874385160001</v>
          </cell>
        </row>
        <row r="19">
          <cell r="C19" t="str">
            <v>Mais de 10 a 15</v>
          </cell>
          <cell r="D19">
            <v>2563655</v>
          </cell>
          <cell r="E19">
            <v>198745.77593038999</v>
          </cell>
          <cell r="F19">
            <v>20275.137721729996</v>
          </cell>
          <cell r="G19">
            <v>51851.397553229996</v>
          </cell>
          <cell r="H19">
            <v>8679.5060187300005</v>
          </cell>
          <cell r="I19">
            <v>4233.7663247999999</v>
          </cell>
          <cell r="J19">
            <v>3809.88196075</v>
          </cell>
          <cell r="K19">
            <v>9645.8251366700006</v>
          </cell>
          <cell r="L19">
            <v>1672.1768115999998</v>
          </cell>
          <cell r="M19">
            <v>2181.24443883</v>
          </cell>
          <cell r="N19">
            <v>17709.682885759998</v>
          </cell>
          <cell r="O19">
            <v>151171.01353370002</v>
          </cell>
          <cell r="P19">
            <v>18777.92120977</v>
          </cell>
          <cell r="Q19">
            <v>19753.717086229997</v>
          </cell>
          <cell r="R19">
            <v>2665.5341630299999</v>
          </cell>
          <cell r="S19">
            <v>3641.3457834700002</v>
          </cell>
          <cell r="T19">
            <v>553459.80325011001</v>
          </cell>
          <cell r="U19">
            <v>61967.239478119998</v>
          </cell>
        </row>
        <row r="20">
          <cell r="C20" t="str">
            <v>Mais de 15 a 20</v>
          </cell>
          <cell r="D20">
            <v>1187329</v>
          </cell>
          <cell r="E20">
            <v>122398.709313</v>
          </cell>
          <cell r="F20">
            <v>14179.13694043</v>
          </cell>
          <cell r="G20">
            <v>41075.782493979998</v>
          </cell>
          <cell r="H20">
            <v>6631.3896283099994</v>
          </cell>
          <cell r="I20">
            <v>2072.2992679200001</v>
          </cell>
          <cell r="J20">
            <v>1889.3201301700001</v>
          </cell>
          <cell r="K20">
            <v>6090.9573298999994</v>
          </cell>
          <cell r="L20">
            <v>1278.6332830699998</v>
          </cell>
          <cell r="M20">
            <v>1432.0147320800002</v>
          </cell>
          <cell r="N20">
            <v>6417.78425462</v>
          </cell>
          <cell r="O20">
            <v>96903.180987419997</v>
          </cell>
          <cell r="P20">
            <v>16104.801993009998</v>
          </cell>
          <cell r="Q20">
            <v>15959.9344251</v>
          </cell>
          <cell r="R20">
            <v>1863.40489718</v>
          </cell>
          <cell r="S20">
            <v>1718.5373292700001</v>
          </cell>
          <cell r="T20">
            <v>407383.89989783999</v>
          </cell>
          <cell r="U20">
            <v>43586.99511407</v>
          </cell>
        </row>
        <row r="21">
          <cell r="C21" t="str">
            <v>Mais de 20 a 30</v>
          </cell>
          <cell r="D21">
            <v>1087582</v>
          </cell>
          <cell r="E21">
            <v>147062.59009272</v>
          </cell>
          <cell r="F21">
            <v>19372.411866890001</v>
          </cell>
          <cell r="G21">
            <v>62696.250852910001</v>
          </cell>
          <cell r="H21">
            <v>9574.7343383900006</v>
          </cell>
          <cell r="I21">
            <v>1919.6456866800002</v>
          </cell>
          <cell r="J21">
            <v>1716.11902126</v>
          </cell>
          <cell r="K21">
            <v>7016.5152883000001</v>
          </cell>
          <cell r="L21">
            <v>1910.33907378</v>
          </cell>
          <cell r="M21">
            <v>1868.1498928400001</v>
          </cell>
          <cell r="N21">
            <v>4255.8589437299997</v>
          </cell>
          <cell r="O21">
            <v>119309.11870314</v>
          </cell>
          <cell r="P21">
            <v>23230.093938090002</v>
          </cell>
          <cell r="Q21">
            <v>22626.166805969999</v>
          </cell>
          <cell r="R21">
            <v>2330.1477238799998</v>
          </cell>
          <cell r="S21">
            <v>1726.2205917599999</v>
          </cell>
          <cell r="T21">
            <v>571284.39358377003</v>
          </cell>
          <cell r="U21">
            <v>55803.617762770002</v>
          </cell>
        </row>
        <row r="22">
          <cell r="C22" t="str">
            <v>Mais de 30 a 40</v>
          </cell>
          <cell r="D22">
            <v>501726</v>
          </cell>
          <cell r="E22">
            <v>88967.539826890003</v>
          </cell>
          <cell r="F22">
            <v>13151.674713410001</v>
          </cell>
          <cell r="G22">
            <v>47705.521075340002</v>
          </cell>
          <cell r="H22">
            <v>6459.8142256900001</v>
          </cell>
          <cell r="I22">
            <v>872.74795703999996</v>
          </cell>
          <cell r="J22">
            <v>764.74832909000008</v>
          </cell>
          <cell r="K22">
            <v>4118.8717440500004</v>
          </cell>
          <cell r="L22">
            <v>1366.17534275</v>
          </cell>
          <cell r="M22">
            <v>1187.2590270200001</v>
          </cell>
          <cell r="N22">
            <v>1503.50252247</v>
          </cell>
          <cell r="O22">
            <v>73161.992631100002</v>
          </cell>
          <cell r="P22">
            <v>15751.608325149999</v>
          </cell>
          <cell r="Q22">
            <v>15234.484032659999</v>
          </cell>
          <cell r="R22">
            <v>1446.4178138099999</v>
          </cell>
          <cell r="S22">
            <v>929.29352131999997</v>
          </cell>
          <cell r="T22">
            <v>398958.07189447002</v>
          </cell>
          <cell r="U22">
            <v>32274.217597520001</v>
          </cell>
        </row>
        <row r="23">
          <cell r="C23" t="str">
            <v>Mais de 40 a 60</v>
          </cell>
          <cell r="D23">
            <v>400429</v>
          </cell>
          <cell r="E23">
            <v>86053.691943259997</v>
          </cell>
          <cell r="F23">
            <v>16158.56039717</v>
          </cell>
          <cell r="G23">
            <v>64929.254027439994</v>
          </cell>
          <cell r="H23">
            <v>6053.0655217000003</v>
          </cell>
          <cell r="I23">
            <v>696.41794272000004</v>
          </cell>
          <cell r="J23">
            <v>610.49510879000002</v>
          </cell>
          <cell r="K23">
            <v>3621.0431074000003</v>
          </cell>
          <cell r="L23">
            <v>1784.37757218</v>
          </cell>
          <cell r="M23">
            <v>1150.95264511</v>
          </cell>
          <cell r="N23">
            <v>1166.0858886400001</v>
          </cell>
          <cell r="O23">
            <v>71352.337131220003</v>
          </cell>
          <cell r="P23">
            <v>16215.22408002</v>
          </cell>
          <cell r="Q23">
            <v>15321.78753978</v>
          </cell>
          <cell r="R23">
            <v>1654.3659632199999</v>
          </cell>
          <cell r="S23">
            <v>760.92966172999991</v>
          </cell>
          <cell r="T23">
            <v>484230.88732415007</v>
          </cell>
          <cell r="U23">
            <v>34543.752413100003</v>
          </cell>
        </row>
        <row r="24">
          <cell r="C24" t="str">
            <v>Mais de 60 a 80</v>
          </cell>
          <cell r="D24">
            <v>143650</v>
          </cell>
          <cell r="E24">
            <v>35033.820775690001</v>
          </cell>
          <cell r="F24">
            <v>9318.9813123900003</v>
          </cell>
          <cell r="G24">
            <v>41211.697828210003</v>
          </cell>
          <cell r="H24">
            <v>2128.6007502500001</v>
          </cell>
          <cell r="I24">
            <v>246.81802704</v>
          </cell>
          <cell r="J24">
            <v>217.31483147</v>
          </cell>
          <cell r="K24">
            <v>1372.6032473599998</v>
          </cell>
          <cell r="L24">
            <v>953.96193730999994</v>
          </cell>
          <cell r="M24">
            <v>460.74952315000002</v>
          </cell>
          <cell r="N24">
            <v>460.40038239999996</v>
          </cell>
          <cell r="O24">
            <v>29320.237182189998</v>
          </cell>
          <cell r="P24">
            <v>6906.6757656199998</v>
          </cell>
          <cell r="Q24">
            <v>6410.1310197300008</v>
          </cell>
          <cell r="R24">
            <v>797.38067376000004</v>
          </cell>
          <cell r="S24">
            <v>300.94469382999995</v>
          </cell>
          <cell r="T24">
            <v>271660.72870162997</v>
          </cell>
          <cell r="U24">
            <v>17331.163675510001</v>
          </cell>
        </row>
        <row r="25">
          <cell r="C25" t="str">
            <v>Mais de 80 a 160</v>
          </cell>
          <cell r="D25">
            <v>142095</v>
          </cell>
          <cell r="E25">
            <v>38735.032578940001</v>
          </cell>
          <cell r="F25">
            <v>16054.567092169998</v>
          </cell>
          <cell r="G25">
            <v>78039.567825200007</v>
          </cell>
          <cell r="H25">
            <v>1860.7909792099999</v>
          </cell>
          <cell r="I25">
            <v>221.37971712000001</v>
          </cell>
          <cell r="J25">
            <v>190.92443208</v>
          </cell>
          <cell r="K25">
            <v>1356.6911075099999</v>
          </cell>
          <cell r="L25">
            <v>1431.3001410499999</v>
          </cell>
          <cell r="M25">
            <v>440.08216349999998</v>
          </cell>
          <cell r="N25">
            <v>517.62798195999994</v>
          </cell>
          <cell r="O25">
            <v>32903.329704420001</v>
          </cell>
          <cell r="P25">
            <v>8002.4042014500001</v>
          </cell>
          <cell r="Q25">
            <v>7238.4369563599994</v>
          </cell>
          <cell r="R25">
            <v>1088.3031123400001</v>
          </cell>
          <cell r="S25">
            <v>324.33586724999998</v>
          </cell>
          <cell r="T25">
            <v>470262.54514426994</v>
          </cell>
          <cell r="U25">
            <v>27129.376841370002</v>
          </cell>
        </row>
        <row r="26">
          <cell r="C26" t="str">
            <v>Mais de 160 a 240</v>
          </cell>
          <cell r="D26">
            <v>32626</v>
          </cell>
          <cell r="E26">
            <v>10930.86722538</v>
          </cell>
          <cell r="F26">
            <v>7221.5072306499997</v>
          </cell>
          <cell r="G26">
            <v>36702.271998219992</v>
          </cell>
          <cell r="H26">
            <v>356.41935078</v>
          </cell>
          <cell r="I26">
            <v>47.05957944</v>
          </cell>
          <cell r="J26">
            <v>40.498125530000003</v>
          </cell>
          <cell r="K26">
            <v>333.21572786000002</v>
          </cell>
          <cell r="L26">
            <v>668.18434202000003</v>
          </cell>
          <cell r="M26">
            <v>105.18846479000001</v>
          </cell>
          <cell r="N26">
            <v>131.68450281</v>
          </cell>
          <cell r="O26">
            <v>9300.8971667699989</v>
          </cell>
          <cell r="P26">
            <v>2332.7836310499997</v>
          </cell>
          <cell r="Q26">
            <v>2007.0882407200002</v>
          </cell>
          <cell r="R26">
            <v>405.13660120999998</v>
          </cell>
          <cell r="S26">
            <v>79.44121088</v>
          </cell>
          <cell r="T26">
            <v>217147.54105219</v>
          </cell>
          <cell r="U26">
            <v>12006.53473747</v>
          </cell>
        </row>
        <row r="27">
          <cell r="C27" t="str">
            <v>Mais de 240 a 320</v>
          </cell>
          <cell r="D27">
            <v>13552</v>
          </cell>
          <cell r="E27">
            <v>5417.1499236199998</v>
          </cell>
          <cell r="F27">
            <v>4523.1777395899999</v>
          </cell>
          <cell r="G27">
            <v>22467.597621430003</v>
          </cell>
          <cell r="H27">
            <v>151.00170679000001</v>
          </cell>
          <cell r="I27">
            <v>18.86955</v>
          </cell>
          <cell r="J27">
            <v>15.866781810000001</v>
          </cell>
          <cell r="K27">
            <v>151.00433458000001</v>
          </cell>
          <cell r="L27">
            <v>458.76653977000001</v>
          </cell>
          <cell r="M27">
            <v>53.58896009</v>
          </cell>
          <cell r="N27">
            <v>55.752989049999996</v>
          </cell>
          <cell r="O27">
            <v>4537.8719054100002</v>
          </cell>
          <cell r="P27">
            <v>1157.74119737</v>
          </cell>
          <cell r="Q27">
            <v>972.17960759999994</v>
          </cell>
          <cell r="R27">
            <v>221.57458652</v>
          </cell>
          <cell r="S27">
            <v>36.012996749999999</v>
          </cell>
          <cell r="T27">
            <v>149247.05063310999</v>
          </cell>
          <cell r="U27">
            <v>6799.8699629500006</v>
          </cell>
        </row>
        <row r="28">
          <cell r="C28" t="str">
            <v>Mais de 320</v>
          </cell>
          <cell r="D28">
            <v>28433</v>
          </cell>
          <cell r="E28">
            <v>24987.897811139999</v>
          </cell>
          <cell r="F28">
            <v>54719.001865989994</v>
          </cell>
          <cell r="G28">
            <v>193943.20921882999</v>
          </cell>
          <cell r="H28">
            <v>471.72532213000005</v>
          </cell>
          <cell r="I28">
            <v>40.743132359999997</v>
          </cell>
          <cell r="J28">
            <v>33.412498739999997</v>
          </cell>
          <cell r="K28">
            <v>404.56296677</v>
          </cell>
          <cell r="L28">
            <v>4367.1206718000003</v>
          </cell>
          <cell r="M28">
            <v>198.34565852000003</v>
          </cell>
          <cell r="N28">
            <v>110.50402054999999</v>
          </cell>
          <cell r="O28">
            <v>19453.885116739999</v>
          </cell>
          <cell r="P28">
            <v>5127.3805540900003</v>
          </cell>
          <cell r="Q28">
            <v>4287.5327058399998</v>
          </cell>
          <cell r="R28">
            <v>967.03405213999997</v>
          </cell>
          <cell r="S28">
            <v>127.18620388999999</v>
          </cell>
          <cell r="T28">
            <v>1104750.5253109599</v>
          </cell>
          <cell r="U28">
            <v>44860.205277550005</v>
          </cell>
        </row>
        <row r="29">
          <cell r="C29" t="str">
            <v xml:space="preserve">    Total</v>
          </cell>
          <cell r="D29">
            <v>27581083</v>
          </cell>
          <cell r="E29">
            <v>1437507.8633114898</v>
          </cell>
          <cell r="F29">
            <v>225454.78520603001</v>
          </cell>
          <cell r="G29">
            <v>737170.74397120997</v>
          </cell>
          <cell r="H29">
            <v>68116.338555130002</v>
          </cell>
          <cell r="I29">
            <v>32001.853218119995</v>
          </cell>
          <cell r="J29">
            <v>20056.892006000002</v>
          </cell>
          <cell r="K29">
            <v>56577.624065069984</v>
          </cell>
          <cell r="L29">
            <v>18102.867984640001</v>
          </cell>
          <cell r="M29">
            <v>13646.47206566</v>
          </cell>
          <cell r="N29">
            <v>114753.34997023997</v>
          </cell>
          <cell r="O29">
            <v>1119892.9379890598</v>
          </cell>
          <cell r="P29">
            <v>129047.07760248</v>
          </cell>
          <cell r="Q29">
            <v>130876.21715888999</v>
          </cell>
          <cell r="R29">
            <v>16311.19711562</v>
          </cell>
          <cell r="S29">
            <v>18140.461420719999</v>
          </cell>
          <cell r="T29">
            <v>6461879.3059152495</v>
          </cell>
          <cell r="U29">
            <v>563897.45744686993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 "/>
      <sheetName val="T7"/>
      <sheetName val="T8"/>
      <sheetName val="T9"/>
      <sheetName val="T10"/>
      <sheetName val="T11"/>
      <sheetName val="T12"/>
      <sheetName val="T12 (A)"/>
      <sheetName val="T13"/>
      <sheetName val="T14"/>
      <sheetName val="T15"/>
      <sheetName val="T16"/>
      <sheetName val="T17"/>
      <sheetName val="T18"/>
      <sheetName val="T19"/>
      <sheetName val="T20"/>
      <sheetName val="T21"/>
      <sheetName val="T22"/>
      <sheetName val="T23"/>
      <sheetName val="T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Tabela 9 - Resumo das Declarações Por Faixa de Rendimentos Totais</v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 t="str">
            <v>Valores R$ milhões</v>
          </cell>
        </row>
        <row r="10">
          <cell r="C10" t="str">
            <v>Faixa de Salário Mín. Mensal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 t="str">
            <v>Base de Cálculo (RTL)</v>
          </cell>
          <cell r="P10" t="str">
            <v>Imposto Devido</v>
          </cell>
          <cell r="Q10" t="str">
            <v>Imposto Pago</v>
          </cell>
          <cell r="R10" t="str">
            <v>Imposto a Pagar</v>
          </cell>
          <cell r="S10" t="str">
            <v>Imposto a Restituir</v>
          </cell>
          <cell r="T10" t="str">
            <v>Bens e Direitos</v>
          </cell>
          <cell r="U10" t="str">
            <v>Dívidas e Ônus</v>
          </cell>
          <cell r="V10" t="str">
            <v>Doações e Heranças</v>
          </cell>
        </row>
        <row r="11">
          <cell r="C11"/>
          <cell r="D11"/>
          <cell r="E11"/>
          <cell r="F11"/>
          <cell r="G11"/>
          <cell r="H11" t="str">
            <v>Contrib. Previden.</v>
          </cell>
          <cell r="I11" t="str">
            <v>Dependentes</v>
          </cell>
          <cell r="J11" t="str">
            <v>Instrução</v>
          </cell>
          <cell r="K11" t="str">
            <v>Médicas</v>
          </cell>
          <cell r="L11" t="str">
            <v>Livro Caixa</v>
          </cell>
          <cell r="M11" t="str">
            <v>Pensão Aliment.</v>
          </cell>
          <cell r="N11" t="str">
            <v>Desc. Padrão</v>
          </cell>
          <cell r="O11"/>
          <cell r="P11"/>
          <cell r="Q11"/>
          <cell r="R11"/>
          <cell r="S11"/>
          <cell r="T11"/>
          <cell r="U11"/>
          <cell r="V11"/>
        </row>
        <row r="12">
          <cell r="C12" t="str">
            <v>Até 1/2</v>
          </cell>
          <cell r="D12">
            <v>1301366</v>
          </cell>
          <cell r="E12">
            <v>254.31180692999999</v>
          </cell>
          <cell r="F12">
            <v>46.15391915</v>
          </cell>
          <cell r="G12">
            <v>113.07151603</v>
          </cell>
          <cell r="H12">
            <v>24.162080790000001</v>
          </cell>
          <cell r="I12">
            <v>318.99579203999997</v>
          </cell>
          <cell r="J12">
            <v>18.59037519</v>
          </cell>
          <cell r="K12">
            <v>72.964262540000007</v>
          </cell>
          <cell r="L12">
            <v>0.11617991999999999</v>
          </cell>
          <cell r="M12">
            <v>22.78398979</v>
          </cell>
          <cell r="N12">
            <v>30.192822370000002</v>
          </cell>
          <cell r="O12">
            <v>201.97784328</v>
          </cell>
          <cell r="P12">
            <v>2.4875209999999998E-2</v>
          </cell>
          <cell r="Q12">
            <v>20.512670969999999</v>
          </cell>
          <cell r="R12">
            <v>4.8128299999999997E-3</v>
          </cell>
          <cell r="S12">
            <v>20.49260859</v>
          </cell>
          <cell r="T12">
            <v>136273.31608095</v>
          </cell>
          <cell r="U12">
            <v>27577.117546519999</v>
          </cell>
          <cell r="V12">
            <v>0.79237636</v>
          </cell>
        </row>
        <row r="13">
          <cell r="C13" t="str">
            <v>Mais de 1/2 a 1</v>
          </cell>
          <cell r="D13">
            <v>573674</v>
          </cell>
          <cell r="E13">
            <v>4487.3521180000007</v>
          </cell>
          <cell r="F13">
            <v>91.644096649999994</v>
          </cell>
          <cell r="G13">
            <v>341.21550518999999</v>
          </cell>
          <cell r="H13">
            <v>110.50223426999999</v>
          </cell>
          <cell r="I13">
            <v>164.01506736000002</v>
          </cell>
          <cell r="J13">
            <v>11.940725499999999</v>
          </cell>
          <cell r="K13">
            <v>40.76955486</v>
          </cell>
          <cell r="L13">
            <v>0.52800835000000002</v>
          </cell>
          <cell r="M13">
            <v>6.5660913800000005</v>
          </cell>
          <cell r="N13">
            <v>629.46028213</v>
          </cell>
          <cell r="O13">
            <v>3662.6384620399995</v>
          </cell>
          <cell r="P13">
            <v>8.9832619999999988E-2</v>
          </cell>
          <cell r="Q13">
            <v>13.03043141</v>
          </cell>
          <cell r="R13">
            <v>3.9569359999999998E-2</v>
          </cell>
          <cell r="S13">
            <v>12.980168150000001</v>
          </cell>
          <cell r="T13">
            <v>38902.713611610001</v>
          </cell>
          <cell r="U13">
            <v>4035.2517850300001</v>
          </cell>
          <cell r="V13">
            <v>4.1426936300000001</v>
          </cell>
        </row>
        <row r="14">
          <cell r="C14" t="str">
            <v>Mais de 1 a 2</v>
          </cell>
          <cell r="D14">
            <v>1227268</v>
          </cell>
          <cell r="E14">
            <v>14525.204213970001</v>
          </cell>
          <cell r="F14">
            <v>598.96122663999995</v>
          </cell>
          <cell r="G14">
            <v>2553.3487943099999</v>
          </cell>
          <cell r="H14">
            <v>302.55162065999997</v>
          </cell>
          <cell r="I14">
            <v>521.23447848000001</v>
          </cell>
          <cell r="J14">
            <v>51.720195099999998</v>
          </cell>
          <cell r="K14">
            <v>187.25706777000002</v>
          </cell>
          <cell r="L14">
            <v>4.9434341900000005</v>
          </cell>
          <cell r="M14">
            <v>23.077902830000003</v>
          </cell>
          <cell r="N14">
            <v>1933.64696377</v>
          </cell>
          <cell r="O14">
            <v>11898.478636029999</v>
          </cell>
          <cell r="P14">
            <v>0.5248373999999999</v>
          </cell>
          <cell r="Q14">
            <v>75.831951919999995</v>
          </cell>
          <cell r="R14">
            <v>0.21197565000000002</v>
          </cell>
          <cell r="S14">
            <v>75.519090169999998</v>
          </cell>
          <cell r="T14">
            <v>135711.99536013001</v>
          </cell>
          <cell r="U14">
            <v>9654.0240046299987</v>
          </cell>
          <cell r="V14">
            <v>29.019338650000002</v>
          </cell>
        </row>
        <row r="15">
          <cell r="C15" t="str">
            <v>Mais de 2 a 3</v>
          </cell>
          <cell r="D15">
            <v>3278035</v>
          </cell>
          <cell r="E15">
            <v>73566.936897809996</v>
          </cell>
          <cell r="F15">
            <v>2159.3055059999997</v>
          </cell>
          <cell r="G15">
            <v>6322.7537769399996</v>
          </cell>
          <cell r="H15">
            <v>920.93369086000007</v>
          </cell>
          <cell r="I15">
            <v>1654.0218363600002</v>
          </cell>
          <cell r="J15">
            <v>153.68490202000001</v>
          </cell>
          <cell r="K15">
            <v>502.28517668000001</v>
          </cell>
          <cell r="L15">
            <v>21.503751899999997</v>
          </cell>
          <cell r="M15">
            <v>64.122173690000011</v>
          </cell>
          <cell r="N15">
            <v>12217.85390677</v>
          </cell>
          <cell r="O15">
            <v>59225.930463390003</v>
          </cell>
          <cell r="P15">
            <v>3.0781801299999998</v>
          </cell>
          <cell r="Q15">
            <v>246.31237819</v>
          </cell>
          <cell r="R15">
            <v>1.9758114600000001</v>
          </cell>
          <cell r="S15">
            <v>245.21000952000003</v>
          </cell>
          <cell r="T15">
            <v>268681.64804177999</v>
          </cell>
          <cell r="U15">
            <v>38544.341028059993</v>
          </cell>
          <cell r="V15">
            <v>76.738243459999993</v>
          </cell>
        </row>
        <row r="16">
          <cell r="C16" t="str">
            <v>Mais de 3 a 5</v>
          </cell>
          <cell r="D16">
            <v>7403868</v>
          </cell>
          <cell r="E16">
            <v>228922.06125123001</v>
          </cell>
          <cell r="F16">
            <v>16831.55402001</v>
          </cell>
          <cell r="G16">
            <v>29606.02943033</v>
          </cell>
          <cell r="H16">
            <v>9109.7082390800006</v>
          </cell>
          <cell r="I16">
            <v>11159.192322359999</v>
          </cell>
          <cell r="J16">
            <v>2965.5429740500003</v>
          </cell>
          <cell r="K16">
            <v>6369.73721604</v>
          </cell>
          <cell r="L16">
            <v>267.34441516999999</v>
          </cell>
          <cell r="M16">
            <v>1176.4723158099998</v>
          </cell>
          <cell r="N16">
            <v>28344.32864036</v>
          </cell>
          <cell r="O16">
            <v>173204.97193535001</v>
          </cell>
          <cell r="P16">
            <v>1718.44368201</v>
          </cell>
          <cell r="Q16">
            <v>3534.6750961799999</v>
          </cell>
          <cell r="R16">
            <v>361.55498498000003</v>
          </cell>
          <cell r="S16">
            <v>2177.7863991499999</v>
          </cell>
          <cell r="T16">
            <v>526419.81863955001</v>
          </cell>
          <cell r="U16">
            <v>54277.599949060008</v>
          </cell>
          <cell r="V16">
            <v>394.28221596999998</v>
          </cell>
        </row>
        <row r="17">
          <cell r="C17" t="str">
            <v>Mais de 5 a 7</v>
          </cell>
          <cell r="D17">
            <v>4339708</v>
          </cell>
          <cell r="E17">
            <v>192782.90618704999</v>
          </cell>
          <cell r="F17">
            <v>16497.582065589999</v>
          </cell>
          <cell r="G17">
            <v>32910.087846909999</v>
          </cell>
          <cell r="H17">
            <v>8775.0106263400012</v>
          </cell>
          <cell r="I17">
            <v>8280.9772389600002</v>
          </cell>
          <cell r="J17">
            <v>3928.2548318000004</v>
          </cell>
          <cell r="K17">
            <v>8116.9195432100005</v>
          </cell>
          <cell r="L17">
            <v>509.78322900000001</v>
          </cell>
          <cell r="M17">
            <v>1574.24256874</v>
          </cell>
          <cell r="N17">
            <v>21177.181515700002</v>
          </cell>
          <cell r="O17">
            <v>142605.70130332999</v>
          </cell>
          <cell r="P17">
            <v>5135.3093153500004</v>
          </cell>
          <cell r="Q17">
            <v>7179.0946108099997</v>
          </cell>
          <cell r="R17">
            <v>942.38304821999998</v>
          </cell>
          <cell r="S17">
            <v>2986.1683436800004</v>
          </cell>
          <cell r="T17">
            <v>443328.09477763</v>
          </cell>
          <cell r="U17">
            <v>50840.668853319999</v>
          </cell>
          <cell r="V17">
            <v>980.8230004699999</v>
          </cell>
        </row>
        <row r="18">
          <cell r="C18" t="str">
            <v>Mais de 7 a 10</v>
          </cell>
          <cell r="D18">
            <v>3352450</v>
          </cell>
          <cell r="E18">
            <v>202073.04236632999</v>
          </cell>
          <cell r="F18">
            <v>18801.275964699998</v>
          </cell>
          <cell r="G18">
            <v>42626.945715679998</v>
          </cell>
          <cell r="H18">
            <v>8679.5110308300009</v>
          </cell>
          <cell r="I18">
            <v>6930.0779614799994</v>
          </cell>
          <cell r="J18">
            <v>4285.14110239</v>
          </cell>
          <cell r="K18">
            <v>9729.0220825800006</v>
          </cell>
          <cell r="L18">
            <v>847.04758723999998</v>
          </cell>
          <cell r="M18">
            <v>2088.9020644799998</v>
          </cell>
          <cell r="N18">
            <v>22045.442334610001</v>
          </cell>
          <cell r="O18">
            <v>149355.66585756</v>
          </cell>
          <cell r="P18">
            <v>11209.076855810001</v>
          </cell>
          <cell r="Q18">
            <v>13396.68529023</v>
          </cell>
          <cell r="R18">
            <v>1853.3361013599999</v>
          </cell>
          <cell r="S18">
            <v>4040.9445357800005</v>
          </cell>
          <cell r="T18">
            <v>496954.38581557001</v>
          </cell>
          <cell r="U18">
            <v>55729.898939499995</v>
          </cell>
          <cell r="V18">
            <v>1838.5715573500001</v>
          </cell>
        </row>
        <row r="19">
          <cell r="C19" t="str">
            <v>Mais de 10 a 15</v>
          </cell>
          <cell r="D19">
            <v>2536352</v>
          </cell>
          <cell r="E19">
            <v>211126.76267852</v>
          </cell>
          <cell r="F19">
            <v>21922.369431470004</v>
          </cell>
          <cell r="G19">
            <v>58535.451190969994</v>
          </cell>
          <cell r="H19">
            <v>9543.0908644299998</v>
          </cell>
          <cell r="I19">
            <v>5248.7574401999991</v>
          </cell>
          <cell r="J19">
            <v>3843.1918560599997</v>
          </cell>
          <cell r="K19">
            <v>10372.316893090001</v>
          </cell>
          <cell r="L19">
            <v>1352.7960240699999</v>
          </cell>
          <cell r="M19">
            <v>2287.2952994499997</v>
          </cell>
          <cell r="N19">
            <v>18268.17577577</v>
          </cell>
          <cell r="O19">
            <v>161671.76826524001</v>
          </cell>
          <cell r="P19">
            <v>21060.789599339998</v>
          </cell>
          <cell r="Q19">
            <v>22019.9740509</v>
          </cell>
          <cell r="R19">
            <v>2847.61766412</v>
          </cell>
          <cell r="S19">
            <v>3806.8099387500006</v>
          </cell>
          <cell r="T19">
            <v>604905.39418677997</v>
          </cell>
          <cell r="U19">
            <v>65623.417507980004</v>
          </cell>
          <cell r="V19">
            <v>2927.8989258199999</v>
          </cell>
        </row>
        <row r="20">
          <cell r="C20" t="str">
            <v>Mais de 15 a 20</v>
          </cell>
          <cell r="D20">
            <v>1180520</v>
          </cell>
          <cell r="E20">
            <v>130938.01362021999</v>
          </cell>
          <cell r="F20">
            <v>15647.4992508</v>
          </cell>
          <cell r="G20">
            <v>45710.248873439996</v>
          </cell>
          <cell r="H20">
            <v>7388.8607610999998</v>
          </cell>
          <cell r="I20">
            <v>2427.8379715199999</v>
          </cell>
          <cell r="J20">
            <v>1907.7241683299999</v>
          </cell>
          <cell r="K20">
            <v>6615.2728954899994</v>
          </cell>
          <cell r="L20">
            <v>1099.4989083399998</v>
          </cell>
          <cell r="M20">
            <v>1511.02351957</v>
          </cell>
          <cell r="N20">
            <v>6479.0072564799993</v>
          </cell>
          <cell r="O20">
            <v>104189.38733229</v>
          </cell>
          <cell r="P20">
            <v>17784.078361479998</v>
          </cell>
          <cell r="Q20">
            <v>17648.782944999999</v>
          </cell>
          <cell r="R20">
            <v>1962.9941154200001</v>
          </cell>
          <cell r="S20">
            <v>1827.6986989399998</v>
          </cell>
          <cell r="T20">
            <v>445973.23529531999</v>
          </cell>
          <cell r="U20">
            <v>46772.789460290005</v>
          </cell>
          <cell r="V20">
            <v>2618.8749378100001</v>
          </cell>
        </row>
        <row r="21">
          <cell r="C21" t="str">
            <v>Mais de 20 a 30</v>
          </cell>
          <cell r="D21">
            <v>1086611</v>
          </cell>
          <cell r="E21">
            <v>157913.55522325</v>
          </cell>
          <cell r="F21">
            <v>21738.680631349998</v>
          </cell>
          <cell r="G21">
            <v>69413.599377909995</v>
          </cell>
          <cell r="H21">
            <v>10701.81943657</v>
          </cell>
          <cell r="I21">
            <v>2198.6486874000002</v>
          </cell>
          <cell r="J21">
            <v>1740.0721195399999</v>
          </cell>
          <cell r="K21">
            <v>7688.8220240200008</v>
          </cell>
          <cell r="L21">
            <v>1686.75680923</v>
          </cell>
          <cell r="M21">
            <v>1971.58749268</v>
          </cell>
          <cell r="N21">
            <v>4290.1044840200002</v>
          </cell>
          <cell r="O21">
            <v>128492.00240013</v>
          </cell>
          <cell r="P21">
            <v>25414.350769019999</v>
          </cell>
          <cell r="Q21">
            <v>24849.707778749998</v>
          </cell>
          <cell r="R21">
            <v>2409.2377423899998</v>
          </cell>
          <cell r="S21">
            <v>1844.5947521199998</v>
          </cell>
          <cell r="T21">
            <v>622921.80975858006</v>
          </cell>
          <cell r="U21">
            <v>58664.307549029996</v>
          </cell>
          <cell r="V21">
            <v>4487.8721925900009</v>
          </cell>
        </row>
        <row r="22">
          <cell r="C22" t="str">
            <v>Mais de 30 a 40</v>
          </cell>
          <cell r="D22">
            <v>489421</v>
          </cell>
          <cell r="E22">
            <v>92454.101179630001</v>
          </cell>
          <cell r="F22">
            <v>14777.265241050001</v>
          </cell>
          <cell r="G22">
            <v>51598.708101619995</v>
          </cell>
          <cell r="H22">
            <v>6838.2842712800002</v>
          </cell>
          <cell r="I22">
            <v>960.94374024000001</v>
          </cell>
          <cell r="J22">
            <v>758.25054541999998</v>
          </cell>
          <cell r="K22">
            <v>4411.0989670400004</v>
          </cell>
          <cell r="L22">
            <v>1271.30468277</v>
          </cell>
          <cell r="M22">
            <v>1205.63771428</v>
          </cell>
          <cell r="N22">
            <v>1499.2362500300001</v>
          </cell>
          <cell r="O22">
            <v>76123.783959310007</v>
          </cell>
          <cell r="P22">
            <v>16530.620474989999</v>
          </cell>
          <cell r="Q22">
            <v>16021.717308560001</v>
          </cell>
          <cell r="R22">
            <v>1493.95670784</v>
          </cell>
          <cell r="S22">
            <v>985.05354140999987</v>
          </cell>
          <cell r="T22">
            <v>426299.46441982005</v>
          </cell>
          <cell r="U22">
            <v>35691.35003786</v>
          </cell>
          <cell r="V22">
            <v>3722.9561047699999</v>
          </cell>
        </row>
        <row r="23">
          <cell r="C23" t="str">
            <v>Mais de 40 a 60</v>
          </cell>
          <cell r="D23">
            <v>389811</v>
          </cell>
          <cell r="E23">
            <v>89905.375219329988</v>
          </cell>
          <cell r="F23">
            <v>18317.99822084</v>
          </cell>
          <cell r="G23">
            <v>69381.542425549997</v>
          </cell>
          <cell r="H23">
            <v>6470.9155820199994</v>
          </cell>
          <cell r="I23">
            <v>764.50650780000001</v>
          </cell>
          <cell r="J23">
            <v>601.96560908000004</v>
          </cell>
          <cell r="K23">
            <v>3898.9605245799999</v>
          </cell>
          <cell r="L23">
            <v>1686.4721066099999</v>
          </cell>
          <cell r="M23">
            <v>1163.48829783</v>
          </cell>
          <cell r="N23">
            <v>1159.7383823800001</v>
          </cell>
          <cell r="O23">
            <v>74662.052253900009</v>
          </cell>
          <cell r="P23">
            <v>17117.65423244</v>
          </cell>
          <cell r="Q23">
            <v>16284.893948860001</v>
          </cell>
          <cell r="R23">
            <v>1663.5511485</v>
          </cell>
          <cell r="S23">
            <v>830.79086491999999</v>
          </cell>
          <cell r="T23">
            <v>524434.1079535801</v>
          </cell>
          <cell r="U23">
            <v>36411.355751709998</v>
          </cell>
          <cell r="V23">
            <v>5804.0774077699998</v>
          </cell>
        </row>
        <row r="24">
          <cell r="C24" t="str">
            <v>Mais de 60 a 80</v>
          </cell>
          <cell r="D24">
            <v>142916</v>
          </cell>
          <cell r="E24">
            <v>37609.740006079999</v>
          </cell>
          <cell r="F24">
            <v>10550.233306189999</v>
          </cell>
          <cell r="G24">
            <v>44526.708388389998</v>
          </cell>
          <cell r="H24">
            <v>2424.7720481400002</v>
          </cell>
          <cell r="I24">
            <v>285.59761764000001</v>
          </cell>
          <cell r="J24">
            <v>223.63391030000003</v>
          </cell>
          <cell r="K24">
            <v>1510.66013656</v>
          </cell>
          <cell r="L24">
            <v>906.85639675999994</v>
          </cell>
          <cell r="M24">
            <v>480.98470944000002</v>
          </cell>
          <cell r="N24">
            <v>455.60926181999997</v>
          </cell>
          <cell r="O24">
            <v>31509.445535320003</v>
          </cell>
          <cell r="P24">
            <v>7472.14523371</v>
          </cell>
          <cell r="Q24">
            <v>6982.6801681900006</v>
          </cell>
          <cell r="R24">
            <v>825.19718405000003</v>
          </cell>
          <cell r="S24">
            <v>335.73211853000004</v>
          </cell>
          <cell r="T24">
            <v>303921.58446619997</v>
          </cell>
          <cell r="U24">
            <v>20141.925792850001</v>
          </cell>
          <cell r="V24">
            <v>4240.7755694000007</v>
          </cell>
        </row>
        <row r="25">
          <cell r="C25" t="str">
            <v>Mais de 80 a 160</v>
          </cell>
          <cell r="D25">
            <v>141451</v>
          </cell>
          <cell r="E25">
            <v>40986.552901460003</v>
          </cell>
          <cell r="F25">
            <v>18426.770848619999</v>
          </cell>
          <cell r="G25">
            <v>84342.720111750008</v>
          </cell>
          <cell r="H25">
            <v>1983.15371751</v>
          </cell>
          <cell r="I25">
            <v>263.51796624000002</v>
          </cell>
          <cell r="J25">
            <v>194.40254668</v>
          </cell>
          <cell r="K25">
            <v>1495.7009525000001</v>
          </cell>
          <cell r="L25">
            <v>1444.1636278699998</v>
          </cell>
          <cell r="M25">
            <v>446.04453151000007</v>
          </cell>
          <cell r="N25">
            <v>536.89389625000001</v>
          </cell>
          <cell r="O25">
            <v>34862.067145979992</v>
          </cell>
          <cell r="P25">
            <v>8503.6140856500006</v>
          </cell>
          <cell r="Q25">
            <v>7726.6413823700004</v>
          </cell>
          <cell r="R25">
            <v>1129.22987814</v>
          </cell>
          <cell r="S25">
            <v>352.25717486000002</v>
          </cell>
          <cell r="T25">
            <v>533681.14661036001</v>
          </cell>
          <cell r="U25">
            <v>30233.890524760005</v>
          </cell>
          <cell r="V25">
            <v>9890.8763442800009</v>
          </cell>
        </row>
        <row r="26">
          <cell r="C26" t="str">
            <v>Mais de 160 a 240</v>
          </cell>
          <cell r="D26">
            <v>32329</v>
          </cell>
          <cell r="E26">
            <v>11540.152115239998</v>
          </cell>
          <cell r="F26">
            <v>8268.6530594199994</v>
          </cell>
          <cell r="G26">
            <v>39315.331151029997</v>
          </cell>
          <cell r="H26">
            <v>371.93046054999996</v>
          </cell>
          <cell r="I26">
            <v>57.275139000000003</v>
          </cell>
          <cell r="J26">
            <v>40.350670110000003</v>
          </cell>
          <cell r="K26">
            <v>373.28349264999997</v>
          </cell>
          <cell r="L26">
            <v>717.54298179</v>
          </cell>
          <cell r="M26">
            <v>105.01040157</v>
          </cell>
          <cell r="N26">
            <v>133.98186988</v>
          </cell>
          <cell r="O26">
            <v>9808.2405245500013</v>
          </cell>
          <cell r="P26">
            <v>2466.3235984999997</v>
          </cell>
          <cell r="Q26">
            <v>2123.6086563700001</v>
          </cell>
          <cell r="R26">
            <v>428.43170271999998</v>
          </cell>
          <cell r="S26">
            <v>85.716760590000007</v>
          </cell>
          <cell r="T26">
            <v>245036.54864424001</v>
          </cell>
          <cell r="U26">
            <v>16349.07651305</v>
          </cell>
          <cell r="V26">
            <v>5515.5746391299999</v>
          </cell>
        </row>
        <row r="27">
          <cell r="C27" t="str">
            <v>Mais de 240 a 320</v>
          </cell>
          <cell r="D27">
            <v>13753</v>
          </cell>
          <cell r="E27">
            <v>6062.9430938099995</v>
          </cell>
          <cell r="F27">
            <v>5447.2513155199995</v>
          </cell>
          <cell r="G27">
            <v>24336.677618559999</v>
          </cell>
          <cell r="H27">
            <v>165.51327816999998</v>
          </cell>
          <cell r="I27">
            <v>24.395682839999999</v>
          </cell>
          <cell r="J27">
            <v>16.899356960000002</v>
          </cell>
          <cell r="K27">
            <v>177.51158752000001</v>
          </cell>
          <cell r="L27">
            <v>484.62515758999996</v>
          </cell>
          <cell r="M27">
            <v>50.615599400000001</v>
          </cell>
          <cell r="N27">
            <v>57.381396100000003</v>
          </cell>
          <cell r="O27">
            <v>5125.30922895</v>
          </cell>
          <cell r="P27">
            <v>1309.0954335000001</v>
          </cell>
          <cell r="Q27">
            <v>1098.6588055500001</v>
          </cell>
          <cell r="R27">
            <v>251.58253924999997</v>
          </cell>
          <cell r="S27">
            <v>41.145911300000002</v>
          </cell>
          <cell r="T27">
            <v>151526.20006783001</v>
          </cell>
          <cell r="U27">
            <v>7827.3908669699995</v>
          </cell>
          <cell r="V27">
            <v>3485.1280109300001</v>
          </cell>
        </row>
        <row r="28">
          <cell r="C28" t="str">
            <v>Mais de 320</v>
          </cell>
          <cell r="D28">
            <v>29311</v>
          </cell>
          <cell r="E28">
            <v>27541.35980713</v>
          </cell>
          <cell r="F28">
            <v>62826.245992049997</v>
          </cell>
          <cell r="G28">
            <v>207571.90473317003</v>
          </cell>
          <cell r="H28">
            <v>552.58606902000008</v>
          </cell>
          <cell r="I28">
            <v>54.297059279999999</v>
          </cell>
          <cell r="J28">
            <v>37.533142340000005</v>
          </cell>
          <cell r="K28">
            <v>468.89937537999998</v>
          </cell>
          <cell r="L28">
            <v>4344.5466425900004</v>
          </cell>
          <cell r="M28">
            <v>218.59876209000001</v>
          </cell>
          <cell r="N28">
            <v>117.63257933</v>
          </cell>
          <cell r="O28">
            <v>21878.593134940002</v>
          </cell>
          <cell r="P28">
            <v>5774.5356735300002</v>
          </cell>
          <cell r="Q28">
            <v>4925.3012053000002</v>
          </cell>
          <cell r="R28">
            <v>1005.0492993</v>
          </cell>
          <cell r="S28">
            <v>155.81483107</v>
          </cell>
          <cell r="T28">
            <v>1288419.11758586</v>
          </cell>
          <cell r="U28">
            <v>101762.45948843</v>
          </cell>
          <cell r="V28">
            <v>43618.256234469998</v>
          </cell>
        </row>
        <row r="29">
          <cell r="C29" t="str">
            <v xml:space="preserve">    Total</v>
          </cell>
          <cell r="D29">
            <v>27518844</v>
          </cell>
          <cell r="E29">
            <v>1522690.37068599</v>
          </cell>
          <cell r="F29">
            <v>252949.44409604999</v>
          </cell>
          <cell r="G29">
            <v>809206.34455778007</v>
          </cell>
          <cell r="H29">
            <v>74363.306011619992</v>
          </cell>
          <cell r="I29">
            <v>41314.292509199979</v>
          </cell>
          <cell r="J29">
            <v>20778.899030869998</v>
          </cell>
          <cell r="K29">
            <v>62031.481752510008</v>
          </cell>
          <cell r="L29">
            <v>16645.829943389999</v>
          </cell>
          <cell r="M29">
            <v>14396.453434539999</v>
          </cell>
          <cell r="N29">
            <v>119375.86761777001</v>
          </cell>
          <cell r="O29">
            <v>1188478.01428159</v>
          </cell>
          <cell r="P29">
            <v>141499.75504068998</v>
          </cell>
          <cell r="Q29">
            <v>144148.10867955998</v>
          </cell>
          <cell r="R29">
            <v>17176.354285589998</v>
          </cell>
          <cell r="S29">
            <v>19824.715747529997</v>
          </cell>
          <cell r="T29">
            <v>7193390.5813157903</v>
          </cell>
          <cell r="U29">
            <v>660136.86559904995</v>
          </cell>
          <cell r="V29">
            <v>89636.659792860009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 formulário"/>
      <sheetName val="situação fiscal"/>
      <sheetName val="gênero"/>
      <sheetName val="faixa etária e gênero"/>
      <sheetName val="faixa BC"/>
      <sheetName val="faixa SM BC e gênero"/>
      <sheetName val="faixa SM RTT"/>
      <sheetName val="faixa SM RTT + RTE"/>
      <sheetName val="faixa SM RTT+RTE+RTI"/>
      <sheetName val="div+rend ME faixa rend total"/>
      <sheetName val="div+rend ME ocupação principal"/>
      <sheetName val="UF do declarante"/>
      <sheetName val="capital federativa do decl"/>
      <sheetName val="por municipio"/>
      <sheetName val="natureza de ocupação"/>
      <sheetName val="ocupação principal decl 1"/>
      <sheetName val="ocupação principal decl 2"/>
      <sheetName val="ocupação principal decl 3"/>
      <sheetName val="faixa doações e heranças"/>
      <sheetName val="tipo de rendimento"/>
      <sheetName val="deduções"/>
      <sheetName val="cálculo do imposto"/>
      <sheetName val="rendimentos tributáveis"/>
      <sheetName val="tributação exclusiva"/>
      <sheetName val="isentos e nâo tributáveis"/>
      <sheetName val="bens e direitos"/>
      <sheetName val="bens e direitos 2"/>
      <sheetName val="dívidas e ônus"/>
      <sheetName val="pagamentos e do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C7" t="str">
            <v>Tabela 9 - Resumo das Declarações Por Faixa de Rendimentos Totais (em salários mínimos)</v>
          </cell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 t="str">
            <v>Valores R$ milhões</v>
          </cell>
        </row>
        <row r="8">
          <cell r="C8" t="str">
            <v>Faixa de Salário Mín. Mensal</v>
          </cell>
          <cell r="D8" t="str">
            <v>Qtde Declarantes</v>
          </cell>
          <cell r="E8" t="str">
            <v>Rendim. Tribut.</v>
          </cell>
          <cell r="F8" t="str">
            <v>Rendim. Tribut. Exclus.</v>
          </cell>
          <cell r="G8" t="str">
            <v>Rendim. Isentos</v>
          </cell>
          <cell r="H8" t="str">
            <v>DEDUÇÕES</v>
          </cell>
          <cell r="I8"/>
          <cell r="J8"/>
          <cell r="K8"/>
          <cell r="L8"/>
          <cell r="M8"/>
          <cell r="N8"/>
          <cell r="O8" t="str">
            <v>Base de Cálculo (RTL)</v>
          </cell>
          <cell r="P8" t="str">
            <v>Imposto Devido</v>
          </cell>
          <cell r="Q8" t="str">
            <v>Imposto Pago</v>
          </cell>
          <cell r="R8" t="str">
            <v>Imposto a Pagar</v>
          </cell>
          <cell r="S8" t="str">
            <v>Imposto a Restituir</v>
          </cell>
          <cell r="T8" t="str">
            <v>Bens e Direitos</v>
          </cell>
          <cell r="U8" t="str">
            <v>Dívidas e Ônus</v>
          </cell>
          <cell r="V8" t="str">
            <v>Doações e Heranças</v>
          </cell>
        </row>
        <row r="9">
          <cell r="C9"/>
          <cell r="D9"/>
          <cell r="E9"/>
          <cell r="F9"/>
          <cell r="G9"/>
          <cell r="H9" t="str">
            <v>Contrib. Previden.</v>
          </cell>
          <cell r="I9" t="str">
            <v>Dependentes</v>
          </cell>
          <cell r="J9" t="str">
            <v>Instrução</v>
          </cell>
          <cell r="K9" t="str">
            <v>Médicas</v>
          </cell>
          <cell r="L9" t="str">
            <v>Livro Caixa</v>
          </cell>
          <cell r="M9" t="str">
            <v>Pensão Aliment.</v>
          </cell>
          <cell r="N9" t="str">
            <v>Desc. Padrão</v>
          </cell>
          <cell r="O9"/>
          <cell r="P9"/>
          <cell r="Q9"/>
          <cell r="R9"/>
          <cell r="S9"/>
          <cell r="T9"/>
          <cell r="U9"/>
          <cell r="V9"/>
        </row>
        <row r="10">
          <cell r="C10" t="str">
            <v>Até 1/2</v>
          </cell>
          <cell r="D10">
            <v>1304128</v>
          </cell>
          <cell r="E10">
            <v>308.52941770000001</v>
          </cell>
          <cell r="F10">
            <v>58.601458730000004</v>
          </cell>
          <cell r="G10">
            <v>142.18873221000001</v>
          </cell>
          <cell r="H10">
            <v>28.26737151</v>
          </cell>
          <cell r="I10">
            <v>335.75630639999997</v>
          </cell>
          <cell r="J10">
            <v>21.11929589</v>
          </cell>
          <cell r="K10">
            <v>95.650477769999995</v>
          </cell>
          <cell r="L10">
            <v>0.13548415999999999</v>
          </cell>
          <cell r="M10">
            <v>38.091862939999999</v>
          </cell>
          <cell r="N10">
            <v>36.100599850000002</v>
          </cell>
          <cell r="O10">
            <v>243.52648944999999</v>
          </cell>
          <cell r="P10">
            <v>1.2188060000000001E-2</v>
          </cell>
          <cell r="Q10">
            <v>15.035360359999999</v>
          </cell>
          <cell r="R10">
            <v>4.7283500000000001E-3</v>
          </cell>
          <cell r="S10">
            <v>15.027900649999999</v>
          </cell>
          <cell r="T10">
            <v>186682.09911975998</v>
          </cell>
          <cell r="U10">
            <v>15441.482235129999</v>
          </cell>
          <cell r="V10">
            <v>1.31795577</v>
          </cell>
        </row>
        <row r="11">
          <cell r="C11" t="str">
            <v>De 1/2 a 1</v>
          </cell>
          <cell r="D11">
            <v>588273</v>
          </cell>
          <cell r="E11">
            <v>5068.7356959500003</v>
          </cell>
          <cell r="F11">
            <v>120.91874135</v>
          </cell>
          <cell r="G11">
            <v>433.12352325999996</v>
          </cell>
          <cell r="H11">
            <v>129.59545796999996</v>
          </cell>
          <cell r="I11">
            <v>186.18117180000002</v>
          </cell>
          <cell r="J11">
            <v>15.17540743</v>
          </cell>
          <cell r="K11">
            <v>51.929909039999998</v>
          </cell>
          <cell r="L11">
            <v>0.70520257999999991</v>
          </cell>
          <cell r="M11">
            <v>8.8066315300000007</v>
          </cell>
          <cell r="N11">
            <v>695.88126424999996</v>
          </cell>
          <cell r="O11">
            <v>4140.3912690100005</v>
          </cell>
          <cell r="P11">
            <v>0.12367</v>
          </cell>
          <cell r="Q11">
            <v>17.714369389999998</v>
          </cell>
          <cell r="R11">
            <v>5.9862199999999997E-2</v>
          </cell>
          <cell r="S11">
            <v>17.650561590000002</v>
          </cell>
          <cell r="T11">
            <v>52519.087431669999</v>
          </cell>
          <cell r="U11">
            <v>4463.0309196799999</v>
          </cell>
          <cell r="V11">
            <v>6.2925832699999997</v>
          </cell>
        </row>
        <row r="12">
          <cell r="C12" t="str">
            <v>De 1 a 2</v>
          </cell>
          <cell r="D12">
            <v>1360094</v>
          </cell>
          <cell r="E12">
            <v>17910.356423950001</v>
          </cell>
          <cell r="F12">
            <v>789.45725639</v>
          </cell>
          <cell r="G12">
            <v>3252.9108659499998</v>
          </cell>
          <cell r="H12">
            <v>373.74289539000006</v>
          </cell>
          <cell r="I12">
            <v>627.82425155999999</v>
          </cell>
          <cell r="J12">
            <v>65.506709579999992</v>
          </cell>
          <cell r="K12">
            <v>238.60129799000001</v>
          </cell>
          <cell r="L12">
            <v>5.8210587300000007</v>
          </cell>
          <cell r="M12">
            <v>28.535575169999998</v>
          </cell>
          <cell r="N12">
            <v>2357.75974563</v>
          </cell>
          <cell r="O12">
            <v>14680.545884929999</v>
          </cell>
          <cell r="P12">
            <v>0.66146938</v>
          </cell>
          <cell r="Q12">
            <v>160.30648460999998</v>
          </cell>
          <cell r="R12">
            <v>0.23534316</v>
          </cell>
          <cell r="S12">
            <v>159.88035839</v>
          </cell>
          <cell r="T12">
            <v>144297.59179442</v>
          </cell>
          <cell r="U12">
            <v>12769.22062443</v>
          </cell>
          <cell r="V12">
            <v>40.284295290000003</v>
          </cell>
        </row>
        <row r="13">
          <cell r="C13" t="str">
            <v>De 2 a 3</v>
          </cell>
          <cell r="D13">
            <v>3994153</v>
          </cell>
          <cell r="E13">
            <v>96860.274257270008</v>
          </cell>
          <cell r="F13">
            <v>3587.7032542400002</v>
          </cell>
          <cell r="G13">
            <v>8352.0172283299999</v>
          </cell>
          <cell r="H13">
            <v>1357.7753651999999</v>
          </cell>
          <cell r="I13">
            <v>2513.8359955199999</v>
          </cell>
          <cell r="J13">
            <v>281.32976833999999</v>
          </cell>
          <cell r="K13">
            <v>884.64157838999995</v>
          </cell>
          <cell r="L13">
            <v>43.239692920000003</v>
          </cell>
          <cell r="M13">
            <v>128.88568103</v>
          </cell>
          <cell r="N13">
            <v>16070.71332081</v>
          </cell>
          <cell r="O13">
            <v>77201.568106310006</v>
          </cell>
          <cell r="P13">
            <v>27.00385344</v>
          </cell>
          <cell r="Q13">
            <v>449.02944841999999</v>
          </cell>
          <cell r="R13">
            <v>15.770752359999999</v>
          </cell>
          <cell r="S13">
            <v>437.79744417999996</v>
          </cell>
          <cell r="T13">
            <v>406006.49225730007</v>
          </cell>
          <cell r="U13">
            <v>29103.79539205</v>
          </cell>
          <cell r="V13">
            <v>98.993147600000015</v>
          </cell>
        </row>
        <row r="14">
          <cell r="C14" t="str">
            <v>De 3 a 5</v>
          </cell>
          <cell r="D14">
            <v>7605675</v>
          </cell>
          <cell r="E14">
            <v>257552.65549820999</v>
          </cell>
          <cell r="F14">
            <v>20080.589155040001</v>
          </cell>
          <cell r="G14">
            <v>36316.598737369997</v>
          </cell>
          <cell r="H14">
            <v>10813.747664450002</v>
          </cell>
          <cell r="I14">
            <v>12279.585044399999</v>
          </cell>
          <cell r="J14">
            <v>3669.9255518</v>
          </cell>
          <cell r="K14">
            <v>8432.6777858299993</v>
          </cell>
          <cell r="L14">
            <v>349.47401513</v>
          </cell>
          <cell r="M14">
            <v>1484.41620932</v>
          </cell>
          <cell r="N14">
            <v>30524.214408129999</v>
          </cell>
          <cell r="O14">
            <v>193810.77897513</v>
          </cell>
          <cell r="P14">
            <v>2796.2595517</v>
          </cell>
          <cell r="Q14">
            <v>34483.847528670005</v>
          </cell>
          <cell r="R14">
            <v>515.33194004999996</v>
          </cell>
          <cell r="S14">
            <v>32202.924434380002</v>
          </cell>
          <cell r="T14">
            <v>594527.80777468998</v>
          </cell>
          <cell r="U14">
            <v>62091.637542689998</v>
          </cell>
          <cell r="V14">
            <v>543.39038104999997</v>
          </cell>
        </row>
        <row r="15">
          <cell r="C15" t="str">
            <v>De 5 a 7</v>
          </cell>
          <cell r="D15">
            <v>4219050</v>
          </cell>
          <cell r="E15">
            <v>206200.98409256001</v>
          </cell>
          <cell r="F15">
            <v>18507.156242810001</v>
          </cell>
          <cell r="G15">
            <v>37993.530161729999</v>
          </cell>
          <cell r="H15">
            <v>9044.9224520500011</v>
          </cell>
          <cell r="I15">
            <v>8001.8203727999999</v>
          </cell>
          <cell r="J15">
            <v>4112.9437070499998</v>
          </cell>
          <cell r="K15">
            <v>9638.1623468799989</v>
          </cell>
          <cell r="L15">
            <v>586.75172598999995</v>
          </cell>
          <cell r="M15">
            <v>1760.4111476800001</v>
          </cell>
          <cell r="N15">
            <v>22754.095189169999</v>
          </cell>
          <cell r="O15">
            <v>152380.20754520001</v>
          </cell>
          <cell r="P15">
            <v>6862.5226710400002</v>
          </cell>
          <cell r="Q15">
            <v>9398.2757765599999</v>
          </cell>
          <cell r="R15">
            <v>1145.54374519</v>
          </cell>
          <cell r="S15">
            <v>3681.3024354899999</v>
          </cell>
          <cell r="T15">
            <v>488311.71336826007</v>
          </cell>
          <cell r="U15">
            <v>52214.54802324</v>
          </cell>
          <cell r="V15">
            <v>1119.5830979299999</v>
          </cell>
        </row>
        <row r="16">
          <cell r="C16" t="str">
            <v>De 7 a 10</v>
          </cell>
          <cell r="D16">
            <v>3202633</v>
          </cell>
          <cell r="E16">
            <v>212317.10755232</v>
          </cell>
          <cell r="F16">
            <v>21016.68543885</v>
          </cell>
          <cell r="G16">
            <v>47965.885802439996</v>
          </cell>
          <cell r="H16">
            <v>8958.8583352699989</v>
          </cell>
          <cell r="I16">
            <v>6468.5597828399996</v>
          </cell>
          <cell r="J16">
            <v>4212.9544679999999</v>
          </cell>
          <cell r="K16">
            <v>10788.73367157</v>
          </cell>
          <cell r="L16">
            <v>934.61483709000004</v>
          </cell>
          <cell r="M16">
            <v>2179.8748051900002</v>
          </cell>
          <cell r="N16">
            <v>22773.31638308</v>
          </cell>
          <cell r="O16">
            <v>157759.32250193998</v>
          </cell>
          <cell r="P16">
            <v>13964.630746500003</v>
          </cell>
          <cell r="Q16">
            <v>16221.264649249999</v>
          </cell>
          <cell r="R16">
            <v>2200.5552907700003</v>
          </cell>
          <cell r="S16">
            <v>4457.1939129599996</v>
          </cell>
          <cell r="T16">
            <v>656550.57667188998</v>
          </cell>
          <cell r="U16">
            <v>60059.186584220006</v>
          </cell>
          <cell r="V16">
            <v>2024.4705763200002</v>
          </cell>
        </row>
        <row r="17">
          <cell r="C17" t="str">
            <v>De 10 a 15</v>
          </cell>
          <cell r="D17">
            <v>2441109</v>
          </cell>
          <cell r="E17">
            <v>223342.95986524</v>
          </cell>
          <cell r="F17">
            <v>24636.214125319999</v>
          </cell>
          <cell r="G17">
            <v>65209.973976039997</v>
          </cell>
          <cell r="H17">
            <v>10757.66374446</v>
          </cell>
          <cell r="I17">
            <v>4902.1763031600003</v>
          </cell>
          <cell r="J17">
            <v>3709.0637716900001</v>
          </cell>
          <cell r="K17">
            <v>11682.275458169999</v>
          </cell>
          <cell r="L17">
            <v>1460.55243769</v>
          </cell>
          <cell r="M17">
            <v>2368.7508828400005</v>
          </cell>
          <cell r="N17">
            <v>16586.44167489</v>
          </cell>
          <cell r="O17">
            <v>173210.67037305998</v>
          </cell>
          <cell r="P17">
            <v>24781.567428510003</v>
          </cell>
          <cell r="Q17">
            <v>25401.964490489998</v>
          </cell>
          <cell r="R17">
            <v>3151.96161656</v>
          </cell>
          <cell r="S17">
            <v>3772.36447671</v>
          </cell>
          <cell r="T17">
            <v>670961.86046852008</v>
          </cell>
          <cell r="U17">
            <v>67737.328843230003</v>
          </cell>
          <cell r="V17">
            <v>3080.8790278900001</v>
          </cell>
        </row>
        <row r="18">
          <cell r="C18" t="str">
            <v>De 15 a 20</v>
          </cell>
          <cell r="D18">
            <v>1121037</v>
          </cell>
          <cell r="E18">
            <v>136707.93950184999</v>
          </cell>
          <cell r="F18">
            <v>17457.871441069998</v>
          </cell>
          <cell r="G18">
            <v>49815.59856138</v>
          </cell>
          <cell r="H18">
            <v>8221.2992431500006</v>
          </cell>
          <cell r="I18">
            <v>2253.97180776</v>
          </cell>
          <cell r="J18">
            <v>1793.10643332</v>
          </cell>
          <cell r="K18">
            <v>7285.8294142799996</v>
          </cell>
          <cell r="L18">
            <v>1186.4084137899999</v>
          </cell>
          <cell r="M18">
            <v>1564.13328813</v>
          </cell>
          <cell r="N18">
            <v>5468.9743513900003</v>
          </cell>
          <cell r="O18">
            <v>109576.216223</v>
          </cell>
          <cell r="P18">
            <v>19690.858338270002</v>
          </cell>
          <cell r="Q18">
            <v>19411.648322429999</v>
          </cell>
          <cell r="R18">
            <v>2074.3055012999998</v>
          </cell>
          <cell r="S18">
            <v>1795.0999942500002</v>
          </cell>
          <cell r="T18">
            <v>500743.60861198994</v>
          </cell>
          <cell r="U18">
            <v>45734.90498372</v>
          </cell>
          <cell r="V18">
            <v>2706.7976320799999</v>
          </cell>
        </row>
        <row r="19">
          <cell r="C19" t="str">
            <v>De 20 a 30</v>
          </cell>
          <cell r="D19">
            <v>1038518</v>
          </cell>
          <cell r="E19">
            <v>165628.81699164998</v>
          </cell>
          <cell r="F19">
            <v>24915.11224522</v>
          </cell>
          <cell r="G19">
            <v>75725.972425769985</v>
          </cell>
          <cell r="H19">
            <v>11588.199818720001</v>
          </cell>
          <cell r="I19">
            <v>2028.01541232</v>
          </cell>
          <cell r="J19">
            <v>1609.0817670399999</v>
          </cell>
          <cell r="K19">
            <v>8557.3848167600008</v>
          </cell>
          <cell r="L19">
            <v>1792.2536391800002</v>
          </cell>
          <cell r="M19">
            <v>2024.0328486199999</v>
          </cell>
          <cell r="N19">
            <v>3702.3577186900002</v>
          </cell>
          <cell r="O19">
            <v>135227.28592152998</v>
          </cell>
          <cell r="P19">
            <v>27619.600207700001</v>
          </cell>
          <cell r="Q19">
            <v>27034.074562419999</v>
          </cell>
          <cell r="R19">
            <v>2511.3186517300001</v>
          </cell>
          <cell r="S19">
            <v>1925.8065921599998</v>
          </cell>
          <cell r="T19">
            <v>726990.53875104</v>
          </cell>
          <cell r="U19">
            <v>58854.476699760002</v>
          </cell>
          <cell r="V19">
            <v>4759.4023005400004</v>
          </cell>
        </row>
        <row r="20">
          <cell r="C20" t="str">
            <v>De 30 a 40</v>
          </cell>
          <cell r="D20">
            <v>449733</v>
          </cell>
          <cell r="E20">
            <v>91659.39267406</v>
          </cell>
          <cell r="F20">
            <v>16648.913161830002</v>
          </cell>
          <cell r="G20">
            <v>54970.838599540002</v>
          </cell>
          <cell r="H20">
            <v>6744.6299846599995</v>
          </cell>
          <cell r="I20">
            <v>856.26275928000007</v>
          </cell>
          <cell r="J20">
            <v>675.7038452999999</v>
          </cell>
          <cell r="K20">
            <v>4539.5970510799998</v>
          </cell>
          <cell r="L20">
            <v>1337.2457447500001</v>
          </cell>
          <cell r="M20">
            <v>1175.0385359299999</v>
          </cell>
          <cell r="N20">
            <v>1338.1850107400001</v>
          </cell>
          <cell r="O20">
            <v>75525.40134266</v>
          </cell>
          <cell r="P20">
            <v>16701.087346730001</v>
          </cell>
          <cell r="Q20">
            <v>16159.57576077</v>
          </cell>
          <cell r="R20">
            <v>1505.7552670300001</v>
          </cell>
          <cell r="S20">
            <v>964.24368107000009</v>
          </cell>
          <cell r="T20">
            <v>465429.05857371003</v>
          </cell>
          <cell r="U20">
            <v>34159.568042650004</v>
          </cell>
          <cell r="V20">
            <v>3853.39234274</v>
          </cell>
        </row>
        <row r="21">
          <cell r="C21" t="str">
            <v>De 40 a 60</v>
          </cell>
          <cell r="D21">
            <v>354401</v>
          </cell>
          <cell r="E21">
            <v>86116.207045850009</v>
          </cell>
          <cell r="F21">
            <v>20764.192340409998</v>
          </cell>
          <cell r="G21">
            <v>73347.289602500008</v>
          </cell>
          <cell r="H21">
            <v>6134.4560647300004</v>
          </cell>
          <cell r="I21">
            <v>687.62927952000007</v>
          </cell>
          <cell r="J21">
            <v>546.21876069000007</v>
          </cell>
          <cell r="K21">
            <v>3917.47173436</v>
          </cell>
          <cell r="L21">
            <v>1713.8753941700002</v>
          </cell>
          <cell r="M21">
            <v>1078.1325412000001</v>
          </cell>
          <cell r="N21">
            <v>1037.20515331</v>
          </cell>
          <cell r="O21">
            <v>71431.719984700001</v>
          </cell>
          <cell r="P21">
            <v>16547.303729020001</v>
          </cell>
          <cell r="Q21">
            <v>15707.27904768</v>
          </cell>
          <cell r="R21">
            <v>1651.22516021</v>
          </cell>
          <cell r="S21">
            <v>811.22580235999999</v>
          </cell>
          <cell r="T21">
            <v>566396.96163255</v>
          </cell>
          <cell r="U21">
            <v>36667.039602880002</v>
          </cell>
          <cell r="V21">
            <v>6018.1208073099997</v>
          </cell>
        </row>
        <row r="22">
          <cell r="C22" t="str">
            <v>De 60 a 80</v>
          </cell>
          <cell r="D22">
            <v>127976</v>
          </cell>
          <cell r="E22">
            <v>34733.039489329996</v>
          </cell>
          <cell r="F22">
            <v>12006.454603679998</v>
          </cell>
          <cell r="G22">
            <v>45991.38611616</v>
          </cell>
          <cell r="H22">
            <v>2167.4683346000002</v>
          </cell>
          <cell r="I22">
            <v>248.52063887999998</v>
          </cell>
          <cell r="J22">
            <v>193.91347372999999</v>
          </cell>
          <cell r="K22">
            <v>1498.55884573</v>
          </cell>
          <cell r="L22">
            <v>911.39963276999993</v>
          </cell>
          <cell r="M22">
            <v>432.32455817000005</v>
          </cell>
          <cell r="N22">
            <v>417.00072993000003</v>
          </cell>
          <cell r="O22">
            <v>29054.272777160004</v>
          </cell>
          <cell r="P22">
            <v>6960.4051855099997</v>
          </cell>
          <cell r="Q22">
            <v>6516.8424644200004</v>
          </cell>
          <cell r="R22">
            <v>790.23998712000002</v>
          </cell>
          <cell r="S22">
            <v>346.67726603000006</v>
          </cell>
          <cell r="T22">
            <v>320154.86290181999</v>
          </cell>
          <cell r="U22">
            <v>18869.914447660001</v>
          </cell>
          <cell r="V22">
            <v>4250.0282662499994</v>
          </cell>
        </row>
        <row r="23">
          <cell r="C23" t="str">
            <v>De 80 a 160</v>
          </cell>
          <cell r="D23">
            <v>128933</v>
          </cell>
          <cell r="E23">
            <v>39635.446837149997</v>
          </cell>
          <cell r="F23">
            <v>20753.409556729999</v>
          </cell>
          <cell r="G23">
            <v>86009.230057039997</v>
          </cell>
          <cell r="H23">
            <v>1867.1388896799999</v>
          </cell>
          <cell r="I23">
            <v>235.99859855999998</v>
          </cell>
          <cell r="J23">
            <v>176.27019684000001</v>
          </cell>
          <cell r="K23">
            <v>1503.47972671</v>
          </cell>
          <cell r="L23">
            <v>1495.8727828699998</v>
          </cell>
          <cell r="M23">
            <v>419.01177959</v>
          </cell>
          <cell r="N23">
            <v>481.43633877999997</v>
          </cell>
          <cell r="O23">
            <v>33661.359032889995</v>
          </cell>
          <cell r="P23">
            <v>8308.2335983499997</v>
          </cell>
          <cell r="Q23">
            <v>7503.5855654500001</v>
          </cell>
          <cell r="R23">
            <v>1167.19624733</v>
          </cell>
          <cell r="S23">
            <v>362.54821443000003</v>
          </cell>
          <cell r="T23">
            <v>578507.24573216995</v>
          </cell>
          <cell r="U23">
            <v>30592.902545009994</v>
          </cell>
          <cell r="V23">
            <v>9724.2530364100003</v>
          </cell>
        </row>
        <row r="24">
          <cell r="C24" t="str">
            <v>De 160 a 240</v>
          </cell>
          <cell r="D24">
            <v>29514</v>
          </cell>
          <cell r="E24">
            <v>11650.078464499999</v>
          </cell>
          <cell r="F24">
            <v>9268.3152078700004</v>
          </cell>
          <cell r="G24">
            <v>39322.232708030002</v>
          </cell>
          <cell r="H24">
            <v>387.46743534000007</v>
          </cell>
          <cell r="I24">
            <v>52.345040640000008</v>
          </cell>
          <cell r="J24">
            <v>37.400235240000001</v>
          </cell>
          <cell r="K24">
            <v>394.09918267</v>
          </cell>
          <cell r="L24">
            <v>750.80687376000003</v>
          </cell>
          <cell r="M24">
            <v>114.63336907999999</v>
          </cell>
          <cell r="N24">
            <v>117.08091929000001</v>
          </cell>
          <cell r="O24">
            <v>9888.1497887499991</v>
          </cell>
          <cell r="P24">
            <v>2505.4480861100001</v>
          </cell>
          <cell r="Q24">
            <v>2136.2416185400002</v>
          </cell>
          <cell r="R24">
            <v>457.47562946999994</v>
          </cell>
          <cell r="S24">
            <v>88.2691619</v>
          </cell>
          <cell r="T24">
            <v>257115.76756741997</v>
          </cell>
          <cell r="U24">
            <v>14435.037874950001</v>
          </cell>
          <cell r="V24">
            <v>5297.2766649299992</v>
          </cell>
        </row>
        <row r="25">
          <cell r="C25" t="str">
            <v>De 240 a 320</v>
          </cell>
          <cell r="D25">
            <v>12635</v>
          </cell>
          <cell r="E25">
            <v>6228.7957503999996</v>
          </cell>
          <cell r="F25">
            <v>5972.3537227699999</v>
          </cell>
          <cell r="G25">
            <v>24547.243084769998</v>
          </cell>
          <cell r="H25">
            <v>163.59403065000001</v>
          </cell>
          <cell r="I25">
            <v>22.725774120000001</v>
          </cell>
          <cell r="J25">
            <v>15.618449140000001</v>
          </cell>
          <cell r="K25">
            <v>180.49595668000001</v>
          </cell>
          <cell r="L25">
            <v>581.82047207000005</v>
          </cell>
          <cell r="M25">
            <v>55.344969559999996</v>
          </cell>
          <cell r="N25">
            <v>52.00173856</v>
          </cell>
          <cell r="O25">
            <v>5200.2389539400001</v>
          </cell>
          <cell r="P25">
            <v>1335.2069691699999</v>
          </cell>
          <cell r="Q25">
            <v>1144.92289211</v>
          </cell>
          <cell r="R25">
            <v>260.52890834999999</v>
          </cell>
          <cell r="S25">
            <v>70.244831290000008</v>
          </cell>
          <cell r="T25">
            <v>166280.62446091999</v>
          </cell>
          <cell r="U25">
            <v>8190.6937489200009</v>
          </cell>
          <cell r="V25">
            <v>3147.5478458800003</v>
          </cell>
        </row>
        <row r="26">
          <cell r="C26" t="str">
            <v>Mais de 320</v>
          </cell>
          <cell r="D26">
            <v>25785</v>
          </cell>
          <cell r="E26">
            <v>28174.63316723</v>
          </cell>
          <cell r="F26">
            <v>64739.675842559998</v>
          </cell>
          <cell r="G26">
            <v>194652.79638779999</v>
          </cell>
          <cell r="H26">
            <v>580.75852064000003</v>
          </cell>
          <cell r="I26">
            <v>47.462718959999997</v>
          </cell>
          <cell r="J26">
            <v>32.9142534</v>
          </cell>
          <cell r="K26">
            <v>469.44114060000004</v>
          </cell>
          <cell r="L26">
            <v>4650.7708748000005</v>
          </cell>
          <cell r="M26">
            <v>211.61730970000002</v>
          </cell>
          <cell r="N26">
            <v>102.33808615000001</v>
          </cell>
          <cell r="O26">
            <v>22222.816447039997</v>
          </cell>
          <cell r="P26">
            <v>5878.6306524000001</v>
          </cell>
          <cell r="Q26">
            <v>4759.0746516599993</v>
          </cell>
          <cell r="R26">
            <v>1259.40665668</v>
          </cell>
          <cell r="S26">
            <v>139.85065594000002</v>
          </cell>
          <cell r="T26">
            <v>1352162.7683431699</v>
          </cell>
          <cell r="U26">
            <v>57775.567024880002</v>
          </cell>
          <cell r="V26">
            <v>37723.088621739997</v>
          </cell>
        </row>
        <row r="27">
          <cell r="C27" t="str">
            <v xml:space="preserve">    Total</v>
          </cell>
          <cell r="D27">
            <v>28003647</v>
          </cell>
          <cell r="E27">
            <v>1620095.9527252202</v>
          </cell>
          <cell r="F27">
            <v>281323.62379487004</v>
          </cell>
          <cell r="G27">
            <v>844048.81657032017</v>
          </cell>
          <cell r="H27">
            <v>79319.585608469992</v>
          </cell>
          <cell r="I27">
            <v>41748.671258519993</v>
          </cell>
          <cell r="J27">
            <v>21168.246094479997</v>
          </cell>
          <cell r="K27">
            <v>70159.030394510002</v>
          </cell>
          <cell r="L27">
            <v>17801.74828245</v>
          </cell>
          <cell r="M27">
            <v>15072.04199568</v>
          </cell>
          <cell r="N27">
            <v>124515.10263265</v>
          </cell>
          <cell r="O27">
            <v>1265214.4716167001</v>
          </cell>
          <cell r="P27">
            <v>153979.55569188998</v>
          </cell>
          <cell r="Q27">
            <v>186520.68299322997</v>
          </cell>
          <cell r="R27">
            <v>18706.915287859996</v>
          </cell>
          <cell r="S27">
            <v>51248.107723779991</v>
          </cell>
          <cell r="T27">
            <v>8133638.665461299</v>
          </cell>
          <cell r="U27">
            <v>609160.33513509994</v>
          </cell>
          <cell r="V27">
            <v>84395.118583000003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 formulário"/>
      <sheetName val="situação fiscal"/>
      <sheetName val="gênero"/>
      <sheetName val="faixa etária e gênero"/>
      <sheetName val="faixa BC"/>
      <sheetName val="faixa SM BC e gênero"/>
      <sheetName val="faixa SM RTT"/>
      <sheetName val="faixa SM RTT + RTE"/>
      <sheetName val="faixa SM RTT+RTE+RTI"/>
      <sheetName val="div+rend ME faixa rend total"/>
      <sheetName val="div+rend ME ocupação principal"/>
      <sheetName val="UF do declarante"/>
      <sheetName val="capital federativa do decl"/>
      <sheetName val="por municipio"/>
      <sheetName val="natureza de ocupação"/>
      <sheetName val="ocupação principal decl 1"/>
      <sheetName val="ocupação principal decl 2"/>
      <sheetName val="ocupação principal decl 3"/>
      <sheetName val="faixa doações e heranças"/>
      <sheetName val="tipo de rendimento"/>
      <sheetName val="deduções"/>
      <sheetName val="cálculo do imposto"/>
      <sheetName val="rendimentos tributáveis"/>
      <sheetName val="tributação exclusiva"/>
      <sheetName val="isentos e nâo tributáveis"/>
      <sheetName val="bens e direitos"/>
      <sheetName val="bens e direitos 2"/>
      <sheetName val="dívidas e ônus"/>
      <sheetName val="pagamentos e doações"/>
      <sheetName val="por RA_D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6" t="str">
            <v>Tabela 9 - Resumo das Declarações Por Faixa de Rendimentos Totais (em salários mínimos)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Valores R$ milhões</v>
          </cell>
        </row>
        <row r="7">
          <cell r="B7" t="str">
            <v>Faixa de Salário Mín. Mensal</v>
          </cell>
          <cell r="C7" t="str">
            <v>Qtde Declarantes</v>
          </cell>
          <cell r="D7" t="str">
            <v>Rendim. Tribut.</v>
          </cell>
          <cell r="E7" t="str">
            <v>Rendim. Tribut. Exclus.</v>
          </cell>
          <cell r="F7" t="str">
            <v>Rendim. Isentos</v>
          </cell>
          <cell r="G7" t="str">
            <v>DEDUÇÕES</v>
          </cell>
          <cell r="H7"/>
          <cell r="I7"/>
          <cell r="J7"/>
          <cell r="K7"/>
          <cell r="L7"/>
          <cell r="M7"/>
          <cell r="N7" t="str">
            <v>Base de Cálculo (RTL)</v>
          </cell>
          <cell r="O7" t="str">
            <v>Imposto Devido</v>
          </cell>
          <cell r="P7" t="str">
            <v>Imposto Pago</v>
          </cell>
          <cell r="Q7" t="str">
            <v>Imposto a Pagar</v>
          </cell>
          <cell r="R7" t="str">
            <v>Imposto a Restituir</v>
          </cell>
          <cell r="S7" t="str">
            <v>Bens e Direitos</v>
          </cell>
          <cell r="T7" t="str">
            <v>Dívidas e Ônus</v>
          </cell>
          <cell r="U7" t="str">
            <v>Doações e Heranças</v>
          </cell>
        </row>
        <row r="8">
          <cell r="B8"/>
          <cell r="C8"/>
          <cell r="D8"/>
          <cell r="E8"/>
          <cell r="F8"/>
          <cell r="G8" t="str">
            <v>Contrib. Previden.</v>
          </cell>
          <cell r="H8" t="str">
            <v>Dependentes</v>
          </cell>
          <cell r="I8" t="str">
            <v>Instrução</v>
          </cell>
          <cell r="J8" t="str">
            <v>Médicas</v>
          </cell>
          <cell r="K8" t="str">
            <v>Livro Caixa</v>
          </cell>
          <cell r="L8" t="str">
            <v>Pensão Aliment.</v>
          </cell>
          <cell r="M8" t="str">
            <v>Desc. Padrão</v>
          </cell>
          <cell r="N8"/>
          <cell r="O8"/>
          <cell r="P8"/>
          <cell r="Q8"/>
          <cell r="R8"/>
          <cell r="S8"/>
          <cell r="T8"/>
          <cell r="U8"/>
        </row>
        <row r="9">
          <cell r="B9" t="str">
            <v>Até 1/2</v>
          </cell>
          <cell r="C9">
            <v>1369076</v>
          </cell>
          <cell r="D9">
            <v>392.93130056999996</v>
          </cell>
          <cell r="E9">
            <v>95.804604259999991</v>
          </cell>
          <cell r="F9">
            <v>179.22133589000001</v>
          </cell>
          <cell r="G9">
            <v>182.44160223</v>
          </cell>
          <cell r="H9">
            <v>386.78407571999998</v>
          </cell>
          <cell r="I9">
            <v>28.872146920000002</v>
          </cell>
          <cell r="J9">
            <v>144.71008124000002</v>
          </cell>
          <cell r="K9">
            <v>1.2069055200000001</v>
          </cell>
          <cell r="L9">
            <v>30.391374120000005</v>
          </cell>
          <cell r="M9">
            <v>44.260578330000001</v>
          </cell>
          <cell r="N9">
            <v>308.45388980999996</v>
          </cell>
          <cell r="O9">
            <v>9.8676730000056334E-2</v>
          </cell>
          <cell r="P9">
            <v>430.03565101000004</v>
          </cell>
          <cell r="Q9">
            <v>1.1783719999999999E-2</v>
          </cell>
          <cell r="R9">
            <v>429.948758</v>
          </cell>
          <cell r="S9">
            <v>195476.47407734999</v>
          </cell>
          <cell r="T9">
            <v>19806.29537163</v>
          </cell>
          <cell r="U9">
            <v>33.980320800000001</v>
          </cell>
        </row>
        <row r="10">
          <cell r="B10" t="str">
            <v>De 1/2 a 1</v>
          </cell>
          <cell r="C10">
            <v>624019</v>
          </cell>
          <cell r="D10">
            <v>5660.1782350800004</v>
          </cell>
          <cell r="E10">
            <v>177.21825807000002</v>
          </cell>
          <cell r="F10">
            <v>528.04017923000004</v>
          </cell>
          <cell r="G10">
            <v>144.26196639999893</v>
          </cell>
          <cell r="H10">
            <v>211.86227484</v>
          </cell>
          <cell r="I10">
            <v>20.351680909999999</v>
          </cell>
          <cell r="J10">
            <v>80.333415430000002</v>
          </cell>
          <cell r="K10">
            <v>1.10228579</v>
          </cell>
          <cell r="L10">
            <v>10.196321209999999</v>
          </cell>
          <cell r="M10">
            <v>766.78318609000007</v>
          </cell>
          <cell r="N10">
            <v>4614.3751692599999</v>
          </cell>
          <cell r="O10">
            <v>0.1648118900000006</v>
          </cell>
          <cell r="P10">
            <v>26.776712660000001</v>
          </cell>
          <cell r="Q10">
            <v>5.385583E-2</v>
          </cell>
          <cell r="R10">
            <v>26.665756600000002</v>
          </cell>
          <cell r="S10">
            <v>65320.188837520007</v>
          </cell>
          <cell r="T10">
            <v>5750.6655721500001</v>
          </cell>
          <cell r="U10">
            <v>15.34652455</v>
          </cell>
        </row>
        <row r="11">
          <cell r="B11" t="str">
            <v>De 1 a 2</v>
          </cell>
          <cell r="C11">
            <v>1679764</v>
          </cell>
          <cell r="D11">
            <v>24272.14708721</v>
          </cell>
          <cell r="E11">
            <v>1082.7894379100001</v>
          </cell>
          <cell r="F11">
            <v>4211.0453028499996</v>
          </cell>
          <cell r="G11">
            <v>546.87891333000005</v>
          </cell>
          <cell r="H11">
            <v>783.57622835999996</v>
          </cell>
          <cell r="I11">
            <v>90.962924229999999</v>
          </cell>
          <cell r="J11">
            <v>393.34077773000001</v>
          </cell>
          <cell r="K11">
            <v>9.93142937</v>
          </cell>
          <cell r="L11">
            <v>38.506841250000008</v>
          </cell>
          <cell r="M11">
            <v>3080.81318078</v>
          </cell>
          <cell r="N11">
            <v>19993.75823128</v>
          </cell>
          <cell r="O11">
            <v>0.95825253999999915</v>
          </cell>
          <cell r="P11">
            <v>154.51190868999998</v>
          </cell>
          <cell r="Q11">
            <v>0.37069924000000004</v>
          </cell>
          <cell r="R11">
            <v>153.92435538999999</v>
          </cell>
          <cell r="S11">
            <v>179989.13515387001</v>
          </cell>
          <cell r="T11">
            <v>16669.324312180001</v>
          </cell>
          <cell r="U11">
            <v>80.555258989999999</v>
          </cell>
        </row>
        <row r="12">
          <cell r="B12" t="str">
            <v>De 2 a 3</v>
          </cell>
          <cell r="C12">
            <v>4660099</v>
          </cell>
          <cell r="D12">
            <v>119325.52873672999</v>
          </cell>
          <cell r="E12">
            <v>5676.7732874100002</v>
          </cell>
          <cell r="F12">
            <v>10974.214977130001</v>
          </cell>
          <cell r="G12">
            <v>2440.5948220199994</v>
          </cell>
          <cell r="H12">
            <v>3760.1771463599998</v>
          </cell>
          <cell r="I12">
            <v>573.4620731</v>
          </cell>
          <cell r="J12">
            <v>1785.3684332</v>
          </cell>
          <cell r="K12">
            <v>60.314721340000006</v>
          </cell>
          <cell r="L12">
            <v>234.80074445</v>
          </cell>
          <cell r="M12">
            <v>18799.591270590001</v>
          </cell>
          <cell r="N12">
            <v>93721.294040449997</v>
          </cell>
          <cell r="O12">
            <v>116.43724578</v>
          </cell>
          <cell r="P12">
            <v>782.18122009000001</v>
          </cell>
          <cell r="Q12">
            <v>39.61752362</v>
          </cell>
          <cell r="R12">
            <v>705.36149793000004</v>
          </cell>
          <cell r="S12">
            <v>416593.93398290005</v>
          </cell>
          <cell r="T12">
            <v>34855.124659749999</v>
          </cell>
          <cell r="U12">
            <v>195.0041368</v>
          </cell>
        </row>
        <row r="13">
          <cell r="B13" t="str">
            <v>De 3 a 5</v>
          </cell>
          <cell r="C13">
            <v>8290113</v>
          </cell>
          <cell r="D13">
            <v>301357.99486535997</v>
          </cell>
          <cell r="E13">
            <v>24140.211429819999</v>
          </cell>
          <cell r="F13">
            <v>44068.866035389998</v>
          </cell>
          <cell r="G13">
            <v>12318.0783882</v>
          </cell>
          <cell r="H13">
            <v>13035.96724152</v>
          </cell>
          <cell r="I13">
            <v>4246.0214667700002</v>
          </cell>
          <cell r="J13">
            <v>11348.50665732</v>
          </cell>
          <cell r="K13">
            <v>397.11965143000003</v>
          </cell>
          <cell r="L13">
            <v>1727.2264602199998</v>
          </cell>
          <cell r="M13">
            <v>35894.853069249999</v>
          </cell>
          <cell r="N13">
            <v>226443.21015150999</v>
          </cell>
          <cell r="O13">
            <v>4324.8465326899995</v>
          </cell>
          <cell r="P13">
            <v>14016.30811659</v>
          </cell>
          <cell r="Q13">
            <v>749.41822747999993</v>
          </cell>
          <cell r="R13">
            <v>10440.87981138</v>
          </cell>
          <cell r="S13">
            <v>729050.78192902007</v>
          </cell>
          <cell r="T13">
            <v>71025.112109180001</v>
          </cell>
          <cell r="U13">
            <v>841.13042684999994</v>
          </cell>
        </row>
        <row r="14">
          <cell r="B14" t="str">
            <v>De 5 a 7</v>
          </cell>
          <cell r="C14">
            <v>4390660</v>
          </cell>
          <cell r="D14">
            <v>231110.23348900001</v>
          </cell>
          <cell r="E14">
            <v>21147.81283997</v>
          </cell>
          <cell r="F14">
            <v>43927.469266140004</v>
          </cell>
          <cell r="G14">
            <v>9704.6457552800002</v>
          </cell>
          <cell r="H14">
            <v>7735.7315661600005</v>
          </cell>
          <cell r="I14">
            <v>4170.47527102</v>
          </cell>
          <cell r="J14">
            <v>12031.338390280001</v>
          </cell>
          <cell r="K14">
            <v>595.53498456</v>
          </cell>
          <cell r="L14">
            <v>1836.9894343600001</v>
          </cell>
          <cell r="M14">
            <v>25862.27265237</v>
          </cell>
          <cell r="N14">
            <v>171417.17173528997</v>
          </cell>
          <cell r="O14">
            <v>9309.2411164000005</v>
          </cell>
          <cell r="P14">
            <v>12138.187874269999</v>
          </cell>
          <cell r="Q14">
            <v>1531.0003891199999</v>
          </cell>
          <cell r="R14">
            <v>4359.94714699</v>
          </cell>
          <cell r="S14">
            <v>592801.32257113</v>
          </cell>
          <cell r="T14">
            <v>60037.63484494001</v>
          </cell>
          <cell r="U14">
            <v>1578.2551870699999</v>
          </cell>
        </row>
        <row r="15">
          <cell r="B15" t="str">
            <v>De 7 a 10</v>
          </cell>
          <cell r="C15">
            <v>3306828</v>
          </cell>
          <cell r="D15">
            <v>237048.34406346999</v>
          </cell>
          <cell r="E15">
            <v>23752.183616620001</v>
          </cell>
          <cell r="F15">
            <v>54172.228540560005</v>
          </cell>
          <cell r="G15">
            <v>10038.77449251</v>
          </cell>
          <cell r="H15">
            <v>6172.5878003999997</v>
          </cell>
          <cell r="I15">
            <v>4010.4985264800002</v>
          </cell>
          <cell r="J15">
            <v>12984.208181829999</v>
          </cell>
          <cell r="K15">
            <v>958.23158007000006</v>
          </cell>
          <cell r="L15">
            <v>2251.7987296800002</v>
          </cell>
          <cell r="M15">
            <v>24326.918856730001</v>
          </cell>
          <cell r="N15">
            <v>178071.47121504002</v>
          </cell>
          <cell r="O15">
            <v>18089.225590530001</v>
          </cell>
          <cell r="P15">
            <v>19891.384042179998</v>
          </cell>
          <cell r="Q15">
            <v>2828.5781386799999</v>
          </cell>
          <cell r="R15">
            <v>4630.7365903299997</v>
          </cell>
          <cell r="S15">
            <v>658254.11107654008</v>
          </cell>
          <cell r="T15">
            <v>65799.861120490008</v>
          </cell>
          <cell r="U15">
            <v>2541.13590376</v>
          </cell>
        </row>
        <row r="16">
          <cell r="B16" t="str">
            <v>De 10 a 15</v>
          </cell>
          <cell r="C16">
            <v>2541487</v>
          </cell>
          <cell r="D16">
            <v>251768.19092160999</v>
          </cell>
          <cell r="E16">
            <v>27779.37077781</v>
          </cell>
          <cell r="F16">
            <v>73761.976294580003</v>
          </cell>
          <cell r="G16">
            <v>12764.735000709999</v>
          </cell>
          <cell r="H16">
            <v>4743.6077773199995</v>
          </cell>
          <cell r="I16">
            <v>3467.9285023800003</v>
          </cell>
          <cell r="J16">
            <v>14433.21364242</v>
          </cell>
          <cell r="K16">
            <v>1518.1668844999999</v>
          </cell>
          <cell r="L16">
            <v>2572.7585288400001</v>
          </cell>
          <cell r="M16">
            <v>15933.179066909999</v>
          </cell>
          <cell r="N16">
            <v>197669.09188719001</v>
          </cell>
          <cell r="O16">
            <v>30409.566571440002</v>
          </cell>
          <cell r="P16">
            <v>30501.355139430001</v>
          </cell>
          <cell r="Q16">
            <v>3828.1324548399998</v>
          </cell>
          <cell r="R16">
            <v>3919.9210228300003</v>
          </cell>
          <cell r="S16">
            <v>791109.61434744997</v>
          </cell>
          <cell r="T16">
            <v>75538.1214645</v>
          </cell>
          <cell r="U16">
            <v>3749.6126237200001</v>
          </cell>
        </row>
        <row r="17">
          <cell r="B17" t="str">
            <v>De 15 a 20</v>
          </cell>
          <cell r="C17">
            <v>1169498</v>
          </cell>
          <cell r="D17">
            <v>154055.84741511001</v>
          </cell>
          <cell r="E17">
            <v>19618.36652589</v>
          </cell>
          <cell r="F17">
            <v>57014.275709170004</v>
          </cell>
          <cell r="G17">
            <v>9566.7892119799999</v>
          </cell>
          <cell r="H17">
            <v>2172.9175326</v>
          </cell>
          <cell r="I17">
            <v>1682.57837834</v>
          </cell>
          <cell r="J17">
            <v>9031.868751760001</v>
          </cell>
          <cell r="K17">
            <v>1223.01290176</v>
          </cell>
          <cell r="L17">
            <v>1662.9608843599999</v>
          </cell>
          <cell r="M17">
            <v>5074.15185561</v>
          </cell>
          <cell r="N17">
            <v>124396.51081000999</v>
          </cell>
          <cell r="O17">
            <v>23263.000222179999</v>
          </cell>
          <cell r="P17">
            <v>22884.600439690003</v>
          </cell>
          <cell r="Q17">
            <v>2384.1268742000002</v>
          </cell>
          <cell r="R17">
            <v>2005.72709171</v>
          </cell>
          <cell r="S17">
            <v>577370.74237852998</v>
          </cell>
          <cell r="T17">
            <v>51710.620232320005</v>
          </cell>
          <cell r="U17">
            <v>3194.2012268899998</v>
          </cell>
        </row>
        <row r="18">
          <cell r="B18" t="str">
            <v>De 20 a 30</v>
          </cell>
          <cell r="C18">
            <v>1075552</v>
          </cell>
          <cell r="D18">
            <v>184596.27458771001</v>
          </cell>
          <cell r="E18">
            <v>27250.404223360001</v>
          </cell>
          <cell r="F18">
            <v>86200.970263650001</v>
          </cell>
          <cell r="G18">
            <v>13161.70424488</v>
          </cell>
          <cell r="H18">
            <v>1970.3694352799998</v>
          </cell>
          <cell r="I18">
            <v>1554.62730128</v>
          </cell>
          <cell r="J18">
            <v>10474.71567525</v>
          </cell>
          <cell r="K18">
            <v>1947.34496911</v>
          </cell>
          <cell r="L18">
            <v>2100.7248564700003</v>
          </cell>
          <cell r="M18">
            <v>3422.8704441700002</v>
          </cell>
          <cell r="N18">
            <v>151026.77406969</v>
          </cell>
          <cell r="O18">
            <v>31547.919070540003</v>
          </cell>
          <cell r="P18">
            <v>30940.601032669998</v>
          </cell>
          <cell r="Q18">
            <v>2746.1435569000005</v>
          </cell>
          <cell r="R18">
            <v>2138.8255190300001</v>
          </cell>
          <cell r="S18">
            <v>820644.81916300999</v>
          </cell>
          <cell r="T18">
            <v>64515.553324170003</v>
          </cell>
          <cell r="U18">
            <v>5539.4294624600007</v>
          </cell>
        </row>
        <row r="19">
          <cell r="B19" t="str">
            <v>De 30 a 40</v>
          </cell>
          <cell r="C19">
            <v>487374</v>
          </cell>
          <cell r="D19">
            <v>109732.08853677</v>
          </cell>
          <cell r="E19">
            <v>18357.965290960001</v>
          </cell>
          <cell r="F19">
            <v>63872.361006599996</v>
          </cell>
          <cell r="G19">
            <v>8568.6713167500002</v>
          </cell>
          <cell r="H19">
            <v>871.36929048000013</v>
          </cell>
          <cell r="I19">
            <v>696.78288254999995</v>
          </cell>
          <cell r="J19">
            <v>6063.4323460200003</v>
          </cell>
          <cell r="K19">
            <v>1412.7985314</v>
          </cell>
          <cell r="L19">
            <v>1342.8306988000002</v>
          </cell>
          <cell r="M19">
            <v>1256.1611930199999</v>
          </cell>
          <cell r="N19">
            <v>90389.8489347</v>
          </cell>
          <cell r="O19">
            <v>20361.41063921</v>
          </cell>
          <cell r="P19">
            <v>20016.68930559</v>
          </cell>
          <cell r="Q19">
            <v>1633.3114891800001</v>
          </cell>
          <cell r="R19">
            <v>1288.5901555600001</v>
          </cell>
          <cell r="S19">
            <v>575514.08169539995</v>
          </cell>
          <cell r="T19">
            <v>37878.844840749996</v>
          </cell>
          <cell r="U19">
            <v>4373.5309732099995</v>
          </cell>
        </row>
        <row r="20">
          <cell r="B20" t="str">
            <v>De 40 a 60</v>
          </cell>
          <cell r="C20">
            <v>356811</v>
          </cell>
          <cell r="D20">
            <v>93241.624778040001</v>
          </cell>
          <cell r="E20">
            <v>21886.076074709999</v>
          </cell>
          <cell r="F20">
            <v>81035.776068770007</v>
          </cell>
          <cell r="G20">
            <v>6837.5521329900002</v>
          </cell>
          <cell r="H20">
            <v>660.98126748000004</v>
          </cell>
          <cell r="I20">
            <v>550.63233857</v>
          </cell>
          <cell r="J20">
            <v>4743.2255768900004</v>
          </cell>
          <cell r="K20">
            <v>1851.3344748499999</v>
          </cell>
          <cell r="L20">
            <v>1069.7463614899998</v>
          </cell>
          <cell r="M20">
            <v>970.48448397000004</v>
          </cell>
          <cell r="N20">
            <v>77110.892376150005</v>
          </cell>
          <cell r="O20">
            <v>17967.868113159999</v>
          </cell>
          <cell r="P20">
            <v>17221.536975430001</v>
          </cell>
          <cell r="Q20">
            <v>1703.0693144899999</v>
          </cell>
          <cell r="R20">
            <v>956.73817675999999</v>
          </cell>
          <cell r="S20">
            <v>657985.92027346999</v>
          </cell>
          <cell r="T20">
            <v>40679.611283370003</v>
          </cell>
          <cell r="U20">
            <v>6716.3741309699999</v>
          </cell>
        </row>
        <row r="21">
          <cell r="B21" t="str">
            <v>De 60 a 80</v>
          </cell>
          <cell r="C21">
            <v>123515</v>
          </cell>
          <cell r="D21">
            <v>35609.521632260003</v>
          </cell>
          <cell r="E21">
            <v>12227.036604000001</v>
          </cell>
          <cell r="F21">
            <v>49119.452718389999</v>
          </cell>
          <cell r="G21">
            <v>2174.2902782199999</v>
          </cell>
          <cell r="H21">
            <v>225.3125478</v>
          </cell>
          <cell r="I21">
            <v>183.02236402</v>
          </cell>
          <cell r="J21">
            <v>1648.55647894</v>
          </cell>
          <cell r="K21">
            <v>1018.61520623</v>
          </cell>
          <cell r="L21">
            <v>390.94588275000007</v>
          </cell>
          <cell r="M21">
            <v>386.32692663</v>
          </cell>
          <cell r="N21">
            <v>29763.98887909</v>
          </cell>
          <cell r="O21">
            <v>7096.3114881499996</v>
          </cell>
          <cell r="P21">
            <v>6634.3309200799995</v>
          </cell>
          <cell r="Q21">
            <v>818.08907374</v>
          </cell>
          <cell r="R21">
            <v>356.10850567000006</v>
          </cell>
          <cell r="S21">
            <v>363226.91407176998</v>
          </cell>
          <cell r="T21">
            <v>20571.068749409998</v>
          </cell>
          <cell r="U21">
            <v>4634.0226903799994</v>
          </cell>
        </row>
        <row r="22">
          <cell r="B22" t="str">
            <v>De 80 a 160</v>
          </cell>
          <cell r="C22">
            <v>125552</v>
          </cell>
          <cell r="D22">
            <v>40920.28555588</v>
          </cell>
          <cell r="E22">
            <v>21534.296236260001</v>
          </cell>
          <cell r="F22">
            <v>92329.584441269995</v>
          </cell>
          <cell r="G22">
            <v>1893.6408092900001</v>
          </cell>
          <cell r="H22">
            <v>218.08234356000003</v>
          </cell>
          <cell r="I22">
            <v>170.30571002000002</v>
          </cell>
          <cell r="J22">
            <v>1691.26756198</v>
          </cell>
          <cell r="K22">
            <v>1711.2732589899999</v>
          </cell>
          <cell r="L22">
            <v>385.39136887000006</v>
          </cell>
          <cell r="M22">
            <v>458.59249579000004</v>
          </cell>
          <cell r="N22">
            <v>34662.210884389999</v>
          </cell>
          <cell r="O22">
            <v>8433.4389390200013</v>
          </cell>
          <cell r="P22">
            <v>7607.0532610700002</v>
          </cell>
          <cell r="Q22">
            <v>1225.5476775700001</v>
          </cell>
          <cell r="R22">
            <v>399.16199962000002</v>
          </cell>
          <cell r="S22">
            <v>663190.62108076003</v>
          </cell>
          <cell r="T22">
            <v>34301.021938639999</v>
          </cell>
          <cell r="U22">
            <v>10626.233891510001</v>
          </cell>
        </row>
        <row r="23">
          <cell r="B23" t="str">
            <v>De 160 a 240</v>
          </cell>
          <cell r="C23">
            <v>29755</v>
          </cell>
          <cell r="D23">
            <v>12332.252015959999</v>
          </cell>
          <cell r="E23">
            <v>9774.6148519599992</v>
          </cell>
          <cell r="F23">
            <v>43751.485666139997</v>
          </cell>
          <cell r="G23">
            <v>402.83766237999998</v>
          </cell>
          <cell r="H23">
            <v>50.668306680000001</v>
          </cell>
          <cell r="I23">
            <v>37.622085320000004</v>
          </cell>
          <cell r="J23">
            <v>448.88888907999996</v>
          </cell>
          <cell r="K23">
            <v>877.03650057000004</v>
          </cell>
          <cell r="L23">
            <v>101.65867182000001</v>
          </cell>
          <cell r="M23">
            <v>116.07806463</v>
          </cell>
          <cell r="N23">
            <v>10382.5733612</v>
          </cell>
          <cell r="O23">
            <v>2606.0986414199997</v>
          </cell>
          <cell r="P23">
            <v>2229.96941023</v>
          </cell>
          <cell r="Q23">
            <v>477.16516236999996</v>
          </cell>
          <cell r="R23">
            <v>101.03593117999999</v>
          </cell>
          <cell r="S23">
            <v>310228.89226356999</v>
          </cell>
          <cell r="T23">
            <v>14366.474991890002</v>
          </cell>
          <cell r="U23">
            <v>5687.1003563000004</v>
          </cell>
        </row>
        <row r="24">
          <cell r="B24" t="str">
            <v>De 240 a 320</v>
          </cell>
          <cell r="C24">
            <v>12812</v>
          </cell>
          <cell r="D24">
            <v>6590.9098880700003</v>
          </cell>
          <cell r="E24">
            <v>6371.5344196999995</v>
          </cell>
          <cell r="F24">
            <v>27463.68105422</v>
          </cell>
          <cell r="G24">
            <v>210.76069272000001</v>
          </cell>
          <cell r="H24">
            <v>22.34583576</v>
          </cell>
          <cell r="I24">
            <v>16.164131449999999</v>
          </cell>
          <cell r="J24">
            <v>215.96032081999999</v>
          </cell>
          <cell r="K24">
            <v>650.24249429999998</v>
          </cell>
          <cell r="L24">
            <v>54.6090339</v>
          </cell>
          <cell r="M24">
            <v>49.290771579999998</v>
          </cell>
          <cell r="N24">
            <v>5453.7446172199998</v>
          </cell>
          <cell r="O24">
            <v>1375.4601279799999</v>
          </cell>
          <cell r="P24">
            <v>1141.2095250699999</v>
          </cell>
          <cell r="Q24">
            <v>279.61883139999998</v>
          </cell>
          <cell r="R24">
            <v>45.36822849</v>
          </cell>
          <cell r="S24">
            <v>194624.11661960001</v>
          </cell>
          <cell r="T24">
            <v>9848.6135873999992</v>
          </cell>
          <cell r="U24">
            <v>3599.7921754499998</v>
          </cell>
        </row>
        <row r="25">
          <cell r="B25" t="str">
            <v>Mais de 320</v>
          </cell>
          <cell r="C25">
            <v>26099</v>
          </cell>
          <cell r="D25">
            <v>29876.939958809999</v>
          </cell>
          <cell r="E25">
            <v>61854.817910440004</v>
          </cell>
          <cell r="F25">
            <v>224678.45172028002</v>
          </cell>
          <cell r="G25">
            <v>681.23951635000003</v>
          </cell>
          <cell r="H25">
            <v>46.054444439999997</v>
          </cell>
          <cell r="I25">
            <v>33.513110730000001</v>
          </cell>
          <cell r="J25">
            <v>528.51605617999996</v>
          </cell>
          <cell r="K25">
            <v>4877.9639396700004</v>
          </cell>
          <cell r="L25">
            <v>210.92898012999999</v>
          </cell>
          <cell r="M25">
            <v>99.821817480000007</v>
          </cell>
          <cell r="N25">
            <v>23531.467954439999</v>
          </cell>
          <cell r="O25">
            <v>6032.3201601200008</v>
          </cell>
          <cell r="P25">
            <v>5095.45358304</v>
          </cell>
          <cell r="Q25">
            <v>1117.9777699799999</v>
          </cell>
          <cell r="R25">
            <v>181.11119289999999</v>
          </cell>
          <cell r="S25">
            <v>1521082.2970177801</v>
          </cell>
          <cell r="T25">
            <v>61698.601640360008</v>
          </cell>
          <cell r="U25">
            <v>40685.626647439996</v>
          </cell>
        </row>
        <row r="26">
          <cell r="B26" t="str">
            <v xml:space="preserve">    Total</v>
          </cell>
          <cell r="C26">
            <v>30269014</v>
          </cell>
          <cell r="D26">
            <v>1837891.2930676402</v>
          </cell>
          <cell r="E26">
            <v>302727.27638915001</v>
          </cell>
          <cell r="F26">
            <v>957289.10058025992</v>
          </cell>
          <cell r="G26">
            <v>91637.896806239994</v>
          </cell>
          <cell r="H26">
            <v>43068.395114760002</v>
          </cell>
          <cell r="I26">
            <v>21533.82089409</v>
          </cell>
          <cell r="J26">
            <v>88047.451236370005</v>
          </cell>
          <cell r="K26">
            <v>19111.230719460003</v>
          </cell>
          <cell r="L26">
            <v>16022.465172720002</v>
          </cell>
          <cell r="M26">
            <v>136542.44991393003</v>
          </cell>
          <cell r="N26">
            <v>1438956.8382067201</v>
          </cell>
          <cell r="O26">
            <v>180934.36619977999</v>
          </cell>
          <cell r="P26">
            <v>191712.18511779001</v>
          </cell>
          <cell r="Q26">
            <v>21362.232822359998</v>
          </cell>
          <cell r="R26">
            <v>32140.051740369996</v>
          </cell>
          <cell r="S26">
            <v>9312463.9665396698</v>
          </cell>
          <cell r="T26">
            <v>685052.55004312994</v>
          </cell>
          <cell r="U26">
            <v>94091.331937149982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o formulário"/>
      <sheetName val="situação fiscal"/>
      <sheetName val="gênero"/>
      <sheetName val="faixa etária e gênero"/>
      <sheetName val="faixa BC"/>
      <sheetName val="faixa SM BC e gênero"/>
      <sheetName val="faixa SM RTT"/>
      <sheetName val="faixa SM RTT + RTE"/>
      <sheetName val="faixa SM RTT+RTE+RTI"/>
      <sheetName val="div+rend ME faixa rend total"/>
      <sheetName val="div+rend ME ocupação principal"/>
      <sheetName val="UF do declarante"/>
      <sheetName val="capital federativa do decl"/>
      <sheetName val="por municipio"/>
      <sheetName val="por RA_DF"/>
      <sheetName val="natureza de ocupação"/>
      <sheetName val="ocupação principal decl 1"/>
      <sheetName val="ocupação principal decl 2"/>
      <sheetName val="ocupação principal decl 3"/>
      <sheetName val="faixa doações e heranças"/>
      <sheetName val="tipo de rendimento"/>
      <sheetName val="deduções"/>
      <sheetName val="cálculo do imposto"/>
      <sheetName val="rendimentos tributáveis"/>
      <sheetName val="tributação exclusiva"/>
      <sheetName val="isentos e nâo tributáveis"/>
      <sheetName val="bens e direitos"/>
      <sheetName val="bens e direitos 2"/>
      <sheetName val="dívidas e ônus"/>
      <sheetName val="pagamentos e doa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B6" t="str">
            <v>Tabela 9 - Resumo das Declarações Por Faixa de Rendimentos Totais (em salários mínimos)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Valores R$ milhões</v>
          </cell>
        </row>
        <row r="7">
          <cell r="B7" t="str">
            <v>Faixa de Salário Mín. Mensal</v>
          </cell>
          <cell r="C7" t="str">
            <v>Qtde Declarantes</v>
          </cell>
          <cell r="D7" t="str">
            <v>Rendim. Tribut.</v>
          </cell>
          <cell r="E7" t="str">
            <v>Rendim. Tribut. Exclus.</v>
          </cell>
          <cell r="F7" t="str">
            <v>Rendim. Isentos</v>
          </cell>
          <cell r="G7" t="str">
            <v>DEDUÇÕES</v>
          </cell>
          <cell r="H7"/>
          <cell r="I7"/>
          <cell r="J7"/>
          <cell r="K7"/>
          <cell r="L7"/>
          <cell r="M7"/>
          <cell r="N7" t="str">
            <v>Base de Cálculo (RTL)</v>
          </cell>
          <cell r="O7" t="str">
            <v>Imposto Devido</v>
          </cell>
          <cell r="P7" t="str">
            <v>Imposto Pago</v>
          </cell>
          <cell r="Q7" t="str">
            <v>Imposto a Pagar</v>
          </cell>
          <cell r="R7" t="str">
            <v>Imposto a Restituir</v>
          </cell>
          <cell r="S7" t="str">
            <v>Bens e Direitos</v>
          </cell>
          <cell r="T7" t="str">
            <v>Dívidas e Ônus</v>
          </cell>
          <cell r="U7" t="str">
            <v>Doações e Heranças</v>
          </cell>
        </row>
        <row r="8">
          <cell r="B8"/>
          <cell r="C8"/>
          <cell r="D8"/>
          <cell r="E8"/>
          <cell r="F8"/>
          <cell r="G8" t="str">
            <v>Contrib. Previden.</v>
          </cell>
          <cell r="H8" t="str">
            <v>Dependentes</v>
          </cell>
          <cell r="I8" t="str">
            <v>Instrução</v>
          </cell>
          <cell r="J8" t="str">
            <v>Médicas</v>
          </cell>
          <cell r="K8" t="str">
            <v>Livro Caixa</v>
          </cell>
          <cell r="L8" t="str">
            <v>Pensão Aliment.</v>
          </cell>
          <cell r="M8" t="str">
            <v>Desc. Padrão</v>
          </cell>
          <cell r="N8"/>
          <cell r="O8"/>
          <cell r="P8"/>
          <cell r="Q8"/>
          <cell r="R8"/>
          <cell r="S8"/>
          <cell r="T8"/>
          <cell r="U8"/>
        </row>
        <row r="9">
          <cell r="B9" t="str">
            <v>Até 1/2</v>
          </cell>
          <cell r="C9">
            <v>1369076</v>
          </cell>
          <cell r="D9">
            <v>392.93130056999996</v>
          </cell>
          <cell r="E9">
            <v>95.804604259999991</v>
          </cell>
          <cell r="F9">
            <v>179.22133589000001</v>
          </cell>
          <cell r="G9">
            <v>182.44160223</v>
          </cell>
          <cell r="H9">
            <v>386.78407571999998</v>
          </cell>
          <cell r="I9">
            <v>28.872146920000002</v>
          </cell>
          <cell r="J9">
            <v>144.71008124000002</v>
          </cell>
          <cell r="K9">
            <v>1.2069055200000001</v>
          </cell>
          <cell r="L9">
            <v>30.391374120000005</v>
          </cell>
          <cell r="M9">
            <v>44.260578330000001</v>
          </cell>
          <cell r="N9">
            <v>308.45388980999996</v>
          </cell>
          <cell r="O9">
            <v>9.8676730000056334E-2</v>
          </cell>
          <cell r="P9">
            <v>430.03565101000004</v>
          </cell>
          <cell r="Q9">
            <v>1.1783719999999999E-2</v>
          </cell>
          <cell r="R9">
            <v>429.948758</v>
          </cell>
          <cell r="S9">
            <v>195476.47407734999</v>
          </cell>
          <cell r="T9">
            <v>19806.29537163</v>
          </cell>
          <cell r="U9">
            <v>33.980320800000001</v>
          </cell>
        </row>
        <row r="10">
          <cell r="B10" t="str">
            <v>De 1/2 a 1</v>
          </cell>
          <cell r="C10">
            <v>624019</v>
          </cell>
          <cell r="D10">
            <v>5660.1782350800004</v>
          </cell>
          <cell r="E10">
            <v>177.21825807000002</v>
          </cell>
          <cell r="F10">
            <v>528.04017923000004</v>
          </cell>
          <cell r="G10">
            <v>144.26196639999893</v>
          </cell>
          <cell r="H10">
            <v>211.86227484</v>
          </cell>
          <cell r="I10">
            <v>20.351680909999999</v>
          </cell>
          <cell r="J10">
            <v>80.333415430000002</v>
          </cell>
          <cell r="K10">
            <v>1.10228579</v>
          </cell>
          <cell r="L10">
            <v>10.196321209999999</v>
          </cell>
          <cell r="M10">
            <v>766.78318609000007</v>
          </cell>
          <cell r="N10">
            <v>4614.3751692599999</v>
          </cell>
          <cell r="O10">
            <v>0.1648118900000006</v>
          </cell>
          <cell r="P10">
            <v>26.776712660000001</v>
          </cell>
          <cell r="Q10">
            <v>5.385583E-2</v>
          </cell>
          <cell r="R10">
            <v>26.665756600000002</v>
          </cell>
          <cell r="S10">
            <v>65320.188837520007</v>
          </cell>
          <cell r="T10">
            <v>5750.6655721500001</v>
          </cell>
          <cell r="U10">
            <v>15.34652455</v>
          </cell>
        </row>
        <row r="11">
          <cell r="B11" t="str">
            <v>De 1 a 2</v>
          </cell>
          <cell r="C11">
            <v>1679764</v>
          </cell>
          <cell r="D11">
            <v>24272.14708721</v>
          </cell>
          <cell r="E11">
            <v>1082.7894379100001</v>
          </cell>
          <cell r="F11">
            <v>4211.0453028499996</v>
          </cell>
          <cell r="G11">
            <v>546.87891333000005</v>
          </cell>
          <cell r="H11">
            <v>783.57622835999996</v>
          </cell>
          <cell r="I11">
            <v>90.962924229999999</v>
          </cell>
          <cell r="J11">
            <v>393.34077773000001</v>
          </cell>
          <cell r="K11">
            <v>9.93142937</v>
          </cell>
          <cell r="L11">
            <v>38.506841250000008</v>
          </cell>
          <cell r="M11">
            <v>3080.81318078</v>
          </cell>
          <cell r="N11">
            <v>19993.75823128</v>
          </cell>
          <cell r="O11">
            <v>0.95825253999999915</v>
          </cell>
          <cell r="P11">
            <v>154.51190868999998</v>
          </cell>
          <cell r="Q11">
            <v>0.37069924000000004</v>
          </cell>
          <cell r="R11">
            <v>153.92435538999999</v>
          </cell>
          <cell r="S11">
            <v>179989.13515387001</v>
          </cell>
          <cell r="T11">
            <v>16669.324312180001</v>
          </cell>
          <cell r="U11">
            <v>80.555258989999999</v>
          </cell>
        </row>
        <row r="12">
          <cell r="B12" t="str">
            <v>De 2 a 3</v>
          </cell>
          <cell r="C12">
            <v>4660099</v>
          </cell>
          <cell r="D12">
            <v>119325.52873672999</v>
          </cell>
          <cell r="E12">
            <v>5676.7732874100002</v>
          </cell>
          <cell r="F12">
            <v>10974.214977130001</v>
          </cell>
          <cell r="G12">
            <v>2440.5948220199994</v>
          </cell>
          <cell r="H12">
            <v>3760.1771463599998</v>
          </cell>
          <cell r="I12">
            <v>573.4620731</v>
          </cell>
          <cell r="J12">
            <v>1785.3684332</v>
          </cell>
          <cell r="K12">
            <v>60.314721340000006</v>
          </cell>
          <cell r="L12">
            <v>234.80074445</v>
          </cell>
          <cell r="M12">
            <v>18799.591270590001</v>
          </cell>
          <cell r="N12">
            <v>93721.294040449997</v>
          </cell>
          <cell r="O12">
            <v>116.43724578</v>
          </cell>
          <cell r="P12">
            <v>782.18122009000001</v>
          </cell>
          <cell r="Q12">
            <v>39.61752362</v>
          </cell>
          <cell r="R12">
            <v>705.36149793000004</v>
          </cell>
          <cell r="S12">
            <v>416593.93398290005</v>
          </cell>
          <cell r="T12">
            <v>34855.124659749999</v>
          </cell>
          <cell r="U12">
            <v>195.0041368</v>
          </cell>
        </row>
        <row r="13">
          <cell r="B13" t="str">
            <v>De 3 a 5</v>
          </cell>
          <cell r="C13">
            <v>8290113</v>
          </cell>
          <cell r="D13">
            <v>301357.99486535997</v>
          </cell>
          <cell r="E13">
            <v>24140.211429819999</v>
          </cell>
          <cell r="F13">
            <v>44068.866035389998</v>
          </cell>
          <cell r="G13">
            <v>12318.0783882</v>
          </cell>
          <cell r="H13">
            <v>13035.96724152</v>
          </cell>
          <cell r="I13">
            <v>4246.0214667700002</v>
          </cell>
          <cell r="J13">
            <v>11348.50665732</v>
          </cell>
          <cell r="K13">
            <v>397.11965143000003</v>
          </cell>
          <cell r="L13">
            <v>1727.2264602199998</v>
          </cell>
          <cell r="M13">
            <v>35894.853069249999</v>
          </cell>
          <cell r="N13">
            <v>226443.21015150999</v>
          </cell>
          <cell r="O13">
            <v>4324.8465326899995</v>
          </cell>
          <cell r="P13">
            <v>14016.30811659</v>
          </cell>
          <cell r="Q13">
            <v>749.41822747999993</v>
          </cell>
          <cell r="R13">
            <v>10440.87981138</v>
          </cell>
          <cell r="S13">
            <v>729050.78192902007</v>
          </cell>
          <cell r="T13">
            <v>71025.112109180001</v>
          </cell>
          <cell r="U13">
            <v>841.13042684999994</v>
          </cell>
        </row>
        <row r="14">
          <cell r="B14" t="str">
            <v>De 5 a 7</v>
          </cell>
          <cell r="C14">
            <v>4390660</v>
          </cell>
          <cell r="D14">
            <v>231110.23348900001</v>
          </cell>
          <cell r="E14">
            <v>21147.81283997</v>
          </cell>
          <cell r="F14">
            <v>43927.469266140004</v>
          </cell>
          <cell r="G14">
            <v>9704.6457552800002</v>
          </cell>
          <cell r="H14">
            <v>7735.7315661600005</v>
          </cell>
          <cell r="I14">
            <v>4170.47527102</v>
          </cell>
          <cell r="J14">
            <v>12031.338390280001</v>
          </cell>
          <cell r="K14">
            <v>595.53498456</v>
          </cell>
          <cell r="L14">
            <v>1836.9894343600001</v>
          </cell>
          <cell r="M14">
            <v>25862.27265237</v>
          </cell>
          <cell r="N14">
            <v>171417.17173528997</v>
          </cell>
          <cell r="O14">
            <v>9309.2411164000005</v>
          </cell>
          <cell r="P14">
            <v>12138.187874269999</v>
          </cell>
          <cell r="Q14">
            <v>1531.0003891199999</v>
          </cell>
          <cell r="R14">
            <v>4359.94714699</v>
          </cell>
          <cell r="S14">
            <v>592801.32257113</v>
          </cell>
          <cell r="T14">
            <v>60037.63484494001</v>
          </cell>
          <cell r="U14">
            <v>1578.2551870699999</v>
          </cell>
        </row>
        <row r="15">
          <cell r="B15" t="str">
            <v>De 7 a 10</v>
          </cell>
          <cell r="C15">
            <v>3306828</v>
          </cell>
          <cell r="D15">
            <v>237048.34406346999</v>
          </cell>
          <cell r="E15">
            <v>23752.183616620001</v>
          </cell>
          <cell r="F15">
            <v>54172.228540560005</v>
          </cell>
          <cell r="G15">
            <v>10038.77449251</v>
          </cell>
          <cell r="H15">
            <v>6172.5878003999997</v>
          </cell>
          <cell r="I15">
            <v>4010.4985264800002</v>
          </cell>
          <cell r="J15">
            <v>12984.208181829999</v>
          </cell>
          <cell r="K15">
            <v>958.23158007000006</v>
          </cell>
          <cell r="L15">
            <v>2251.7987296800002</v>
          </cell>
          <cell r="M15">
            <v>24326.918856730001</v>
          </cell>
          <cell r="N15">
            <v>178071.47121504002</v>
          </cell>
          <cell r="O15">
            <v>18089.225590530001</v>
          </cell>
          <cell r="P15">
            <v>19891.384042179998</v>
          </cell>
          <cell r="Q15">
            <v>2828.5781386799999</v>
          </cell>
          <cell r="R15">
            <v>4630.7365903299997</v>
          </cell>
          <cell r="S15">
            <v>658254.11107654008</v>
          </cell>
          <cell r="T15">
            <v>65799.861120490008</v>
          </cell>
          <cell r="U15">
            <v>2541.13590376</v>
          </cell>
        </row>
        <row r="16">
          <cell r="B16" t="str">
            <v>De 10 a 15</v>
          </cell>
          <cell r="C16">
            <v>2541487</v>
          </cell>
          <cell r="D16">
            <v>251768.19092160999</v>
          </cell>
          <cell r="E16">
            <v>27779.37077781</v>
          </cell>
          <cell r="F16">
            <v>73761.976294580003</v>
          </cell>
          <cell r="G16">
            <v>12764.735000709999</v>
          </cell>
          <cell r="H16">
            <v>4743.6077773199995</v>
          </cell>
          <cell r="I16">
            <v>3467.9285023800003</v>
          </cell>
          <cell r="J16">
            <v>14433.21364242</v>
          </cell>
          <cell r="K16">
            <v>1518.1668844999999</v>
          </cell>
          <cell r="L16">
            <v>2572.7585288400001</v>
          </cell>
          <cell r="M16">
            <v>15933.179066909999</v>
          </cell>
          <cell r="N16">
            <v>197669.09188719001</v>
          </cell>
          <cell r="O16">
            <v>30409.566571440002</v>
          </cell>
          <cell r="P16">
            <v>30501.355139430001</v>
          </cell>
          <cell r="Q16">
            <v>3828.1324548399998</v>
          </cell>
          <cell r="R16">
            <v>3919.9210228300003</v>
          </cell>
          <cell r="S16">
            <v>791109.61434744997</v>
          </cell>
          <cell r="T16">
            <v>75538.1214645</v>
          </cell>
          <cell r="U16">
            <v>3749.6126237200001</v>
          </cell>
        </row>
        <row r="17">
          <cell r="B17" t="str">
            <v>De 15 a 20</v>
          </cell>
          <cell r="C17">
            <v>1169498</v>
          </cell>
          <cell r="D17">
            <v>154055.84741511001</v>
          </cell>
          <cell r="E17">
            <v>19618.36652589</v>
          </cell>
          <cell r="F17">
            <v>57014.275709170004</v>
          </cell>
          <cell r="G17">
            <v>9566.7892119799999</v>
          </cell>
          <cell r="H17">
            <v>2172.9175326</v>
          </cell>
          <cell r="I17">
            <v>1682.57837834</v>
          </cell>
          <cell r="J17">
            <v>9031.868751760001</v>
          </cell>
          <cell r="K17">
            <v>1223.01290176</v>
          </cell>
          <cell r="L17">
            <v>1662.9608843599999</v>
          </cell>
          <cell r="M17">
            <v>5074.15185561</v>
          </cell>
          <cell r="N17">
            <v>124396.51081000999</v>
          </cell>
          <cell r="O17">
            <v>23263.000222179999</v>
          </cell>
          <cell r="P17">
            <v>22884.600439690003</v>
          </cell>
          <cell r="Q17">
            <v>2384.1268742000002</v>
          </cell>
          <cell r="R17">
            <v>2005.72709171</v>
          </cell>
          <cell r="S17">
            <v>577370.74237852998</v>
          </cell>
          <cell r="T17">
            <v>51710.620232320005</v>
          </cell>
          <cell r="U17">
            <v>3194.2012268899998</v>
          </cell>
        </row>
        <row r="18">
          <cell r="B18" t="str">
            <v>De 20 a 30</v>
          </cell>
          <cell r="C18">
            <v>1075552</v>
          </cell>
          <cell r="D18">
            <v>184596.27458771001</v>
          </cell>
          <cell r="E18">
            <v>27250.404223360001</v>
          </cell>
          <cell r="F18">
            <v>86200.970263650001</v>
          </cell>
          <cell r="G18">
            <v>13161.70424488</v>
          </cell>
          <cell r="H18">
            <v>1970.3694352799998</v>
          </cell>
          <cell r="I18">
            <v>1554.62730128</v>
          </cell>
          <cell r="J18">
            <v>10474.71567525</v>
          </cell>
          <cell r="K18">
            <v>1947.34496911</v>
          </cell>
          <cell r="L18">
            <v>2100.7248564700003</v>
          </cell>
          <cell r="M18">
            <v>3422.8704441700002</v>
          </cell>
          <cell r="N18">
            <v>151026.77406969</v>
          </cell>
          <cell r="O18">
            <v>31547.919070540003</v>
          </cell>
          <cell r="P18">
            <v>30940.601032669998</v>
          </cell>
          <cell r="Q18">
            <v>2746.1435569000005</v>
          </cell>
          <cell r="R18">
            <v>2138.8255190300001</v>
          </cell>
          <cell r="S18">
            <v>820644.81916300999</v>
          </cell>
          <cell r="T18">
            <v>64515.553324170003</v>
          </cell>
          <cell r="U18">
            <v>5539.4294624600007</v>
          </cell>
        </row>
        <row r="19">
          <cell r="B19" t="str">
            <v>De 30 a 40</v>
          </cell>
          <cell r="C19">
            <v>487374</v>
          </cell>
          <cell r="D19">
            <v>109732.08853677</v>
          </cell>
          <cell r="E19">
            <v>18357.965290960001</v>
          </cell>
          <cell r="F19">
            <v>63872.361006599996</v>
          </cell>
          <cell r="G19">
            <v>8568.6713167500002</v>
          </cell>
          <cell r="H19">
            <v>871.36929048000013</v>
          </cell>
          <cell r="I19">
            <v>696.78288254999995</v>
          </cell>
          <cell r="J19">
            <v>6063.4323460200003</v>
          </cell>
          <cell r="K19">
            <v>1412.7985314</v>
          </cell>
          <cell r="L19">
            <v>1342.8306988000002</v>
          </cell>
          <cell r="M19">
            <v>1256.1611930199999</v>
          </cell>
          <cell r="N19">
            <v>90389.8489347</v>
          </cell>
          <cell r="O19">
            <v>20361.41063921</v>
          </cell>
          <cell r="P19">
            <v>20016.68930559</v>
          </cell>
          <cell r="Q19">
            <v>1633.3114891800001</v>
          </cell>
          <cell r="R19">
            <v>1288.5901555600001</v>
          </cell>
          <cell r="S19">
            <v>575514.08169539995</v>
          </cell>
          <cell r="T19">
            <v>37878.844840749996</v>
          </cell>
          <cell r="U19">
            <v>4373.5309732099995</v>
          </cell>
        </row>
        <row r="20">
          <cell r="B20" t="str">
            <v>De 40 a 60</v>
          </cell>
          <cell r="C20">
            <v>356811</v>
          </cell>
          <cell r="D20">
            <v>93241.624778040001</v>
          </cell>
          <cell r="E20">
            <v>21886.076074709999</v>
          </cell>
          <cell r="F20">
            <v>81035.776068770007</v>
          </cell>
          <cell r="G20">
            <v>6837.5521329900002</v>
          </cell>
          <cell r="H20">
            <v>660.98126748000004</v>
          </cell>
          <cell r="I20">
            <v>550.63233857</v>
          </cell>
          <cell r="J20">
            <v>4743.2255768900004</v>
          </cell>
          <cell r="K20">
            <v>1851.3344748499999</v>
          </cell>
          <cell r="L20">
            <v>1069.7463614899998</v>
          </cell>
          <cell r="M20">
            <v>970.48448397000004</v>
          </cell>
          <cell r="N20">
            <v>77110.892376150005</v>
          </cell>
          <cell r="O20">
            <v>17967.868113159999</v>
          </cell>
          <cell r="P20">
            <v>17221.536975430001</v>
          </cell>
          <cell r="Q20">
            <v>1703.0693144899999</v>
          </cell>
          <cell r="R20">
            <v>956.73817675999999</v>
          </cell>
          <cell r="S20">
            <v>657985.92027346999</v>
          </cell>
          <cell r="T20">
            <v>40679.611283370003</v>
          </cell>
          <cell r="U20">
            <v>6716.3741309699999</v>
          </cell>
        </row>
        <row r="21">
          <cell r="B21" t="str">
            <v>De 60 a 80</v>
          </cell>
          <cell r="C21">
            <v>123515</v>
          </cell>
          <cell r="D21">
            <v>35609.521632260003</v>
          </cell>
          <cell r="E21">
            <v>12227.036604000001</v>
          </cell>
          <cell r="F21">
            <v>49119.452718389999</v>
          </cell>
          <cell r="G21">
            <v>2174.2902782199999</v>
          </cell>
          <cell r="H21">
            <v>225.3125478</v>
          </cell>
          <cell r="I21">
            <v>183.02236402</v>
          </cell>
          <cell r="J21">
            <v>1648.55647894</v>
          </cell>
          <cell r="K21">
            <v>1018.61520623</v>
          </cell>
          <cell r="L21">
            <v>390.94588275000007</v>
          </cell>
          <cell r="M21">
            <v>386.32692663</v>
          </cell>
          <cell r="N21">
            <v>29763.98887909</v>
          </cell>
          <cell r="O21">
            <v>7096.3114881499996</v>
          </cell>
          <cell r="P21">
            <v>6634.3309200799995</v>
          </cell>
          <cell r="Q21">
            <v>818.08907374</v>
          </cell>
          <cell r="R21">
            <v>356.10850567000006</v>
          </cell>
          <cell r="S21">
            <v>363226.91407176998</v>
          </cell>
          <cell r="T21">
            <v>20571.068749409998</v>
          </cell>
          <cell r="U21">
            <v>4634.0226903799994</v>
          </cell>
        </row>
        <row r="22">
          <cell r="B22" t="str">
            <v>De 80 a 160</v>
          </cell>
          <cell r="C22">
            <v>125552</v>
          </cell>
          <cell r="D22">
            <v>40920.28555588</v>
          </cell>
          <cell r="E22">
            <v>21534.296236260001</v>
          </cell>
          <cell r="F22">
            <v>92329.584441269995</v>
          </cell>
          <cell r="G22">
            <v>1893.6408092900001</v>
          </cell>
          <cell r="H22">
            <v>218.08234356000003</v>
          </cell>
          <cell r="I22">
            <v>170.30571002000002</v>
          </cell>
          <cell r="J22">
            <v>1691.26756198</v>
          </cell>
          <cell r="K22">
            <v>1711.2732589899999</v>
          </cell>
          <cell r="L22">
            <v>385.39136887000006</v>
          </cell>
          <cell r="M22">
            <v>458.59249579000004</v>
          </cell>
          <cell r="N22">
            <v>34662.210884389999</v>
          </cell>
          <cell r="O22">
            <v>8433.4389390200013</v>
          </cell>
          <cell r="P22">
            <v>7607.0532610700002</v>
          </cell>
          <cell r="Q22">
            <v>1225.5476775700001</v>
          </cell>
          <cell r="R22">
            <v>399.16199962000002</v>
          </cell>
          <cell r="S22">
            <v>663190.62108076003</v>
          </cell>
          <cell r="T22">
            <v>34301.021938639999</v>
          </cell>
          <cell r="U22">
            <v>10626.233891510001</v>
          </cell>
        </row>
        <row r="23">
          <cell r="B23" t="str">
            <v>De 160 a 240</v>
          </cell>
          <cell r="C23">
            <v>29755</v>
          </cell>
          <cell r="D23">
            <v>12332.252015959999</v>
          </cell>
          <cell r="E23">
            <v>9774.6148519599992</v>
          </cell>
          <cell r="F23">
            <v>43751.485666139997</v>
          </cell>
          <cell r="G23">
            <v>402.83766237999998</v>
          </cell>
          <cell r="H23">
            <v>50.668306680000001</v>
          </cell>
          <cell r="I23">
            <v>37.622085320000004</v>
          </cell>
          <cell r="J23">
            <v>448.88888907999996</v>
          </cell>
          <cell r="K23">
            <v>877.03650057000004</v>
          </cell>
          <cell r="L23">
            <v>101.65867182000001</v>
          </cell>
          <cell r="M23">
            <v>116.07806463</v>
          </cell>
          <cell r="N23">
            <v>10382.5733612</v>
          </cell>
          <cell r="O23">
            <v>2606.0986414199997</v>
          </cell>
          <cell r="P23">
            <v>2229.96941023</v>
          </cell>
          <cell r="Q23">
            <v>477.16516236999996</v>
          </cell>
          <cell r="R23">
            <v>101.03593117999999</v>
          </cell>
          <cell r="S23">
            <v>310228.89226356999</v>
          </cell>
          <cell r="T23">
            <v>14366.474991890002</v>
          </cell>
          <cell r="U23">
            <v>5687.1003563000004</v>
          </cell>
        </row>
        <row r="24">
          <cell r="B24" t="str">
            <v>De 240 a 320</v>
          </cell>
          <cell r="C24">
            <v>12812</v>
          </cell>
          <cell r="D24">
            <v>6590.9098880700003</v>
          </cell>
          <cell r="E24">
            <v>6371.5344196999995</v>
          </cell>
          <cell r="F24">
            <v>27463.68105422</v>
          </cell>
          <cell r="G24">
            <v>210.76069272000001</v>
          </cell>
          <cell r="H24">
            <v>22.34583576</v>
          </cell>
          <cell r="I24">
            <v>16.164131449999999</v>
          </cell>
          <cell r="J24">
            <v>215.96032081999999</v>
          </cell>
          <cell r="K24">
            <v>650.24249429999998</v>
          </cell>
          <cell r="L24">
            <v>54.6090339</v>
          </cell>
          <cell r="M24">
            <v>49.290771579999998</v>
          </cell>
          <cell r="N24">
            <v>5453.7446172199998</v>
          </cell>
          <cell r="O24">
            <v>1375.4601279799999</v>
          </cell>
          <cell r="P24">
            <v>1141.2095250699999</v>
          </cell>
          <cell r="Q24">
            <v>279.61883139999998</v>
          </cell>
          <cell r="R24">
            <v>45.36822849</v>
          </cell>
          <cell r="S24">
            <v>194624.11661960001</v>
          </cell>
          <cell r="T24">
            <v>9848.6135873999992</v>
          </cell>
          <cell r="U24">
            <v>3599.7921754499998</v>
          </cell>
        </row>
        <row r="25">
          <cell r="B25" t="str">
            <v>Mais de 320</v>
          </cell>
          <cell r="C25">
            <v>26099</v>
          </cell>
          <cell r="D25">
            <v>29876.939958809999</v>
          </cell>
          <cell r="E25">
            <v>61854.817910440004</v>
          </cell>
          <cell r="F25">
            <v>224678.45172028002</v>
          </cell>
          <cell r="G25">
            <v>681.23951635000003</v>
          </cell>
          <cell r="H25">
            <v>46.054444439999997</v>
          </cell>
          <cell r="I25">
            <v>33.513110730000001</v>
          </cell>
          <cell r="J25">
            <v>528.51605617999996</v>
          </cell>
          <cell r="K25">
            <v>4877.9639396700004</v>
          </cell>
          <cell r="L25">
            <v>210.92898012999999</v>
          </cell>
          <cell r="M25">
            <v>99.821817480000007</v>
          </cell>
          <cell r="N25">
            <v>23531.467954439999</v>
          </cell>
          <cell r="O25">
            <v>6032.3201601200008</v>
          </cell>
          <cell r="P25">
            <v>5095.45358304</v>
          </cell>
          <cell r="Q25">
            <v>1117.9777699799999</v>
          </cell>
          <cell r="R25">
            <v>181.11119289999999</v>
          </cell>
          <cell r="S25">
            <v>1521082.2970177801</v>
          </cell>
          <cell r="T25">
            <v>61698.601640360008</v>
          </cell>
          <cell r="U25">
            <v>40685.626647439996</v>
          </cell>
        </row>
        <row r="26">
          <cell r="B26" t="str">
            <v xml:space="preserve">    Total</v>
          </cell>
          <cell r="C26">
            <v>30269014</v>
          </cell>
          <cell r="D26">
            <v>1837891.2930676402</v>
          </cell>
          <cell r="E26">
            <v>302727.27638915001</v>
          </cell>
          <cell r="F26">
            <v>957289.10058025992</v>
          </cell>
          <cell r="G26">
            <v>91637.896806239994</v>
          </cell>
          <cell r="H26">
            <v>43068.395114760002</v>
          </cell>
          <cell r="I26">
            <v>21533.82089409</v>
          </cell>
          <cell r="J26">
            <v>88047.451236370005</v>
          </cell>
          <cell r="K26">
            <v>19111.230719460003</v>
          </cell>
          <cell r="L26">
            <v>16022.465172720002</v>
          </cell>
          <cell r="M26">
            <v>136542.44991393003</v>
          </cell>
          <cell r="N26">
            <v>1438956.8382067201</v>
          </cell>
          <cell r="O26">
            <v>180934.36619977999</v>
          </cell>
          <cell r="P26">
            <v>191712.18511779001</v>
          </cell>
          <cell r="Q26">
            <v>21362.232822359998</v>
          </cell>
          <cell r="R26">
            <v>32140.051740369996</v>
          </cell>
          <cell r="S26">
            <v>9312463.9665396698</v>
          </cell>
          <cell r="T26">
            <v>685052.55004312994</v>
          </cell>
          <cell r="U26">
            <v>94091.331937149982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_Tabelas"/>
      <sheetName val="tipo formulário"/>
      <sheetName val="situação fiscal"/>
      <sheetName val="gênero"/>
      <sheetName val="faixa etária e gênero"/>
      <sheetName val="faixa BC"/>
      <sheetName val="faixa SM BC e gênero"/>
      <sheetName val="faixa SM RTT"/>
      <sheetName val="faixa SM RTT + RTE"/>
      <sheetName val="faixa SM RTT+RTE+RTI"/>
      <sheetName val="div+rend ME faixa rend total"/>
      <sheetName val="div+rend ME ocupação principal"/>
      <sheetName val="UF do declarante"/>
      <sheetName val="capital federativa do decl"/>
      <sheetName val="por município"/>
      <sheetName val="por RA_DF"/>
      <sheetName val="natureza de ocupação"/>
      <sheetName val="ocupação principal"/>
      <sheetName val="faixa doações e heranças"/>
      <sheetName val="tipo de rendimento"/>
      <sheetName val="deduções"/>
      <sheetName val="cálculo do imposto"/>
      <sheetName val="rendimentos tributáveis"/>
      <sheetName val="faixa rendimentos tributáveis"/>
      <sheetName val="tributação exclusiva"/>
      <sheetName val="faixa tributação exclusiva"/>
      <sheetName val="isentos e não tributáveis"/>
      <sheetName val="faixa isentos e não tributáveis"/>
      <sheetName val="bens e direitos"/>
      <sheetName val="dívidas e ônus"/>
      <sheetName val="pagamentos e do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C8" t="str">
            <v>Tabela 9 - Resumo das Declarações por Faixa de Rendimentos Totais(1) (em Salários Mínimos)</v>
          </cell>
          <cell r="S8"/>
        </row>
        <row r="9">
          <cell r="C9"/>
          <cell r="T9"/>
          <cell r="U9"/>
          <cell r="V9"/>
          <cell r="W9"/>
          <cell r="X9"/>
          <cell r="Y9"/>
          <cell r="Z9"/>
          <cell r="AA9"/>
          <cell r="AC9"/>
          <cell r="AD9"/>
          <cell r="AE9"/>
          <cell r="AF9"/>
          <cell r="AG9"/>
          <cell r="AH9"/>
          <cell r="AN9"/>
          <cell r="AO9"/>
          <cell r="AP9" t="str">
            <v>Valores em R$ milhões</v>
          </cell>
        </row>
        <row r="10">
          <cell r="C10" t="str">
            <v>Faixa SM Mensal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 t="str">
            <v>Base de Cálculo (RTL)</v>
          </cell>
          <cell r="T10" t="str">
            <v>Imposto Devido</v>
          </cell>
          <cell r="U10" t="str">
            <v>Dedução de Incentivo</v>
          </cell>
          <cell r="V10" t="str">
            <v>Imposto Devido 1</v>
          </cell>
          <cell r="W10" t="str">
            <v>Imposto Devido RRA</v>
          </cell>
          <cell r="X10" t="str">
            <v>Imposto Total</v>
          </cell>
          <cell r="Y10" t="str">
            <v>Imposto Pago</v>
          </cell>
          <cell r="Z10" t="str">
            <v>Imposto a Pagar</v>
          </cell>
          <cell r="AA10" t="str">
            <v>Imposto a Restituir</v>
          </cell>
          <cell r="AB10" t="str">
            <v>Dívidas   e Ônus</v>
          </cell>
          <cell r="AC10" t="str">
            <v>Doações e Heranças</v>
          </cell>
          <cell r="AD10" t="str">
            <v>Bens e Direitos</v>
          </cell>
          <cell r="AE10" t="str">
            <v>Previd. Complem. (VGBL)</v>
          </cell>
          <cell r="AF10" t="str">
            <v>Valores Pagos</v>
          </cell>
          <cell r="AG10"/>
          <cell r="AH10"/>
          <cell r="AI10"/>
          <cell r="AJ10"/>
          <cell r="AK10"/>
          <cell r="AL10"/>
          <cell r="AM10"/>
          <cell r="AN10"/>
          <cell r="AO10"/>
          <cell r="AP10" t="str">
            <v>Doações</v>
          </cell>
        </row>
        <row r="11">
          <cell r="C11"/>
          <cell r="D11"/>
          <cell r="E11"/>
          <cell r="F11"/>
          <cell r="G11"/>
          <cell r="H11" t="str">
            <v>Previd. Official</v>
          </cell>
          <cell r="I11" t="str">
            <v>Previd. RRA</v>
          </cell>
          <cell r="J11" t="str">
            <v>Previd. Privada e FAPI</v>
          </cell>
          <cell r="K11" t="str">
            <v>Dependentes</v>
          </cell>
          <cell r="L11" t="str">
            <v>Instrução</v>
          </cell>
          <cell r="M11" t="str">
            <v>Médicas</v>
          </cell>
          <cell r="N11" t="str">
            <v>Livro Caixa</v>
          </cell>
          <cell r="O11" t="str">
            <v>Pensão Aliment. Judicial</v>
          </cell>
          <cell r="P11" t="str">
            <v>Pensão Aliment. Escritura</v>
          </cell>
          <cell r="Q11" t="str">
            <v>Pensão Aliment. RRA</v>
          </cell>
          <cell r="R11" t="str">
            <v>Desconto Padrão</v>
          </cell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 t="str">
            <v>Previd. Complem. (Inclui PGBL e Fundos de Pensão)</v>
          </cell>
          <cell r="AG11" t="str">
            <v>Previd. Complem. Nat. Púb.</v>
          </cell>
          <cell r="AH11" t="str">
            <v>FAPI</v>
          </cell>
          <cell r="AI11" t="str">
            <v>Despesas com Instrução</v>
          </cell>
          <cell r="AJ11" t="str">
            <v>Despesas Médicas</v>
          </cell>
          <cell r="AK11" t="str">
            <v>Pensão Alim. Judicial</v>
          </cell>
          <cell r="AL11" t="str">
            <v>Pensão Alim. Escritura</v>
          </cell>
          <cell r="AM11" t="str">
            <v>Profissional Liberal</v>
          </cell>
          <cell r="AN11" t="str">
            <v>Arrendam. Rural</v>
          </cell>
          <cell r="AO11" t="str">
            <v>Outros</v>
          </cell>
          <cell r="AP11"/>
        </row>
        <row r="12">
          <cell r="C12" t="str">
            <v>Até 1/2</v>
          </cell>
          <cell r="D12">
            <v>1327016</v>
          </cell>
          <cell r="E12">
            <v>408.14914200999999</v>
          </cell>
          <cell r="F12">
            <v>113.39314102</v>
          </cell>
          <cell r="G12">
            <v>200.23835790000001</v>
          </cell>
          <cell r="H12">
            <v>11.90323869</v>
          </cell>
          <cell r="I12">
            <v>3.3241980000000004E-2</v>
          </cell>
          <cell r="J12">
            <v>0.13562093</v>
          </cell>
          <cell r="K12">
            <v>27.758264530000002</v>
          </cell>
          <cell r="L12">
            <v>2.3598504999999999</v>
          </cell>
          <cell r="M12">
            <v>6.3400317400000006</v>
          </cell>
          <cell r="N12">
            <v>0.16466367000000001</v>
          </cell>
          <cell r="O12">
            <v>0.82095368000000002</v>
          </cell>
          <cell r="P12">
            <v>9.125488000000001E-2</v>
          </cell>
          <cell r="Q12">
            <v>1.8474549999999999E-2</v>
          </cell>
          <cell r="R12">
            <v>43.873800580000001</v>
          </cell>
          <cell r="S12">
            <v>314.64974627999999</v>
          </cell>
          <cell r="T12">
            <v>1.510038E-2</v>
          </cell>
          <cell r="U12">
            <v>0</v>
          </cell>
          <cell r="V12">
            <v>1.510038E-2</v>
          </cell>
          <cell r="W12">
            <v>7.5528999999999995E-3</v>
          </cell>
          <cell r="X12">
            <v>2.2653279999999998E-2</v>
          </cell>
          <cell r="Y12">
            <v>19.776194459999999</v>
          </cell>
          <cell r="Z12">
            <v>1.4407709999999999E-2</v>
          </cell>
          <cell r="AA12">
            <v>20.217385119999999</v>
          </cell>
          <cell r="AB12">
            <v>20910.62416852</v>
          </cell>
          <cell r="AC12">
            <v>1.6896149599999999</v>
          </cell>
          <cell r="AD12">
            <v>316272.43156160996</v>
          </cell>
          <cell r="AE12">
            <v>402.32509657999998</v>
          </cell>
          <cell r="AF12">
            <v>14.430608449999999</v>
          </cell>
          <cell r="AG12">
            <v>0.38954116999999999</v>
          </cell>
          <cell r="AH12">
            <v>2.7884814900000001</v>
          </cell>
          <cell r="AI12">
            <v>169.93160018</v>
          </cell>
          <cell r="AJ12">
            <v>327.02469771</v>
          </cell>
          <cell r="AK12">
            <v>43.271777239999999</v>
          </cell>
          <cell r="AL12">
            <v>7.2354620800000005</v>
          </cell>
          <cell r="AM12">
            <v>47.15667388</v>
          </cell>
          <cell r="AN12">
            <v>13.81880758</v>
          </cell>
          <cell r="AO12">
            <v>234.68548343000001</v>
          </cell>
          <cell r="AP12">
            <v>10146.15957946</v>
          </cell>
        </row>
        <row r="13">
          <cell r="C13" t="str">
            <v>De 1/2 a 1</v>
          </cell>
          <cell r="D13">
            <v>397910</v>
          </cell>
          <cell r="E13">
            <v>3157.9148116900001</v>
          </cell>
          <cell r="F13">
            <v>202.60270212</v>
          </cell>
          <cell r="G13">
            <v>496.73900118</v>
          </cell>
          <cell r="H13">
            <v>78.034322360000004</v>
          </cell>
          <cell r="I13">
            <v>9.6026789999999987E-2</v>
          </cell>
          <cell r="J13">
            <v>0.70577170999999994</v>
          </cell>
          <cell r="K13">
            <v>82.446960110000006</v>
          </cell>
          <cell r="L13">
            <v>14.470863359999999</v>
          </cell>
          <cell r="M13">
            <v>38.549952939999997</v>
          </cell>
          <cell r="N13">
            <v>0.87973955000000004</v>
          </cell>
          <cell r="O13">
            <v>3.9889393199999996</v>
          </cell>
          <cell r="P13">
            <v>0.68128664999999999</v>
          </cell>
          <cell r="Q13">
            <v>2.0439659999999998E-2</v>
          </cell>
          <cell r="R13">
            <v>395.50367025999998</v>
          </cell>
          <cell r="S13">
            <v>2542.5368389800001</v>
          </cell>
          <cell r="T13">
            <v>0.14619269000000001</v>
          </cell>
          <cell r="U13">
            <v>0</v>
          </cell>
          <cell r="V13">
            <v>0.14619269000000001</v>
          </cell>
          <cell r="W13">
            <v>1.09389E-2</v>
          </cell>
          <cell r="X13">
            <v>0.156446</v>
          </cell>
          <cell r="Y13">
            <v>34.868740170000002</v>
          </cell>
          <cell r="Z13">
            <v>7.810839E-2</v>
          </cell>
          <cell r="AA13">
            <v>34.986311260000001</v>
          </cell>
          <cell r="AB13">
            <v>5037.0653139200003</v>
          </cell>
          <cell r="AC13">
            <v>9.0653618000000016</v>
          </cell>
          <cell r="AD13">
            <v>63781.423434540004</v>
          </cell>
          <cell r="AE13">
            <v>214.67313412000001</v>
          </cell>
          <cell r="AF13">
            <v>7.0793641699999998</v>
          </cell>
          <cell r="AG13">
            <v>0.37983662000000001</v>
          </cell>
          <cell r="AH13">
            <v>1.6582004699999999</v>
          </cell>
          <cell r="AI13">
            <v>94.075757269999997</v>
          </cell>
          <cell r="AJ13">
            <v>178.27475382</v>
          </cell>
          <cell r="AK13">
            <v>18.241446359999998</v>
          </cell>
          <cell r="AL13">
            <v>3.1809782200000001</v>
          </cell>
          <cell r="AM13">
            <v>17.800023120000002</v>
          </cell>
          <cell r="AN13">
            <v>5.4406365599999997</v>
          </cell>
          <cell r="AO13">
            <v>70.671173409999994</v>
          </cell>
          <cell r="AP13">
            <v>159.32487459999999</v>
          </cell>
        </row>
        <row r="14">
          <cell r="C14" t="str">
            <v>De 1 a 2</v>
          </cell>
          <cell r="D14">
            <v>1927431</v>
          </cell>
          <cell r="E14">
            <v>27752.672979900002</v>
          </cell>
          <cell r="F14">
            <v>1230.0766685199999</v>
          </cell>
          <cell r="G14">
            <v>4716.051829</v>
          </cell>
          <cell r="H14">
            <v>534.14827902000002</v>
          </cell>
          <cell r="I14">
            <v>0.68510853999999999</v>
          </cell>
          <cell r="J14">
            <v>5.57915603</v>
          </cell>
          <cell r="K14">
            <v>434.13303464999996</v>
          </cell>
          <cell r="L14">
            <v>96.142919930000005</v>
          </cell>
          <cell r="M14">
            <v>319.00622391000002</v>
          </cell>
          <cell r="N14">
            <v>10.5622708</v>
          </cell>
          <cell r="O14">
            <v>30.40087742</v>
          </cell>
          <cell r="P14">
            <v>3.8783104900000001</v>
          </cell>
          <cell r="Q14">
            <v>0.4144563</v>
          </cell>
          <cell r="R14">
            <v>3538.3840172300002</v>
          </cell>
          <cell r="S14">
            <v>22779.338325580004</v>
          </cell>
          <cell r="T14">
            <v>1.0346350200000001</v>
          </cell>
          <cell r="U14">
            <v>8.7150000000000004E-5</v>
          </cell>
          <cell r="V14">
            <v>1.0345478699999999</v>
          </cell>
          <cell r="W14">
            <v>0.15883004000000001</v>
          </cell>
          <cell r="X14">
            <v>1.1922663999999998</v>
          </cell>
          <cell r="Y14">
            <v>229.24773852999999</v>
          </cell>
          <cell r="Z14">
            <v>0.46178378000000003</v>
          </cell>
          <cell r="AA14">
            <v>229.9005889</v>
          </cell>
          <cell r="AB14">
            <v>18546.175573020002</v>
          </cell>
          <cell r="AC14">
            <v>54.200741659999998</v>
          </cell>
          <cell r="AD14">
            <v>212680.62724951</v>
          </cell>
          <cell r="AE14">
            <v>714.96682146000001</v>
          </cell>
          <cell r="AF14">
            <v>30.94202524</v>
          </cell>
          <cell r="AG14">
            <v>1.0311123900000001</v>
          </cell>
          <cell r="AH14">
            <v>6.2903329000000001</v>
          </cell>
          <cell r="AI14">
            <v>425.10031119999996</v>
          </cell>
          <cell r="AJ14">
            <v>929.28171211999995</v>
          </cell>
          <cell r="AK14">
            <v>76.875595689999997</v>
          </cell>
          <cell r="AL14">
            <v>10.48818951</v>
          </cell>
          <cell r="AM14">
            <v>65.678523670000004</v>
          </cell>
          <cell r="AN14">
            <v>10.486603369999999</v>
          </cell>
          <cell r="AO14">
            <v>238.89335403000001</v>
          </cell>
          <cell r="AP14">
            <v>459.69822970000001</v>
          </cell>
        </row>
        <row r="15">
          <cell r="C15" t="str">
            <v>De 2 a 3</v>
          </cell>
          <cell r="D15">
            <v>4953698</v>
          </cell>
          <cell r="E15">
            <v>130157.48705873</v>
          </cell>
          <cell r="F15">
            <v>6774.8042632899997</v>
          </cell>
          <cell r="G15">
            <v>12746.45696159</v>
          </cell>
          <cell r="H15">
            <v>2451.9296541599997</v>
          </cell>
          <cell r="I15">
            <v>2.9777884999999999</v>
          </cell>
          <cell r="J15">
            <v>34.648800530000003</v>
          </cell>
          <cell r="K15">
            <v>2891.8284475199998</v>
          </cell>
          <cell r="L15">
            <v>732.88757772000008</v>
          </cell>
          <cell r="M15">
            <v>2132.6024975599998</v>
          </cell>
          <cell r="N15">
            <v>69.645882999999998</v>
          </cell>
          <cell r="O15">
            <v>261.85497067</v>
          </cell>
          <cell r="P15">
            <v>26.50634664</v>
          </cell>
          <cell r="Q15">
            <v>1.2721216799999999</v>
          </cell>
          <cell r="R15">
            <v>19945.404787029998</v>
          </cell>
          <cell r="S15">
            <v>101605.92818372</v>
          </cell>
          <cell r="T15">
            <v>217.18079459</v>
          </cell>
          <cell r="U15">
            <v>1.3453499999999999E-3</v>
          </cell>
          <cell r="V15">
            <v>217.17944924</v>
          </cell>
          <cell r="W15">
            <v>0.42318296</v>
          </cell>
          <cell r="X15">
            <v>217.59618149000002</v>
          </cell>
          <cell r="Y15">
            <v>1045.4753926799999</v>
          </cell>
          <cell r="Z15">
            <v>54.192279399999997</v>
          </cell>
          <cell r="AA15">
            <v>889.62506048</v>
          </cell>
          <cell r="AB15">
            <v>38508.290733300004</v>
          </cell>
          <cell r="AC15">
            <v>141.25672183</v>
          </cell>
          <cell r="AD15">
            <v>455828.54339996004</v>
          </cell>
          <cell r="AE15">
            <v>1396.3870010200001</v>
          </cell>
          <cell r="AF15">
            <v>78.013885989999991</v>
          </cell>
          <cell r="AG15">
            <v>2.2804337499999998</v>
          </cell>
          <cell r="AH15">
            <v>26.101192820000001</v>
          </cell>
          <cell r="AI15">
            <v>1856.2237935999999</v>
          </cell>
          <cell r="AJ15">
            <v>3764.8606048299998</v>
          </cell>
          <cell r="AK15">
            <v>353.63192025000001</v>
          </cell>
          <cell r="AL15">
            <v>39.875509450000003</v>
          </cell>
          <cell r="AM15">
            <v>142.89553441999999</v>
          </cell>
          <cell r="AN15">
            <v>16.604365600000001</v>
          </cell>
          <cell r="AO15">
            <v>630.46044127999994</v>
          </cell>
          <cell r="AP15">
            <v>639.77064278</v>
          </cell>
        </row>
        <row r="16">
          <cell r="C16" t="str">
            <v>De 3 a 5</v>
          </cell>
          <cell r="D16">
            <v>8259979</v>
          </cell>
          <cell r="E16">
            <v>311324.63441947999</v>
          </cell>
          <cell r="F16">
            <v>25066.113403479998</v>
          </cell>
          <cell r="G16">
            <v>48391.101488970002</v>
          </cell>
          <cell r="H16">
            <v>11269.820562209999</v>
          </cell>
          <cell r="I16">
            <v>8.6340638000000016</v>
          </cell>
          <cell r="J16">
            <v>336.61378186000002</v>
          </cell>
          <cell r="K16">
            <v>10214.695190549999</v>
          </cell>
          <cell r="L16">
            <v>4361.3787200400002</v>
          </cell>
          <cell r="M16">
            <v>12041.701546440001</v>
          </cell>
          <cell r="N16">
            <v>402.51575754000004</v>
          </cell>
          <cell r="O16">
            <v>1591.3316567500001</v>
          </cell>
          <cell r="P16">
            <v>174.79619081000001</v>
          </cell>
          <cell r="Q16">
            <v>4.4994234400000002</v>
          </cell>
          <cell r="R16">
            <v>37338.38254513</v>
          </cell>
          <cell r="S16">
            <v>233580.26498091</v>
          </cell>
          <cell r="T16">
            <v>5156.2946067499997</v>
          </cell>
          <cell r="U16">
            <v>0.33100268999999999</v>
          </cell>
          <cell r="V16">
            <v>5155.9636040600008</v>
          </cell>
          <cell r="W16">
            <v>2.3352319399999999</v>
          </cell>
          <cell r="X16">
            <v>5158.26100305</v>
          </cell>
          <cell r="Y16">
            <v>8447.6662290799995</v>
          </cell>
          <cell r="Z16">
            <v>818.52764592999995</v>
          </cell>
          <cell r="AA16">
            <v>4157.5123122699997</v>
          </cell>
          <cell r="AB16">
            <v>76754.452312720008</v>
          </cell>
          <cell r="AC16">
            <v>742.65465161999998</v>
          </cell>
          <cell r="AD16">
            <v>850477.42208556994</v>
          </cell>
          <cell r="AE16">
            <v>3439.0237979699996</v>
          </cell>
          <cell r="AF16">
            <v>370.54332743999998</v>
          </cell>
          <cell r="AG16">
            <v>10.593564859999999</v>
          </cell>
          <cell r="AH16">
            <v>174.84595587000001</v>
          </cell>
          <cell r="AI16">
            <v>8637.2705384599994</v>
          </cell>
          <cell r="AJ16">
            <v>16374.843377339999</v>
          </cell>
          <cell r="AK16">
            <v>1753.98267422</v>
          </cell>
          <cell r="AL16">
            <v>200.39630965999999</v>
          </cell>
          <cell r="AM16">
            <v>424.75880891000003</v>
          </cell>
          <cell r="AN16">
            <v>27.229375149999999</v>
          </cell>
          <cell r="AO16">
            <v>1945.8603128099999</v>
          </cell>
          <cell r="AP16">
            <v>1323.6882158199999</v>
          </cell>
        </row>
        <row r="17">
          <cell r="C17" t="str">
            <v>De 5 a 7</v>
          </cell>
          <cell r="D17">
            <v>4382734</v>
          </cell>
          <cell r="E17">
            <v>239195.27997609001</v>
          </cell>
          <cell r="F17">
            <v>21834.864213560002</v>
          </cell>
          <cell r="G17">
            <v>48194.034835730003</v>
          </cell>
          <cell r="H17">
            <v>8935.7616649800002</v>
          </cell>
          <cell r="I17">
            <v>6.2562125999999996</v>
          </cell>
          <cell r="J17">
            <v>564.66013255999997</v>
          </cell>
          <cell r="K17">
            <v>5841.7456458699999</v>
          </cell>
          <cell r="L17">
            <v>4083.2660734699998</v>
          </cell>
          <cell r="M17">
            <v>12583.906566549998</v>
          </cell>
          <cell r="N17">
            <v>603.86045265999996</v>
          </cell>
          <cell r="O17">
            <v>1664.6931968199999</v>
          </cell>
          <cell r="P17">
            <v>178.77631915000001</v>
          </cell>
          <cell r="Q17">
            <v>3.7036334200000001</v>
          </cell>
          <cell r="R17">
            <v>27273.496104360001</v>
          </cell>
          <cell r="S17">
            <v>177455.15397364998</v>
          </cell>
          <cell r="T17">
            <v>10651.23315478</v>
          </cell>
          <cell r="U17">
            <v>1.33758099</v>
          </cell>
          <cell r="V17">
            <v>10649.895573790001</v>
          </cell>
          <cell r="W17">
            <v>6.1737416200000004</v>
          </cell>
          <cell r="X17">
            <v>10656.005515870002</v>
          </cell>
          <cell r="Y17">
            <v>13689.295707399999</v>
          </cell>
          <cell r="Z17">
            <v>1655.4569681199998</v>
          </cell>
          <cell r="AA17">
            <v>4764.5388250699998</v>
          </cell>
          <cell r="AB17">
            <v>82898.34161648</v>
          </cell>
          <cell r="AC17">
            <v>1609.7458352900001</v>
          </cell>
          <cell r="AD17">
            <v>721016.47172436002</v>
          </cell>
          <cell r="AE17">
            <v>3754.64306115</v>
          </cell>
          <cell r="AF17">
            <v>585.22906177999994</v>
          </cell>
          <cell r="AG17">
            <v>15.55220136</v>
          </cell>
          <cell r="AH17">
            <v>242.05101980000001</v>
          </cell>
          <cell r="AI17">
            <v>8533.2436996800006</v>
          </cell>
          <cell r="AJ17">
            <v>16251.40392624</v>
          </cell>
          <cell r="AK17">
            <v>1782.46890601</v>
          </cell>
          <cell r="AL17">
            <v>200.34354887000001</v>
          </cell>
          <cell r="AM17">
            <v>471.54515292000002</v>
          </cell>
          <cell r="AN17">
            <v>24.041687899999999</v>
          </cell>
          <cell r="AO17">
            <v>1726.4381305499999</v>
          </cell>
          <cell r="AP17">
            <v>1323.4466683599999</v>
          </cell>
        </row>
        <row r="18">
          <cell r="C18" t="str">
            <v>De 7 a 10</v>
          </cell>
          <cell r="D18">
            <v>3274742</v>
          </cell>
          <cell r="E18">
            <v>243351.43693898001</v>
          </cell>
          <cell r="F18">
            <v>24569.85464048</v>
          </cell>
          <cell r="G18">
            <v>58426.19188654</v>
          </cell>
          <cell r="H18">
            <v>9136.7463463500007</v>
          </cell>
          <cell r="I18">
            <v>6.0084510300000007</v>
          </cell>
          <cell r="J18">
            <v>935.79361457000005</v>
          </cell>
          <cell r="K18">
            <v>4649.07063956</v>
          </cell>
          <cell r="L18">
            <v>3840.3418909699999</v>
          </cell>
          <cell r="M18">
            <v>13431.89855172</v>
          </cell>
          <cell r="N18">
            <v>974.03406111000004</v>
          </cell>
          <cell r="O18">
            <v>1988.7042893299999</v>
          </cell>
          <cell r="P18">
            <v>216.96081003</v>
          </cell>
          <cell r="Q18">
            <v>3.3236945699999998</v>
          </cell>
          <cell r="R18">
            <v>24707.246706040001</v>
          </cell>
          <cell r="S18">
            <v>183461.30788370001</v>
          </cell>
          <cell r="T18">
            <v>19963.3524745</v>
          </cell>
          <cell r="U18">
            <v>4.1381233799999997</v>
          </cell>
          <cell r="V18">
            <v>19959.214351119997</v>
          </cell>
          <cell r="W18">
            <v>15.99321735</v>
          </cell>
          <cell r="X18">
            <v>19975.042850080001</v>
          </cell>
          <cell r="Y18">
            <v>21626.658521180001</v>
          </cell>
          <cell r="Z18">
            <v>2984.2261965600001</v>
          </cell>
          <cell r="AA18">
            <v>4756.58151662</v>
          </cell>
          <cell r="AB18">
            <v>69707.39199388001</v>
          </cell>
          <cell r="AC18">
            <v>2601.5120906100001</v>
          </cell>
          <cell r="AD18">
            <v>729974.78944919992</v>
          </cell>
          <cell r="AE18">
            <v>4923.9171498100004</v>
          </cell>
          <cell r="AF18">
            <v>983.44055929000001</v>
          </cell>
          <cell r="AG18">
            <v>33.974382740000003</v>
          </cell>
          <cell r="AH18">
            <v>388.17386704</v>
          </cell>
          <cell r="AI18">
            <v>8890.171795100001</v>
          </cell>
          <cell r="AJ18">
            <v>17369.092327990002</v>
          </cell>
          <cell r="AK18">
            <v>2090.6081214599999</v>
          </cell>
          <cell r="AL18">
            <v>230.57077319999999</v>
          </cell>
          <cell r="AM18">
            <v>637.63746819000005</v>
          </cell>
          <cell r="AN18">
            <v>29.261252450000001</v>
          </cell>
          <cell r="AO18">
            <v>1995.16477528</v>
          </cell>
          <cell r="AP18">
            <v>1663.6380180599999</v>
          </cell>
        </row>
        <row r="19">
          <cell r="C19" t="str">
            <v>De 10 a 15</v>
          </cell>
          <cell r="D19">
            <v>2545965</v>
          </cell>
          <cell r="E19">
            <v>260951.86097704002</v>
          </cell>
          <cell r="F19">
            <v>29522.939251009997</v>
          </cell>
          <cell r="G19">
            <v>79673.563648659998</v>
          </cell>
          <cell r="H19">
            <v>11429.72093313</v>
          </cell>
          <cell r="I19">
            <v>7.6372814500000006</v>
          </cell>
          <cell r="J19">
            <v>2006.0566015100001</v>
          </cell>
          <cell r="K19">
            <v>3960.3265231</v>
          </cell>
          <cell r="L19">
            <v>3387.6123143</v>
          </cell>
          <cell r="M19">
            <v>15288.87201517</v>
          </cell>
          <cell r="N19">
            <v>1537.93384307</v>
          </cell>
          <cell r="O19">
            <v>2293.2767626100003</v>
          </cell>
          <cell r="P19">
            <v>267.48099227</v>
          </cell>
          <cell r="Q19">
            <v>2.2929169700000003</v>
          </cell>
          <cell r="R19">
            <v>15431.889607450001</v>
          </cell>
          <cell r="S19">
            <v>205338.76118601</v>
          </cell>
          <cell r="T19">
            <v>32754.382816220001</v>
          </cell>
          <cell r="U19">
            <v>12.28628468</v>
          </cell>
          <cell r="V19">
            <v>32742.096531540003</v>
          </cell>
          <cell r="W19">
            <v>36.381336750000003</v>
          </cell>
          <cell r="X19">
            <v>32778.24854832</v>
          </cell>
          <cell r="Y19">
            <v>32765.51263415</v>
          </cell>
          <cell r="Z19">
            <v>3942.0435817500002</v>
          </cell>
          <cell r="AA19">
            <v>4097.5660510400003</v>
          </cell>
          <cell r="AB19">
            <v>77953.019624220004</v>
          </cell>
          <cell r="AC19">
            <v>3918.3702966700002</v>
          </cell>
          <cell r="AD19">
            <v>864086.03983542009</v>
          </cell>
          <cell r="AE19">
            <v>7455.2433689099998</v>
          </cell>
          <cell r="AF19">
            <v>1848.92917003</v>
          </cell>
          <cell r="AG19">
            <v>139.50793966999998</v>
          </cell>
          <cell r="AH19">
            <v>656.25769980999996</v>
          </cell>
          <cell r="AI19">
            <v>9025.4314452199997</v>
          </cell>
          <cell r="AJ19">
            <v>18398.620527200001</v>
          </cell>
          <cell r="AK19">
            <v>2418.99234424</v>
          </cell>
          <cell r="AL19">
            <v>291.13452597000003</v>
          </cell>
          <cell r="AM19">
            <v>910.09289821000004</v>
          </cell>
          <cell r="AN19">
            <v>34.088989130000002</v>
          </cell>
          <cell r="AO19">
            <v>2539.1809360000002</v>
          </cell>
          <cell r="AP19">
            <v>2683.1784840400001</v>
          </cell>
        </row>
        <row r="20">
          <cell r="C20" t="str">
            <v>De 15 a 20</v>
          </cell>
          <cell r="D20">
            <v>1177471</v>
          </cell>
          <cell r="E20">
            <v>160130.67441410999</v>
          </cell>
          <cell r="F20">
            <v>21091.28003731</v>
          </cell>
          <cell r="G20">
            <v>61800.65216487</v>
          </cell>
          <cell r="H20">
            <v>7964.1128288199998</v>
          </cell>
          <cell r="I20">
            <v>5.2207327000000001</v>
          </cell>
          <cell r="J20">
            <v>2046.47961768</v>
          </cell>
          <cell r="K20">
            <v>1916.84423507</v>
          </cell>
          <cell r="L20">
            <v>1649.3743924600001</v>
          </cell>
          <cell r="M20">
            <v>9481.7876644799999</v>
          </cell>
          <cell r="N20">
            <v>1284.9709804500001</v>
          </cell>
          <cell r="O20">
            <v>1417.42272843</v>
          </cell>
          <cell r="P20">
            <v>182.96422819999998</v>
          </cell>
          <cell r="Q20">
            <v>1.00213066</v>
          </cell>
          <cell r="R20">
            <v>4920.6353666899995</v>
          </cell>
          <cell r="S20">
            <v>129259.85950847001</v>
          </cell>
          <cell r="T20">
            <v>24732.479887580001</v>
          </cell>
          <cell r="U20">
            <v>15.563203509999999</v>
          </cell>
          <cell r="V20">
            <v>24716.916684069998</v>
          </cell>
          <cell r="W20">
            <v>42.604302750000002</v>
          </cell>
          <cell r="X20">
            <v>24759.32767377</v>
          </cell>
          <cell r="Y20">
            <v>24280.74541969</v>
          </cell>
          <cell r="Z20">
            <v>2423.3688737299999</v>
          </cell>
          <cell r="AA20">
            <v>2066.7218630000002</v>
          </cell>
          <cell r="AB20">
            <v>53671.627898220002</v>
          </cell>
          <cell r="AC20">
            <v>3440.9756420999997</v>
          </cell>
          <cell r="AD20">
            <v>622562.35552353004</v>
          </cell>
          <cell r="AE20">
            <v>5871.6148414899999</v>
          </cell>
          <cell r="AF20">
            <v>1761.43359476</v>
          </cell>
          <cell r="AG20">
            <v>114.93554104</v>
          </cell>
          <cell r="AH20">
            <v>570.04344028000003</v>
          </cell>
          <cell r="AI20">
            <v>5365.2410954500001</v>
          </cell>
          <cell r="AJ20">
            <v>10937.68871257</v>
          </cell>
          <cell r="AK20">
            <v>1527.4249571400001</v>
          </cell>
          <cell r="AL20">
            <v>202.39514296000002</v>
          </cell>
          <cell r="AM20">
            <v>774.81648732000008</v>
          </cell>
          <cell r="AN20">
            <v>32.32059872</v>
          </cell>
          <cell r="AO20">
            <v>1816.91044343</v>
          </cell>
          <cell r="AP20">
            <v>1835.0623577599999</v>
          </cell>
        </row>
        <row r="21">
          <cell r="C21" t="str">
            <v>De 20 a 30</v>
          </cell>
          <cell r="D21">
            <v>1088075</v>
          </cell>
          <cell r="E21">
            <v>192825.85538338</v>
          </cell>
          <cell r="F21">
            <v>29695.635400499999</v>
          </cell>
          <cell r="G21">
            <v>92815.822522360002</v>
          </cell>
          <cell r="H21">
            <v>10440.846111639999</v>
          </cell>
          <cell r="I21">
            <v>7.5093562599999997</v>
          </cell>
          <cell r="J21">
            <v>3216.5423403699997</v>
          </cell>
          <cell r="K21">
            <v>1781.8765170699999</v>
          </cell>
          <cell r="L21">
            <v>1538.9427351300001</v>
          </cell>
          <cell r="M21">
            <v>10969.04221761</v>
          </cell>
          <cell r="N21">
            <v>1954.86204466</v>
          </cell>
          <cell r="O21">
            <v>1769.5562234900001</v>
          </cell>
          <cell r="P21">
            <v>246.54260094999998</v>
          </cell>
          <cell r="Q21">
            <v>1.3240392299999999</v>
          </cell>
          <cell r="R21">
            <v>3369.3995667099998</v>
          </cell>
          <cell r="S21">
            <v>157529.41163026</v>
          </cell>
          <cell r="T21">
            <v>33455.039989669996</v>
          </cell>
          <cell r="U21">
            <v>32.210916239999996</v>
          </cell>
          <cell r="V21">
            <v>33422.829073430003</v>
          </cell>
          <cell r="W21">
            <v>105.88263531999999</v>
          </cell>
          <cell r="X21">
            <v>33528.340206280001</v>
          </cell>
          <cell r="Y21">
            <v>32953.886499349996</v>
          </cell>
          <cell r="Z21">
            <v>2791.55963139</v>
          </cell>
          <cell r="AA21">
            <v>2381.0001289800002</v>
          </cell>
          <cell r="AB21">
            <v>67355.575450339995</v>
          </cell>
          <cell r="AC21">
            <v>5913.4677942899998</v>
          </cell>
          <cell r="AD21">
            <v>869557.57084643992</v>
          </cell>
          <cell r="AE21">
            <v>9354.4981705999999</v>
          </cell>
          <cell r="AF21">
            <v>2823.4053195900001</v>
          </cell>
          <cell r="AG21">
            <v>170.62393534</v>
          </cell>
          <cell r="AH21">
            <v>754.80701979999992</v>
          </cell>
          <cell r="AI21">
            <v>6210.2558176800003</v>
          </cell>
          <cell r="AJ21">
            <v>12525.917484469999</v>
          </cell>
          <cell r="AK21">
            <v>1929.45156367</v>
          </cell>
          <cell r="AL21">
            <v>272.95299519000002</v>
          </cell>
          <cell r="AM21">
            <v>1198.1260738699998</v>
          </cell>
          <cell r="AN21">
            <v>25.629130149999998</v>
          </cell>
          <cell r="AO21">
            <v>2590.86299138</v>
          </cell>
          <cell r="AP21">
            <v>3098.0791897800004</v>
          </cell>
        </row>
        <row r="22">
          <cell r="C22" t="str">
            <v>De 30 a 40</v>
          </cell>
          <cell r="D22">
            <v>479596</v>
          </cell>
          <cell r="E22">
            <v>110598.76011461999</v>
          </cell>
          <cell r="F22">
            <v>19972.655277469999</v>
          </cell>
          <cell r="G22">
            <v>66987.563335109997</v>
          </cell>
          <cell r="H22">
            <v>6234.0689052099997</v>
          </cell>
          <cell r="I22">
            <v>4.5919232699999997</v>
          </cell>
          <cell r="J22">
            <v>2094.89199603</v>
          </cell>
          <cell r="K22">
            <v>773.95167151999999</v>
          </cell>
          <cell r="L22">
            <v>680.20365108999999</v>
          </cell>
          <cell r="M22">
            <v>5968.2417988799998</v>
          </cell>
          <cell r="N22">
            <v>1500.66059632</v>
          </cell>
          <cell r="O22">
            <v>1055.1051213600001</v>
          </cell>
          <cell r="P22">
            <v>145.9532428</v>
          </cell>
          <cell r="Q22">
            <v>0.49323179</v>
          </cell>
          <cell r="R22">
            <v>1250.3008318499999</v>
          </cell>
          <cell r="S22">
            <v>90890.2971445</v>
          </cell>
          <cell r="T22">
            <v>20718.71987696</v>
          </cell>
          <cell r="U22">
            <v>28.541307209999999</v>
          </cell>
          <cell r="V22">
            <v>20690.178569750002</v>
          </cell>
          <cell r="W22">
            <v>113.67968569</v>
          </cell>
          <cell r="X22">
            <v>20803.539190490003</v>
          </cell>
          <cell r="Y22">
            <v>20283.006297110001</v>
          </cell>
          <cell r="Z22">
            <v>1637.9973200300001</v>
          </cell>
          <cell r="AA22">
            <v>1237.3090800099999</v>
          </cell>
          <cell r="AB22">
            <v>40155.219866209998</v>
          </cell>
          <cell r="AC22">
            <v>4740.1326328000005</v>
          </cell>
          <cell r="AD22">
            <v>599046.79276188998</v>
          </cell>
          <cell r="AE22">
            <v>7146.0079484999997</v>
          </cell>
          <cell r="AF22">
            <v>1876.0181118099999</v>
          </cell>
          <cell r="AG22">
            <v>166.89456741000001</v>
          </cell>
          <cell r="AH22">
            <v>415.03453863999999</v>
          </cell>
          <cell r="AI22">
            <v>3395.5418922899999</v>
          </cell>
          <cell r="AJ22">
            <v>6881.6354691899996</v>
          </cell>
          <cell r="AK22">
            <v>1165.2099784700001</v>
          </cell>
          <cell r="AL22">
            <v>164.81221224999999</v>
          </cell>
          <cell r="AM22">
            <v>879.37857176</v>
          </cell>
          <cell r="AN22">
            <v>23.655173079999997</v>
          </cell>
          <cell r="AO22">
            <v>1674.3217352199999</v>
          </cell>
          <cell r="AP22">
            <v>2965.5492709099999</v>
          </cell>
        </row>
        <row r="23">
          <cell r="C23" t="str">
            <v>De 40 a 60</v>
          </cell>
          <cell r="D23">
            <v>362941</v>
          </cell>
          <cell r="E23">
            <v>100229.90077022</v>
          </cell>
          <cell r="F23">
            <v>23801.51594727</v>
          </cell>
          <cell r="G23">
            <v>84529.251476919992</v>
          </cell>
          <cell r="H23">
            <v>5135.1826863699998</v>
          </cell>
          <cell r="I23">
            <v>5.8712892600000002</v>
          </cell>
          <cell r="J23">
            <v>2214.1638776599998</v>
          </cell>
          <cell r="K23">
            <v>610.35866239999996</v>
          </cell>
          <cell r="L23">
            <v>554.46897540999998</v>
          </cell>
          <cell r="M23">
            <v>4938.9787092700008</v>
          </cell>
          <cell r="N23">
            <v>1910.9380942499999</v>
          </cell>
          <cell r="O23">
            <v>919.72854358000006</v>
          </cell>
          <cell r="P23">
            <v>138.3173942</v>
          </cell>
          <cell r="Q23">
            <v>0.65764632999999995</v>
          </cell>
          <cell r="R23">
            <v>964.48695408000003</v>
          </cell>
          <cell r="S23">
            <v>82836.747937410008</v>
          </cell>
          <cell r="T23">
            <v>19563.68129868</v>
          </cell>
          <cell r="U23">
            <v>35.229086209999998</v>
          </cell>
          <cell r="V23">
            <v>19528.452212470002</v>
          </cell>
          <cell r="W23">
            <v>218.01273030999999</v>
          </cell>
          <cell r="X23">
            <v>19745.886997220001</v>
          </cell>
          <cell r="Y23">
            <v>18893.174327590001</v>
          </cell>
          <cell r="Z23">
            <v>1705.9961425699998</v>
          </cell>
          <cell r="AA23">
            <v>1026.5035168700001</v>
          </cell>
          <cell r="AB23">
            <v>43000.656291949999</v>
          </cell>
          <cell r="AC23">
            <v>7176.5881509399997</v>
          </cell>
          <cell r="AD23">
            <v>699959.97705660993</v>
          </cell>
          <cell r="AE23">
            <v>8517.8142094199993</v>
          </cell>
          <cell r="AF23">
            <v>2012.3910042699999</v>
          </cell>
          <cell r="AG23">
            <v>128.89365422</v>
          </cell>
          <cell r="AH23">
            <v>410.24956550999997</v>
          </cell>
          <cell r="AI23">
            <v>3297.7212795999999</v>
          </cell>
          <cell r="AJ23">
            <v>5766.3235668100006</v>
          </cell>
          <cell r="AK23">
            <v>999.76075810999998</v>
          </cell>
          <cell r="AL23">
            <v>153.20014508000003</v>
          </cell>
          <cell r="AM23">
            <v>1083.5046517400001</v>
          </cell>
          <cell r="AN23">
            <v>26.629597010000001</v>
          </cell>
          <cell r="AO23">
            <v>1787.5464158099999</v>
          </cell>
          <cell r="AP23">
            <v>173317.81957379999</v>
          </cell>
        </row>
        <row r="24">
          <cell r="C24" t="str">
            <v>De 60 a 80</v>
          </cell>
          <cell r="D24">
            <v>125935</v>
          </cell>
          <cell r="E24">
            <v>37991.503156890001</v>
          </cell>
          <cell r="F24">
            <v>13790.7097407</v>
          </cell>
          <cell r="G24">
            <v>51544.736922980002</v>
          </cell>
          <cell r="H24">
            <v>1409.45932429</v>
          </cell>
          <cell r="I24">
            <v>3.49141893</v>
          </cell>
          <cell r="J24">
            <v>932.69097786999998</v>
          </cell>
          <cell r="K24">
            <v>206.48710473</v>
          </cell>
          <cell r="L24">
            <v>188.36164037</v>
          </cell>
          <cell r="M24">
            <v>1713.0261259400002</v>
          </cell>
          <cell r="N24">
            <v>1103.5512667</v>
          </cell>
          <cell r="O24">
            <v>329.24638018000002</v>
          </cell>
          <cell r="P24">
            <v>54.016422169999998</v>
          </cell>
          <cell r="Q24">
            <v>0.12777628999999999</v>
          </cell>
          <cell r="R24">
            <v>392.27270836000002</v>
          </cell>
          <cell r="S24">
            <v>31658.772011060002</v>
          </cell>
          <cell r="T24">
            <v>7623.2332903100005</v>
          </cell>
          <cell r="U24">
            <v>16.23984312</v>
          </cell>
          <cell r="V24">
            <v>7606.9934471899996</v>
          </cell>
          <cell r="W24">
            <v>172.56437308000002</v>
          </cell>
          <cell r="X24">
            <v>7779.2906939300001</v>
          </cell>
          <cell r="Y24">
            <v>7234.5190239599997</v>
          </cell>
          <cell r="Z24">
            <v>818.21043205000001</v>
          </cell>
          <cell r="AA24">
            <v>399.47012952</v>
          </cell>
          <cell r="AB24">
            <v>21767.802945359999</v>
          </cell>
          <cell r="AC24">
            <v>4998.1821633899999</v>
          </cell>
          <cell r="AD24">
            <v>403018.46396796004</v>
          </cell>
          <cell r="AE24">
            <v>4938.2846588500006</v>
          </cell>
          <cell r="AF24">
            <v>893.50522510999997</v>
          </cell>
          <cell r="AG24">
            <v>13.55098291</v>
          </cell>
          <cell r="AH24">
            <v>174.27660359000001</v>
          </cell>
          <cell r="AI24">
            <v>1322.58773129</v>
          </cell>
          <cell r="AJ24">
            <v>2062.4130137799998</v>
          </cell>
          <cell r="AK24">
            <v>361.30735149000003</v>
          </cell>
          <cell r="AL24">
            <v>62.989119840000001</v>
          </cell>
          <cell r="AM24">
            <v>633.53050138000003</v>
          </cell>
          <cell r="AN24">
            <v>26.921435750000001</v>
          </cell>
          <cell r="AO24">
            <v>884.68574336999995</v>
          </cell>
          <cell r="AP24">
            <v>23535.05107397</v>
          </cell>
        </row>
        <row r="25">
          <cell r="C25" t="str">
            <v>De 80 a 160</v>
          </cell>
          <cell r="D25">
            <v>126178</v>
          </cell>
          <cell r="E25">
            <v>43153.505480839995</v>
          </cell>
          <cell r="F25">
            <v>23771.36468323</v>
          </cell>
          <cell r="G25">
            <v>95698.713396470004</v>
          </cell>
          <cell r="H25">
            <v>909.25449880999997</v>
          </cell>
          <cell r="I25">
            <v>4.1740075699999997</v>
          </cell>
          <cell r="J25">
            <v>1063.77900985</v>
          </cell>
          <cell r="K25">
            <v>191.2344971</v>
          </cell>
          <cell r="L25">
            <v>173.39519986000002</v>
          </cell>
          <cell r="M25">
            <v>1671.9169362</v>
          </cell>
          <cell r="N25">
            <v>1826.18013546</v>
          </cell>
          <cell r="O25">
            <v>302.48872886999999</v>
          </cell>
          <cell r="P25">
            <v>55.173645299999997</v>
          </cell>
          <cell r="Q25">
            <v>0.45692940000000004</v>
          </cell>
          <cell r="R25">
            <v>462.08481723</v>
          </cell>
          <cell r="S25">
            <v>36493.367075189999</v>
          </cell>
          <cell r="T25">
            <v>8992.7032349799993</v>
          </cell>
          <cell r="U25">
            <v>21.079930539999999</v>
          </cell>
          <cell r="V25">
            <v>8971.6233044399996</v>
          </cell>
          <cell r="W25">
            <v>232.79806894999999</v>
          </cell>
          <cell r="X25">
            <v>9204.3009950100004</v>
          </cell>
          <cell r="Y25">
            <v>8155.6991926700002</v>
          </cell>
          <cell r="Z25">
            <v>1225.0458701199998</v>
          </cell>
          <cell r="AA25">
            <v>418.40166345999995</v>
          </cell>
          <cell r="AB25">
            <v>39464.152101449996</v>
          </cell>
          <cell r="AC25">
            <v>11282.98294331</v>
          </cell>
          <cell r="AD25">
            <v>715238.87069343997</v>
          </cell>
          <cell r="AE25">
            <v>8489.4763274699999</v>
          </cell>
          <cell r="AF25">
            <v>1054.40817771</v>
          </cell>
          <cell r="AG25">
            <v>6.3936996700000002</v>
          </cell>
          <cell r="AH25">
            <v>185.43085131000001</v>
          </cell>
          <cell r="AI25">
            <v>1496.9926359999999</v>
          </cell>
          <cell r="AJ25">
            <v>2140.7258650999997</v>
          </cell>
          <cell r="AK25">
            <v>348.56630014000001</v>
          </cell>
          <cell r="AL25">
            <v>67.419652980000009</v>
          </cell>
          <cell r="AM25">
            <v>978.13489286000004</v>
          </cell>
          <cell r="AN25">
            <v>41.020053390000001</v>
          </cell>
          <cell r="AO25">
            <v>1474.07605309</v>
          </cell>
          <cell r="AP25">
            <v>5959.8126318800005</v>
          </cell>
        </row>
        <row r="26">
          <cell r="C26" t="str">
            <v>De 160 a 240</v>
          </cell>
          <cell r="D26">
            <v>29667</v>
          </cell>
          <cell r="E26">
            <v>13160.74673183</v>
          </cell>
          <cell r="F26">
            <v>10945.518615590001</v>
          </cell>
          <cell r="G26">
            <v>44646.439040830002</v>
          </cell>
          <cell r="H26">
            <v>140.86708297000001</v>
          </cell>
          <cell r="I26">
            <v>0.40330646000000003</v>
          </cell>
          <cell r="J26">
            <v>276.37799563999999</v>
          </cell>
          <cell r="K26">
            <v>42.872384029999999</v>
          </cell>
          <cell r="L26">
            <v>37.95053652</v>
          </cell>
          <cell r="M26">
            <v>424.03473797000004</v>
          </cell>
          <cell r="N26">
            <v>918.30835852999996</v>
          </cell>
          <cell r="O26">
            <v>76.464001010000004</v>
          </cell>
          <cell r="P26">
            <v>14.03128223</v>
          </cell>
          <cell r="Q26">
            <v>0</v>
          </cell>
          <cell r="R26">
            <v>119.15910484999999</v>
          </cell>
          <cell r="S26">
            <v>11110.277941620001</v>
          </cell>
          <cell r="T26">
            <v>2819.2269392899998</v>
          </cell>
          <cell r="U26">
            <v>8.7267594800000001</v>
          </cell>
          <cell r="V26">
            <v>2810.5001798099997</v>
          </cell>
          <cell r="W26">
            <v>78.398896300000004</v>
          </cell>
          <cell r="X26">
            <v>2888.8526285100002</v>
          </cell>
          <cell r="Y26">
            <v>2408.4385055600001</v>
          </cell>
          <cell r="Z26">
            <v>507.67448632999998</v>
          </cell>
          <cell r="AA26">
            <v>113.45787551000001</v>
          </cell>
          <cell r="AB26">
            <v>19737.359566540003</v>
          </cell>
          <cell r="AC26">
            <v>5661.7290920200003</v>
          </cell>
          <cell r="AD26">
            <v>336921.77322070004</v>
          </cell>
          <cell r="AE26">
            <v>3743.06999937</v>
          </cell>
          <cell r="AF26">
            <v>278.73442279</v>
          </cell>
          <cell r="AG26">
            <v>0.98929562999999998</v>
          </cell>
          <cell r="AH26">
            <v>45.465716100000002</v>
          </cell>
          <cell r="AI26">
            <v>398.48658145999997</v>
          </cell>
          <cell r="AJ26">
            <v>575.91239282000004</v>
          </cell>
          <cell r="AK26">
            <v>95.561297840000009</v>
          </cell>
          <cell r="AL26">
            <v>19.885271890000002</v>
          </cell>
          <cell r="AM26">
            <v>340.25454738000002</v>
          </cell>
          <cell r="AN26">
            <v>18.07639047</v>
          </cell>
          <cell r="AO26">
            <v>600.42277672</v>
          </cell>
          <cell r="AP26">
            <v>2200.09011134</v>
          </cell>
        </row>
        <row r="27">
          <cell r="C27" t="str">
            <v>De 240 a 320</v>
          </cell>
          <cell r="D27">
            <v>13017</v>
          </cell>
          <cell r="E27">
            <v>7192.4361883399997</v>
          </cell>
          <cell r="F27">
            <v>7092.8584014500002</v>
          </cell>
          <cell r="G27">
            <v>28640.841842270002</v>
          </cell>
          <cell r="H27">
            <v>61.570474299999994</v>
          </cell>
          <cell r="I27">
            <v>5.4726169999999998E-2</v>
          </cell>
          <cell r="J27">
            <v>132.52154881999999</v>
          </cell>
          <cell r="K27">
            <v>19.45492741</v>
          </cell>
          <cell r="L27">
            <v>16.628982300000001</v>
          </cell>
          <cell r="M27">
            <v>199.25233641999998</v>
          </cell>
          <cell r="N27">
            <v>699.94706746000008</v>
          </cell>
          <cell r="O27">
            <v>34.788469509999999</v>
          </cell>
          <cell r="P27">
            <v>8.5703200700000011</v>
          </cell>
          <cell r="Q27">
            <v>2.4766189999999997E-2</v>
          </cell>
          <cell r="R27">
            <v>52.848684509999998</v>
          </cell>
          <cell r="S27">
            <v>5966.7738851800004</v>
          </cell>
          <cell r="T27">
            <v>1538.46221754</v>
          </cell>
          <cell r="U27">
            <v>5.5232175799999998</v>
          </cell>
          <cell r="V27">
            <v>1532.93899996</v>
          </cell>
          <cell r="W27">
            <v>27.24251765</v>
          </cell>
          <cell r="X27">
            <v>1560.1815176099999</v>
          </cell>
          <cell r="Y27">
            <v>1251.87025629</v>
          </cell>
          <cell r="Z27">
            <v>316.25211554999998</v>
          </cell>
          <cell r="AA27">
            <v>56.265145529999998</v>
          </cell>
          <cell r="AB27">
            <v>10689.59999422</v>
          </cell>
          <cell r="AC27">
            <v>3933.6492079699997</v>
          </cell>
          <cell r="AD27">
            <v>207379.18643689001</v>
          </cell>
          <cell r="AE27">
            <v>2304.2307712800002</v>
          </cell>
          <cell r="AF27">
            <v>134.40558028999999</v>
          </cell>
          <cell r="AG27">
            <v>0.31085472999999997</v>
          </cell>
          <cell r="AH27">
            <v>25.156271929999999</v>
          </cell>
          <cell r="AI27">
            <v>195.33275703999999</v>
          </cell>
          <cell r="AJ27">
            <v>307.27303088000002</v>
          </cell>
          <cell r="AK27">
            <v>45.864459549999999</v>
          </cell>
          <cell r="AL27">
            <v>11.915609570000001</v>
          </cell>
          <cell r="AM27">
            <v>155.75185483000001</v>
          </cell>
          <cell r="AN27">
            <v>10.888312640000001</v>
          </cell>
          <cell r="AO27">
            <v>513.40881711999998</v>
          </cell>
          <cell r="AP27">
            <v>1653.01725446</v>
          </cell>
        </row>
        <row r="28">
          <cell r="C28" t="str">
            <v>Mais de 320</v>
          </cell>
          <cell r="D28">
            <v>26162</v>
          </cell>
          <cell r="E28">
            <v>31624.953209449999</v>
          </cell>
          <cell r="F28">
            <v>119783.26798458</v>
          </cell>
          <cell r="G28">
            <v>259384.17582132999</v>
          </cell>
          <cell r="H28">
            <v>114.07406123</v>
          </cell>
          <cell r="I28">
            <v>1.2074726999999998</v>
          </cell>
          <cell r="J28">
            <v>636.23833280999997</v>
          </cell>
          <cell r="K28">
            <v>38.710618150000002</v>
          </cell>
          <cell r="L28">
            <v>34.012782369999996</v>
          </cell>
          <cell r="M28">
            <v>505.29236644999997</v>
          </cell>
          <cell r="N28">
            <v>5145.7930112399999</v>
          </cell>
          <cell r="O28">
            <v>130.57637804999999</v>
          </cell>
          <cell r="P28">
            <v>29.87673659</v>
          </cell>
          <cell r="Q28">
            <v>2.415956E-2</v>
          </cell>
          <cell r="R28">
            <v>103.69519690999999</v>
          </cell>
          <cell r="S28">
            <v>24885.452093389998</v>
          </cell>
          <cell r="T28">
            <v>6638.7220684499998</v>
          </cell>
          <cell r="U28">
            <v>55.74499625</v>
          </cell>
          <cell r="V28">
            <v>6582.9770721999994</v>
          </cell>
          <cell r="W28">
            <v>38.311366870000001</v>
          </cell>
          <cell r="X28">
            <v>6621.2884390700001</v>
          </cell>
          <cell r="Y28">
            <v>5384.8820029999997</v>
          </cell>
          <cell r="Z28">
            <v>1220.0431667299999</v>
          </cell>
          <cell r="AA28">
            <v>192.1921055</v>
          </cell>
          <cell r="AB28">
            <v>69672.416884079998</v>
          </cell>
          <cell r="AC28">
            <v>71007.592341289987</v>
          </cell>
          <cell r="AD28">
            <v>1808128.6363143602</v>
          </cell>
          <cell r="AE28">
            <v>13249.66730277</v>
          </cell>
          <cell r="AF28">
            <v>673.74348079999993</v>
          </cell>
          <cell r="AG28">
            <v>0.24017141</v>
          </cell>
          <cell r="AH28">
            <v>55.927953969999997</v>
          </cell>
          <cell r="AI28">
            <v>465.04658562999998</v>
          </cell>
          <cell r="AJ28">
            <v>738.71610705000001</v>
          </cell>
          <cell r="AK28">
            <v>190.99951263</v>
          </cell>
          <cell r="AL28">
            <v>41.983509909999995</v>
          </cell>
          <cell r="AM28">
            <v>663.50265442999989</v>
          </cell>
          <cell r="AN28">
            <v>36.354315399999997</v>
          </cell>
          <cell r="AO28">
            <v>2981.5695889399999</v>
          </cell>
          <cell r="AP28">
            <v>33090.467734799997</v>
          </cell>
        </row>
        <row r="29">
          <cell r="C29" t="str">
            <v xml:space="preserve">    Total</v>
          </cell>
          <cell r="D29">
            <v>30498517</v>
          </cell>
          <cell r="E29">
            <v>1913207.7717536001</v>
          </cell>
          <cell r="F29">
            <v>379259.45437158004</v>
          </cell>
          <cell r="G29">
            <v>1038892.57453271</v>
          </cell>
          <cell r="H29">
            <v>76257.500974539988</v>
          </cell>
          <cell r="I29">
            <v>64.852408010000005</v>
          </cell>
          <cell r="J29">
            <v>16497.879176429997</v>
          </cell>
          <cell r="K29">
            <v>33683.795323369988</v>
          </cell>
          <cell r="L29">
            <v>21391.799105799993</v>
          </cell>
          <cell r="M29">
            <v>91714.450279249984</v>
          </cell>
          <cell r="N29">
            <v>19944.808226469999</v>
          </cell>
          <cell r="O29">
            <v>13870.448221080002</v>
          </cell>
          <cell r="P29">
            <v>1744.61738343</v>
          </cell>
          <cell r="Q29">
            <v>19.655840040000001</v>
          </cell>
          <cell r="R29">
            <v>140309.06446927</v>
          </cell>
          <cell r="S29">
            <v>1497708.9003459101</v>
          </cell>
          <cell r="T29">
            <v>194825.90857838996</v>
          </cell>
          <cell r="U29">
            <v>236.95368437999997</v>
          </cell>
          <cell r="V29">
            <v>194588.95489401004</v>
          </cell>
          <cell r="W29">
            <v>1090.9786093800001</v>
          </cell>
          <cell r="X29">
            <v>195677.53380638</v>
          </cell>
          <cell r="Y29">
            <v>198704.72268287002</v>
          </cell>
          <cell r="Z29">
            <v>22101.149010140001</v>
          </cell>
          <cell r="AA29">
            <v>26842.249559140004</v>
          </cell>
          <cell r="AB29">
            <v>755829.7723344299</v>
          </cell>
          <cell r="AC29">
            <v>127233.79528254998</v>
          </cell>
          <cell r="AD29">
            <v>10475931.37556199</v>
          </cell>
          <cell r="AE29">
            <v>85915.843660769999</v>
          </cell>
          <cell r="AF29">
            <v>15426.65291952</v>
          </cell>
          <cell r="AG29">
            <v>806.54171492000012</v>
          </cell>
          <cell r="AH29">
            <v>4134.5587113299998</v>
          </cell>
          <cell r="AI29">
            <v>59778.655317149998</v>
          </cell>
          <cell r="AJ29">
            <v>115530.00756992</v>
          </cell>
          <cell r="AK29">
            <v>15202.218964510002</v>
          </cell>
          <cell r="AL29">
            <v>1980.77895663</v>
          </cell>
          <cell r="AM29">
            <v>9424.5653188899996</v>
          </cell>
          <cell r="AN29">
            <v>402.46672434999999</v>
          </cell>
          <cell r="AO29">
            <v>23705.15917187</v>
          </cell>
          <cell r="AP29">
            <v>266053.85391151998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Tab1_Tipo Form"/>
      <sheetName val="Tab2_Sit Fiscal"/>
      <sheetName val="Tab3_Gênero e Tipo"/>
      <sheetName val="Tab4_Fx Etar e Gênero"/>
      <sheetName val="Tab5_Fx BC"/>
      <sheetName val="Tab6_Fx BC e Gênero"/>
      <sheetName val="Tab7_Fx RTB"/>
      <sheetName val="Tab8_Fx RTB+RTE"/>
      <sheetName val="Tab9_Fx Rend Total"/>
      <sheetName val="Tab10_Div+Rend ME Fx Rend Tot"/>
      <sheetName val="Tab11_Div+Rend ME Ocup Princ"/>
      <sheetName val="Tab12_UF"/>
      <sheetName val="Tab12A_Capital Federal"/>
      <sheetName val="Tab12B_Municipio"/>
      <sheetName val="Tab12C_RA_DF"/>
      <sheetName val="Tab13_Natur Ocup"/>
      <sheetName val="Tab14_Ocup Princip"/>
      <sheetName val="Tab14A_UF e Ocup Princ"/>
      <sheetName val="Tab15_Fx Doacoes_Heranças"/>
      <sheetName val="Tab16_Tipo de Rend"/>
      <sheetName val="Tab17_Deduções"/>
      <sheetName val="Tab18_Calc do Imposto"/>
      <sheetName val="Tab19_Rend Tribut"/>
      <sheetName val="Tab19A_Fx Rend Tribut"/>
      <sheetName val="Tab20_Rend Trib Exclus"/>
      <sheetName val="Tab20A_Fx Rend Tribut Exclus"/>
      <sheetName val="Tab21_Rend Isentos"/>
      <sheetName val="Tab21A_Fx Rend Isentos"/>
      <sheetName val="Tab22_Bens e direitos"/>
      <sheetName val="Tab23_Dívid e Ônus"/>
      <sheetName val="Tab24_Pagam e Do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C8" t="str">
            <v>Tabela 9 - Resumo das Declarações Por Faixa de Rendimentos Totais (em salários-mínimos)</v>
          </cell>
          <cell r="S8"/>
        </row>
        <row r="9">
          <cell r="C9"/>
          <cell r="T9"/>
          <cell r="U9"/>
          <cell r="V9"/>
          <cell r="W9"/>
          <cell r="X9"/>
          <cell r="Y9"/>
          <cell r="Z9"/>
          <cell r="AA9"/>
          <cell r="AC9"/>
          <cell r="AD9"/>
          <cell r="AE9"/>
          <cell r="AF9"/>
          <cell r="AG9"/>
          <cell r="AH9"/>
          <cell r="AN9"/>
          <cell r="AO9"/>
          <cell r="AP9" t="str">
            <v>Valores em R$ milhões</v>
          </cell>
        </row>
        <row r="10">
          <cell r="C10" t="str">
            <v>Faixa SM Mensal</v>
          </cell>
          <cell r="D10" t="str">
            <v>Qtde Declarantes</v>
          </cell>
          <cell r="E10" t="str">
            <v>Rendim. Tribut.</v>
          </cell>
          <cell r="F10" t="str">
            <v>Rendim. Tribut. Exclus.</v>
          </cell>
          <cell r="G10" t="str">
            <v>Rendim. Isentos</v>
          </cell>
          <cell r="H10" t="str">
            <v>Deduções</v>
          </cell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 t="str">
            <v>Base de Cálculo (RTL)</v>
          </cell>
          <cell r="T10" t="str">
            <v>Imposto Devido</v>
          </cell>
          <cell r="U10" t="str">
            <v>Dedução de Incentivo</v>
          </cell>
          <cell r="V10" t="str">
            <v>Imposto Devido 1</v>
          </cell>
          <cell r="W10" t="str">
            <v>Imposto Devido RRA</v>
          </cell>
          <cell r="X10" t="str">
            <v>Imposto Devido Total</v>
          </cell>
          <cell r="Y10" t="str">
            <v>Imposto Pago</v>
          </cell>
          <cell r="Z10" t="str">
            <v>Imposto a Pagar</v>
          </cell>
          <cell r="AA10" t="str">
            <v>Imposto a Restituir</v>
          </cell>
          <cell r="AB10" t="str">
            <v>Dívidas   e Ônus</v>
          </cell>
          <cell r="AC10" t="str">
            <v>Doações e Heranças Recebidos</v>
          </cell>
          <cell r="AD10" t="str">
            <v>Bens e Direitos</v>
          </cell>
          <cell r="AE10" t="str">
            <v>Previd. Comp. (VGBL)</v>
          </cell>
          <cell r="AF10" t="str">
            <v>Valores Pagos</v>
          </cell>
          <cell r="AG10"/>
          <cell r="AH10"/>
          <cell r="AI10"/>
          <cell r="AJ10"/>
          <cell r="AK10"/>
          <cell r="AL10"/>
          <cell r="AM10"/>
          <cell r="AN10"/>
          <cell r="AO10"/>
          <cell r="AP10" t="str">
            <v>Doações Efetuadas</v>
          </cell>
        </row>
        <row r="11">
          <cell r="C11"/>
          <cell r="D11"/>
          <cell r="E11"/>
          <cell r="F11"/>
          <cell r="G11"/>
          <cell r="H11" t="str">
            <v>Previd. Official</v>
          </cell>
          <cell r="I11" t="str">
            <v>Previd. RRA</v>
          </cell>
          <cell r="J11" t="str">
            <v>Previd. Privada e FAPI</v>
          </cell>
          <cell r="K11" t="str">
            <v>Dependentes</v>
          </cell>
          <cell r="L11" t="str">
            <v>Instrução</v>
          </cell>
          <cell r="M11" t="str">
            <v>Médicas</v>
          </cell>
          <cell r="N11" t="str">
            <v>Livro Caixa</v>
          </cell>
          <cell r="O11" t="str">
            <v>Pensão Aliment. Judicial</v>
          </cell>
          <cell r="P11" t="str">
            <v>Pensão Aliment. Escritura</v>
          </cell>
          <cell r="Q11" t="str">
            <v>Pensão Aliment. RRA</v>
          </cell>
          <cell r="R11" t="str">
            <v>Desconto Padrão</v>
          </cell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 t="str">
            <v>Previd. Comp. (PGBL)</v>
          </cell>
          <cell r="AG11" t="str">
            <v>Previd. Comp. Nat. Púb.</v>
          </cell>
          <cell r="AH11" t="str">
            <v>FAPI</v>
          </cell>
          <cell r="AI11" t="str">
            <v>Despesas com Instrução</v>
          </cell>
          <cell r="AJ11" t="str">
            <v>Despesas Médicas</v>
          </cell>
          <cell r="AK11" t="str">
            <v>Pensão Alim. Judicial</v>
          </cell>
          <cell r="AL11" t="str">
            <v>Pensão Alim. Escritura</v>
          </cell>
          <cell r="AM11" t="str">
            <v>Profissional Liberal</v>
          </cell>
          <cell r="AN11" t="str">
            <v>Arrendam. Rural</v>
          </cell>
          <cell r="AO11" t="str">
            <v>Outros</v>
          </cell>
          <cell r="AP11"/>
        </row>
        <row r="12">
          <cell r="C12" t="str">
            <v>Até 1/2</v>
          </cell>
          <cell r="D12">
            <v>1604246</v>
          </cell>
          <cell r="E12">
            <v>1110.77497397</v>
          </cell>
          <cell r="F12">
            <v>146.77423456</v>
          </cell>
          <cell r="G12">
            <v>263.61686580999998</v>
          </cell>
          <cell r="H12">
            <v>15.07220961</v>
          </cell>
          <cell r="I12">
            <v>4.8585550000000005E-2</v>
          </cell>
          <cell r="J12">
            <v>0.25146246999999999</v>
          </cell>
          <cell r="K12">
            <v>48.311411460000002</v>
          </cell>
          <cell r="L12">
            <v>5.8748912400000002</v>
          </cell>
          <cell r="M12">
            <v>17.849317469999999</v>
          </cell>
          <cell r="N12">
            <v>0.29453648999999998</v>
          </cell>
          <cell r="O12">
            <v>1.8493940800000002</v>
          </cell>
          <cell r="P12">
            <v>0.25610687999999998</v>
          </cell>
          <cell r="Q12">
            <v>1.0940500000000001E-2</v>
          </cell>
          <cell r="R12">
            <v>122.28963369</v>
          </cell>
          <cell r="S12">
            <v>898.66648452999993</v>
          </cell>
          <cell r="T12">
            <v>2.1484200000000002E-2</v>
          </cell>
          <cell r="U12">
            <v>0</v>
          </cell>
          <cell r="V12">
            <v>2.1484200000000002E-2</v>
          </cell>
          <cell r="W12">
            <v>6.6036599999999999E-3</v>
          </cell>
          <cell r="X12">
            <v>2.66103E-2</v>
          </cell>
          <cell r="Y12">
            <v>20.347569420000003</v>
          </cell>
          <cell r="Z12">
            <v>1.3545079999999999E-2</v>
          </cell>
          <cell r="AA12">
            <v>20.74640608</v>
          </cell>
          <cell r="AB12">
            <v>25987.996920759997</v>
          </cell>
          <cell r="AC12">
            <v>2.5085879900000001</v>
          </cell>
          <cell r="AD12">
            <v>311655.59086025</v>
          </cell>
          <cell r="AE12">
            <v>532.24307479000004</v>
          </cell>
          <cell r="AF12">
            <v>20.758675149999998</v>
          </cell>
          <cell r="AG12">
            <v>0.36962834</v>
          </cell>
          <cell r="AH12">
            <v>3.0430595199999999</v>
          </cell>
          <cell r="AI12">
            <v>206.39956438999999</v>
          </cell>
          <cell r="AJ12">
            <v>434.51243168999997</v>
          </cell>
          <cell r="AK12">
            <v>54.387009540000001</v>
          </cell>
          <cell r="AL12">
            <v>8.7024127699999987</v>
          </cell>
          <cell r="AM12">
            <v>48.134902150000002</v>
          </cell>
          <cell r="AN12">
            <v>23.47134763</v>
          </cell>
          <cell r="AO12">
            <v>266.63828744</v>
          </cell>
          <cell r="AP12">
            <v>957.10717825999996</v>
          </cell>
        </row>
        <row r="13">
          <cell r="C13" t="str">
            <v>De 1/2 a 1</v>
          </cell>
          <cell r="D13">
            <v>578381</v>
          </cell>
          <cell r="E13">
            <v>4975.5948829600002</v>
          </cell>
          <cell r="F13">
            <v>242.5130408</v>
          </cell>
          <cell r="G13">
            <v>699.00018708000005</v>
          </cell>
          <cell r="H13">
            <v>92.233408680000011</v>
          </cell>
          <cell r="I13">
            <v>9.8389600000000008E-2</v>
          </cell>
          <cell r="J13">
            <v>0.87959087999999996</v>
          </cell>
          <cell r="K13">
            <v>117.42367045</v>
          </cell>
          <cell r="L13">
            <v>20.422010100000001</v>
          </cell>
          <cell r="M13">
            <v>62.778558029999999</v>
          </cell>
          <cell r="N13">
            <v>1.84314318</v>
          </cell>
          <cell r="O13">
            <v>6.4467765799999999</v>
          </cell>
          <cell r="P13">
            <v>0.81850017000000008</v>
          </cell>
          <cell r="Q13">
            <v>6.2551709999999996E-2</v>
          </cell>
          <cell r="R13">
            <v>647.36103803999993</v>
          </cell>
          <cell r="S13">
            <v>4025.2272455399998</v>
          </cell>
          <cell r="T13">
            <v>0.14860842999999999</v>
          </cell>
          <cell r="U13">
            <v>4.8539999999999999E-5</v>
          </cell>
          <cell r="V13">
            <v>0.14855989000000003</v>
          </cell>
          <cell r="W13">
            <v>2.2827549999999999E-2</v>
          </cell>
          <cell r="X13">
            <v>0.17138744</v>
          </cell>
          <cell r="Y13">
            <v>32.20574912</v>
          </cell>
          <cell r="Z13">
            <v>8.1174339999999998E-2</v>
          </cell>
          <cell r="AA13">
            <v>32.272003050000002</v>
          </cell>
          <cell r="AB13">
            <v>6668.2015802100004</v>
          </cell>
          <cell r="AC13">
            <v>12.7630477</v>
          </cell>
          <cell r="AD13">
            <v>67171.871526610004</v>
          </cell>
          <cell r="AE13">
            <v>343.39847205000001</v>
          </cell>
          <cell r="AF13">
            <v>17.39022241</v>
          </cell>
          <cell r="AG13">
            <v>0.18459982</v>
          </cell>
          <cell r="AH13">
            <v>1.82662082</v>
          </cell>
          <cell r="AI13">
            <v>121.86357595999999</v>
          </cell>
          <cell r="AJ13">
            <v>250.18859368</v>
          </cell>
          <cell r="AK13">
            <v>21.000373449999998</v>
          </cell>
          <cell r="AL13">
            <v>4.9680201900000007</v>
          </cell>
          <cell r="AM13">
            <v>19.934395670000001</v>
          </cell>
          <cell r="AN13">
            <v>6.9015199999999997</v>
          </cell>
          <cell r="AO13">
            <v>101.26937604000001</v>
          </cell>
          <cell r="AP13">
            <v>184.88172114</v>
          </cell>
        </row>
        <row r="14">
          <cell r="C14" t="str">
            <v>De 1 a 2</v>
          </cell>
          <cell r="D14">
            <v>2755245</v>
          </cell>
          <cell r="E14">
            <v>43655.424515639999</v>
          </cell>
          <cell r="F14">
            <v>1623.4888108099999</v>
          </cell>
          <cell r="G14">
            <v>6499.0151713499999</v>
          </cell>
          <cell r="H14">
            <v>683.44687082000007</v>
          </cell>
          <cell r="I14">
            <v>0.92858958999999996</v>
          </cell>
          <cell r="J14">
            <v>7.6617949100000002</v>
          </cell>
          <cell r="K14">
            <v>568.83253790999993</v>
          </cell>
          <cell r="L14">
            <v>135.68712166</v>
          </cell>
          <cell r="M14">
            <v>493.98937595999996</v>
          </cell>
          <cell r="N14">
            <v>20.758013120000001</v>
          </cell>
          <cell r="O14">
            <v>47.38649607</v>
          </cell>
          <cell r="P14">
            <v>5.6789219800000001</v>
          </cell>
          <cell r="Q14">
            <v>0.31003802000000003</v>
          </cell>
          <cell r="R14">
            <v>6052.02880568</v>
          </cell>
          <cell r="S14">
            <v>35638.72253159</v>
          </cell>
          <cell r="T14">
            <v>1.1349713100000001</v>
          </cell>
          <cell r="U14">
            <v>1.137E-5</v>
          </cell>
          <cell r="V14">
            <v>1.1349599399999999</v>
          </cell>
          <cell r="W14">
            <v>0.14765117000000003</v>
          </cell>
          <cell r="X14">
            <v>1.28073379</v>
          </cell>
          <cell r="Y14">
            <v>227.25857303000001</v>
          </cell>
          <cell r="Z14">
            <v>0.61242453000000008</v>
          </cell>
          <cell r="AA14">
            <v>228.80053015000001</v>
          </cell>
          <cell r="AB14">
            <v>27284.28682044</v>
          </cell>
          <cell r="AC14">
            <v>81.439045750000005</v>
          </cell>
          <cell r="AD14">
            <v>327870.43809178</v>
          </cell>
          <cell r="AE14">
            <v>1307.6387574300002</v>
          </cell>
          <cell r="AF14">
            <v>41.4518111</v>
          </cell>
          <cell r="AG14">
            <v>1.1606750800000001</v>
          </cell>
          <cell r="AH14">
            <v>7.9021216299999999</v>
          </cell>
          <cell r="AI14">
            <v>562.97411271999999</v>
          </cell>
          <cell r="AJ14">
            <v>1374.62172844</v>
          </cell>
          <cell r="AK14">
            <v>108.12249245000001</v>
          </cell>
          <cell r="AL14">
            <v>15.447186310000001</v>
          </cell>
          <cell r="AM14">
            <v>92.49066388</v>
          </cell>
          <cell r="AN14">
            <v>17.826619839999999</v>
          </cell>
          <cell r="AO14">
            <v>327.77261576999996</v>
          </cell>
          <cell r="AP14">
            <v>562.12300582</v>
          </cell>
        </row>
        <row r="15">
          <cell r="C15" t="str">
            <v>De 2 a 3</v>
          </cell>
          <cell r="D15">
            <v>5014845</v>
          </cell>
          <cell r="E15">
            <v>135856.8419383</v>
          </cell>
          <cell r="F15">
            <v>8796.72866144</v>
          </cell>
          <cell r="G15">
            <v>15271.23282388</v>
          </cell>
          <cell r="H15">
            <v>2722.8962199799998</v>
          </cell>
          <cell r="I15">
            <v>2.8367539500000003</v>
          </cell>
          <cell r="J15">
            <v>44.977363750000002</v>
          </cell>
          <cell r="K15">
            <v>2733.1896250599998</v>
          </cell>
          <cell r="L15">
            <v>842.87046622000003</v>
          </cell>
          <cell r="M15">
            <v>2750.4009322500001</v>
          </cell>
          <cell r="N15">
            <v>78.427039879999995</v>
          </cell>
          <cell r="O15">
            <v>387.75147539</v>
          </cell>
          <cell r="P15">
            <v>38.875913250000004</v>
          </cell>
          <cell r="Q15">
            <v>1.13423053</v>
          </cell>
          <cell r="R15">
            <v>20422.765258610001</v>
          </cell>
          <cell r="S15">
            <v>105830.75958855</v>
          </cell>
          <cell r="T15">
            <v>404.80329429</v>
          </cell>
          <cell r="U15">
            <v>2.6614400000000002E-3</v>
          </cell>
          <cell r="V15">
            <v>404.80063285</v>
          </cell>
          <cell r="W15">
            <v>0.55236563999999999</v>
          </cell>
          <cell r="X15">
            <v>405.33879791000004</v>
          </cell>
          <cell r="Y15">
            <v>1434.3696356199998</v>
          </cell>
          <cell r="Z15">
            <v>83.861809040000011</v>
          </cell>
          <cell r="AA15">
            <v>1123.02389576</v>
          </cell>
          <cell r="AB15">
            <v>42824.00892837</v>
          </cell>
          <cell r="AC15">
            <v>181.21985941</v>
          </cell>
          <cell r="AD15">
            <v>466055.49959850998</v>
          </cell>
          <cell r="AE15">
            <v>2759.2128125700001</v>
          </cell>
          <cell r="AF15">
            <v>92.786825459999989</v>
          </cell>
          <cell r="AG15">
            <v>2.6444343900000002</v>
          </cell>
          <cell r="AH15">
            <v>31.795222750000001</v>
          </cell>
          <cell r="AI15">
            <v>2002.7515343699999</v>
          </cell>
          <cell r="AJ15">
            <v>4701.3221815200004</v>
          </cell>
          <cell r="AK15">
            <v>486.52892086999998</v>
          </cell>
          <cell r="AL15">
            <v>54.697664570000001</v>
          </cell>
          <cell r="AM15">
            <v>172.01626568</v>
          </cell>
          <cell r="AN15">
            <v>15.965701749999999</v>
          </cell>
          <cell r="AO15">
            <v>726.34339416</v>
          </cell>
          <cell r="AP15">
            <v>872.44594932000007</v>
          </cell>
        </row>
        <row r="16">
          <cell r="C16" t="str">
            <v>De 3 a 5</v>
          </cell>
          <cell r="D16">
            <v>8262962</v>
          </cell>
          <cell r="E16">
            <v>322633.21009325999</v>
          </cell>
          <cell r="F16">
            <v>26223.85182295</v>
          </cell>
          <cell r="G16">
            <v>54106.301708899999</v>
          </cell>
          <cell r="H16">
            <v>9728.0695077700002</v>
          </cell>
          <cell r="I16">
            <v>6.6708163899999997</v>
          </cell>
          <cell r="J16">
            <v>328.18669813999998</v>
          </cell>
          <cell r="K16">
            <v>7303.4393338199998</v>
          </cell>
          <cell r="L16">
            <v>3815.6316059800001</v>
          </cell>
          <cell r="M16">
            <v>12517.50934135</v>
          </cell>
          <cell r="N16">
            <v>411.38031741000003</v>
          </cell>
          <cell r="O16">
            <v>1640.2612478800002</v>
          </cell>
          <cell r="P16">
            <v>183.05336591999998</v>
          </cell>
          <cell r="Q16">
            <v>3.5570388199999998</v>
          </cell>
          <cell r="R16">
            <v>42034.337487010001</v>
          </cell>
          <cell r="S16">
            <v>244661.20790862999</v>
          </cell>
          <cell r="T16">
            <v>6348.9201102299994</v>
          </cell>
          <cell r="U16">
            <v>0.43292342</v>
          </cell>
          <cell r="V16">
            <v>6348.4871868100008</v>
          </cell>
          <cell r="W16">
            <v>3.0182419500000002</v>
          </cell>
          <cell r="X16">
            <v>6351.4157561499997</v>
          </cell>
          <cell r="Y16">
            <v>9797.4123065599997</v>
          </cell>
          <cell r="Z16">
            <v>1014.70001185</v>
          </cell>
          <cell r="AA16">
            <v>4515.4770329100002</v>
          </cell>
          <cell r="AB16">
            <v>82258.280022240011</v>
          </cell>
          <cell r="AC16">
            <v>984.14254835999998</v>
          </cell>
          <cell r="AD16">
            <v>894670.46787592</v>
          </cell>
          <cell r="AE16">
            <v>4217.0116955800004</v>
          </cell>
          <cell r="AF16">
            <v>384.01474635</v>
          </cell>
          <cell r="AG16">
            <v>12.65212848</v>
          </cell>
          <cell r="AH16">
            <v>178.74839878</v>
          </cell>
          <cell r="AI16">
            <v>7526.8936683399997</v>
          </cell>
          <cell r="AJ16">
            <v>17350.605059240002</v>
          </cell>
          <cell r="AK16">
            <v>1813.1017662899999</v>
          </cell>
          <cell r="AL16">
            <v>207.01866953999999</v>
          </cell>
          <cell r="AM16">
            <v>482.01747752</v>
          </cell>
          <cell r="AN16">
            <v>29.997006429999999</v>
          </cell>
          <cell r="AO16">
            <v>1991.2611279300002</v>
          </cell>
          <cell r="AP16">
            <v>1783.8598951400002</v>
          </cell>
        </row>
        <row r="17">
          <cell r="C17" t="str">
            <v>De 5 a 7</v>
          </cell>
          <cell r="D17">
            <v>4316910</v>
          </cell>
          <cell r="E17">
            <v>245948.76226625001</v>
          </cell>
          <cell r="F17">
            <v>22023.013431040003</v>
          </cell>
          <cell r="G17">
            <v>50870.069533620001</v>
          </cell>
          <cell r="H17">
            <v>8461.3610601500004</v>
          </cell>
          <cell r="I17">
            <v>5.2662147599999996</v>
          </cell>
          <cell r="J17">
            <v>513.47105779000003</v>
          </cell>
          <cell r="K17">
            <v>4330.5372936700005</v>
          </cell>
          <cell r="L17">
            <v>3430.61426256</v>
          </cell>
          <cell r="M17">
            <v>12739.34546002</v>
          </cell>
          <cell r="N17">
            <v>593.07876778000002</v>
          </cell>
          <cell r="O17">
            <v>1684.58732521</v>
          </cell>
          <cell r="P17">
            <v>186.35289846999999</v>
          </cell>
          <cell r="Q17">
            <v>2.55485293</v>
          </cell>
          <cell r="R17">
            <v>29707.125786560002</v>
          </cell>
          <cell r="S17">
            <v>184294.51987217</v>
          </cell>
          <cell r="T17">
            <v>12338.476121579999</v>
          </cell>
          <cell r="U17">
            <v>1.7273716299999999</v>
          </cell>
          <cell r="V17">
            <v>12336.74874995</v>
          </cell>
          <cell r="W17">
            <v>7.6853283099999992</v>
          </cell>
          <cell r="X17">
            <v>12344.287013540001</v>
          </cell>
          <cell r="Y17">
            <v>15048.092847219999</v>
          </cell>
          <cell r="Z17">
            <v>1923.8527922400001</v>
          </cell>
          <cell r="AA17">
            <v>4707.10239404</v>
          </cell>
          <cell r="AB17">
            <v>70961.01646811</v>
          </cell>
          <cell r="AC17">
            <v>1846.4919229500001</v>
          </cell>
          <cell r="AD17">
            <v>724203.71030021994</v>
          </cell>
          <cell r="AE17">
            <v>4411.8836773800003</v>
          </cell>
          <cell r="AF17">
            <v>562.04312120000009</v>
          </cell>
          <cell r="AG17">
            <v>17.499997950000001</v>
          </cell>
          <cell r="AH17">
            <v>230.33344955000001</v>
          </cell>
          <cell r="AI17">
            <v>7139.4037389700006</v>
          </cell>
          <cell r="AJ17">
            <v>16652.412034000001</v>
          </cell>
          <cell r="AK17">
            <v>1802.93955248</v>
          </cell>
          <cell r="AL17">
            <v>203.92036847999998</v>
          </cell>
          <cell r="AM17">
            <v>517.51674364999997</v>
          </cell>
          <cell r="AN17">
            <v>30.87777711</v>
          </cell>
          <cell r="AO17">
            <v>1778.43874811</v>
          </cell>
          <cell r="AP17">
            <v>1759.57803423</v>
          </cell>
        </row>
        <row r="18">
          <cell r="C18" t="str">
            <v>De 7 a 10</v>
          </cell>
          <cell r="D18">
            <v>3219144</v>
          </cell>
          <cell r="E18">
            <v>249138.20550896</v>
          </cell>
          <cell r="F18">
            <v>24438.662198620001</v>
          </cell>
          <cell r="G18">
            <v>62356.49320012</v>
          </cell>
          <cell r="H18">
            <v>9631.0014501499991</v>
          </cell>
          <cell r="I18">
            <v>5.2584516600000004</v>
          </cell>
          <cell r="J18">
            <v>924.72400105999998</v>
          </cell>
          <cell r="K18">
            <v>3669.9698516799999</v>
          </cell>
          <cell r="L18">
            <v>3275.83402699</v>
          </cell>
          <cell r="M18">
            <v>13522.447139370001</v>
          </cell>
          <cell r="N18">
            <v>960.85890670000003</v>
          </cell>
          <cell r="O18">
            <v>1960.5567896700002</v>
          </cell>
          <cell r="P18">
            <v>215.37734118</v>
          </cell>
          <cell r="Q18">
            <v>1.9846122900000001</v>
          </cell>
          <cell r="R18">
            <v>24895.032072860002</v>
          </cell>
          <cell r="S18">
            <v>190075.17833970001</v>
          </cell>
          <cell r="T18">
            <v>22211.342117159998</v>
          </cell>
          <cell r="U18">
            <v>5.8762545199999998</v>
          </cell>
          <cell r="V18">
            <v>22205.465862639998</v>
          </cell>
          <cell r="W18">
            <v>19.979389190000003</v>
          </cell>
          <cell r="X18">
            <v>22225.096889650002</v>
          </cell>
          <cell r="Y18">
            <v>23032.349724580003</v>
          </cell>
          <cell r="Z18">
            <v>3468.7675623800001</v>
          </cell>
          <cell r="AA18">
            <v>4395.4532692499997</v>
          </cell>
          <cell r="AB18">
            <v>71832.55276233</v>
          </cell>
          <cell r="AC18">
            <v>2972.60640736</v>
          </cell>
          <cell r="AD18">
            <v>796998.14788754005</v>
          </cell>
          <cell r="AE18">
            <v>6194.6663669</v>
          </cell>
          <cell r="AF18">
            <v>974.38786861000006</v>
          </cell>
          <cell r="AG18">
            <v>40.613580630000001</v>
          </cell>
          <cell r="AH18">
            <v>387.84906131999998</v>
          </cell>
          <cell r="AI18">
            <v>7439.8519108299997</v>
          </cell>
          <cell r="AJ18">
            <v>17401.013211680001</v>
          </cell>
          <cell r="AK18">
            <v>2066.6144311400003</v>
          </cell>
          <cell r="AL18">
            <v>229.86971121000002</v>
          </cell>
          <cell r="AM18">
            <v>683.31203505999997</v>
          </cell>
          <cell r="AN18">
            <v>31.728531030000003</v>
          </cell>
          <cell r="AO18">
            <v>2034.4328398</v>
          </cell>
          <cell r="AP18">
            <v>31466.021472189997</v>
          </cell>
        </row>
        <row r="19">
          <cell r="C19" t="str">
            <v>De 10 a 15</v>
          </cell>
          <cell r="D19">
            <v>2526189</v>
          </cell>
          <cell r="E19">
            <v>269857.80436065001</v>
          </cell>
          <cell r="F19">
            <v>29508.50712378</v>
          </cell>
          <cell r="G19">
            <v>85199.96618232</v>
          </cell>
          <cell r="H19">
            <v>13502.673559819999</v>
          </cell>
          <cell r="I19">
            <v>6.9639314500000005</v>
          </cell>
          <cell r="J19">
            <v>2111.0840791599999</v>
          </cell>
          <cell r="K19">
            <v>3397.4289265700004</v>
          </cell>
          <cell r="L19">
            <v>3025.6373815399998</v>
          </cell>
          <cell r="M19">
            <v>15563.18432842</v>
          </cell>
          <cell r="N19">
            <v>1467.65513566</v>
          </cell>
          <cell r="O19">
            <v>2335.7158747399999</v>
          </cell>
          <cell r="P19">
            <v>277.54111375000002</v>
          </cell>
          <cell r="Q19">
            <v>1.5142916000000002</v>
          </cell>
          <cell r="R19">
            <v>14351.88863433</v>
          </cell>
          <cell r="S19">
            <v>213816.54239436999</v>
          </cell>
          <cell r="T19">
            <v>35293.131836280001</v>
          </cell>
          <cell r="U19">
            <v>18.758974909999999</v>
          </cell>
          <cell r="V19">
            <v>35274.37286137</v>
          </cell>
          <cell r="W19">
            <v>43.71383385</v>
          </cell>
          <cell r="X19">
            <v>35317.688535829999</v>
          </cell>
          <cell r="Y19">
            <v>34517.478975800004</v>
          </cell>
          <cell r="Z19">
            <v>4368.6375882600005</v>
          </cell>
          <cell r="AA19">
            <v>3731.1226441399999</v>
          </cell>
          <cell r="AB19">
            <v>91081.727672549998</v>
          </cell>
          <cell r="AC19">
            <v>4421.7285924600001</v>
          </cell>
          <cell r="AD19">
            <v>956287.63320468995</v>
          </cell>
          <cell r="AE19">
            <v>7179.2207980800003</v>
          </cell>
          <cell r="AF19">
            <v>1928.20537644</v>
          </cell>
          <cell r="AG19">
            <v>184.79244875999998</v>
          </cell>
          <cell r="AH19">
            <v>637.18614599</v>
          </cell>
          <cell r="AI19">
            <v>7846.2072760699994</v>
          </cell>
          <cell r="AJ19">
            <v>18458.764598530001</v>
          </cell>
          <cell r="AK19">
            <v>2482.0668934699997</v>
          </cell>
          <cell r="AL19">
            <v>298.18200806999999</v>
          </cell>
          <cell r="AM19">
            <v>960.55577673000005</v>
          </cell>
          <cell r="AN19">
            <v>36.345232320000001</v>
          </cell>
          <cell r="AO19">
            <v>2611.7840173200002</v>
          </cell>
          <cell r="AP19">
            <v>2858.1477301999998</v>
          </cell>
        </row>
        <row r="20">
          <cell r="C20" t="str">
            <v>De 15 a 20</v>
          </cell>
          <cell r="D20">
            <v>1167190</v>
          </cell>
          <cell r="E20">
            <v>165207.33020185001</v>
          </cell>
          <cell r="F20">
            <v>20683.24104895</v>
          </cell>
          <cell r="G20">
            <v>66463.499459409999</v>
          </cell>
          <cell r="H20">
            <v>9603.6023893000001</v>
          </cell>
          <cell r="I20">
            <v>4.9749062400000001</v>
          </cell>
          <cell r="J20">
            <v>2128.9422438900001</v>
          </cell>
          <cell r="K20">
            <v>1692.88501107</v>
          </cell>
          <cell r="L20">
            <v>1475.91770406</v>
          </cell>
          <cell r="M20">
            <v>9572.5906509100005</v>
          </cell>
          <cell r="N20">
            <v>1195.8432376600001</v>
          </cell>
          <cell r="O20">
            <v>1415.7236782699999</v>
          </cell>
          <cell r="P20">
            <v>180.35649050000001</v>
          </cell>
          <cell r="Q20">
            <v>1.0089644799999999</v>
          </cell>
          <cell r="R20">
            <v>4470.6815896099997</v>
          </cell>
          <cell r="S20">
            <v>133464.80333585999</v>
          </cell>
          <cell r="T20">
            <v>26005.515476830002</v>
          </cell>
          <cell r="U20">
            <v>23.442512539999999</v>
          </cell>
          <cell r="V20">
            <v>25982.072964290001</v>
          </cell>
          <cell r="W20">
            <v>49.697415319999998</v>
          </cell>
          <cell r="X20">
            <v>26031.54441178</v>
          </cell>
          <cell r="Y20">
            <v>25301.504756770002</v>
          </cell>
          <cell r="Z20">
            <v>2616.1528669099998</v>
          </cell>
          <cell r="AA20">
            <v>1997.9874865199999</v>
          </cell>
          <cell r="AB20">
            <v>59666.767959720004</v>
          </cell>
          <cell r="AC20">
            <v>3890.11909423</v>
          </cell>
          <cell r="AD20">
            <v>689994.36639546999</v>
          </cell>
          <cell r="AE20">
            <v>5987.7999978999997</v>
          </cell>
          <cell r="AF20">
            <v>1848.4272853900002</v>
          </cell>
          <cell r="AG20">
            <v>139.00553966999999</v>
          </cell>
          <cell r="AH20">
            <v>553.25999664999995</v>
          </cell>
          <cell r="AI20">
            <v>4758.7215977100004</v>
          </cell>
          <cell r="AJ20">
            <v>10966.22187419</v>
          </cell>
          <cell r="AK20">
            <v>1531.7336220899999</v>
          </cell>
          <cell r="AL20">
            <v>197.01321006000001</v>
          </cell>
          <cell r="AM20">
            <v>788.10206388999995</v>
          </cell>
          <cell r="AN20">
            <v>26.271561500000001</v>
          </cell>
          <cell r="AO20">
            <v>1898.6805098699999</v>
          </cell>
          <cell r="AP20">
            <v>2245.7613194999999</v>
          </cell>
        </row>
        <row r="21">
          <cell r="C21" t="str">
            <v>De 20 a 30</v>
          </cell>
          <cell r="D21">
            <v>1073869</v>
          </cell>
          <cell r="E21">
            <v>197198.67155314999</v>
          </cell>
          <cell r="F21">
            <v>28396.72646596</v>
          </cell>
          <cell r="G21">
            <v>100128.28657619</v>
          </cell>
          <cell r="H21">
            <v>12476.577548809999</v>
          </cell>
          <cell r="I21">
            <v>5.4416825099999997</v>
          </cell>
          <cell r="J21">
            <v>3300.3138134699998</v>
          </cell>
          <cell r="K21">
            <v>1602.2986892599999</v>
          </cell>
          <cell r="L21">
            <v>1390.0009916600002</v>
          </cell>
          <cell r="M21">
            <v>10793.08321592</v>
          </cell>
          <cell r="N21">
            <v>1821.5648174800001</v>
          </cell>
          <cell r="O21">
            <v>1750.2404243199999</v>
          </cell>
          <cell r="P21">
            <v>243.30790765</v>
          </cell>
          <cell r="Q21">
            <v>0.56465356999999994</v>
          </cell>
          <cell r="R21">
            <v>3210.12462865</v>
          </cell>
          <cell r="S21">
            <v>160605.16404926</v>
          </cell>
          <cell r="T21">
            <v>34473.244083900005</v>
          </cell>
          <cell r="U21">
            <v>44.625868939999997</v>
          </cell>
          <cell r="V21">
            <v>34428.618214959999</v>
          </cell>
          <cell r="W21">
            <v>100.95975214000001</v>
          </cell>
          <cell r="X21">
            <v>34528.908547989995</v>
          </cell>
          <cell r="Y21">
            <v>33647.661497150002</v>
          </cell>
          <cell r="Z21">
            <v>2954.6086599999999</v>
          </cell>
          <cell r="AA21">
            <v>2237.8264065500002</v>
          </cell>
          <cell r="AB21">
            <v>71202.025634880003</v>
          </cell>
          <cell r="AC21">
            <v>6641.7880844600004</v>
          </cell>
          <cell r="AD21">
            <v>970452.19873571</v>
          </cell>
          <cell r="AE21">
            <v>10023.23773334</v>
          </cell>
          <cell r="AF21">
            <v>2956.1859209699996</v>
          </cell>
          <cell r="AG21">
            <v>198.51265462000001</v>
          </cell>
          <cell r="AH21">
            <v>720.4261316699999</v>
          </cell>
          <cell r="AI21">
            <v>5596.9395327100001</v>
          </cell>
          <cell r="AJ21">
            <v>12350.39469173</v>
          </cell>
          <cell r="AK21">
            <v>1912.4216566700002</v>
          </cell>
          <cell r="AL21">
            <v>270.52163718999998</v>
          </cell>
          <cell r="AM21">
            <v>1207.21870341</v>
          </cell>
          <cell r="AN21">
            <v>39.124511509999998</v>
          </cell>
          <cell r="AO21">
            <v>2680.6737461399998</v>
          </cell>
          <cell r="AP21">
            <v>3728.5320961100001</v>
          </cell>
        </row>
        <row r="22">
          <cell r="C22" t="str">
            <v>De 30 a 40</v>
          </cell>
          <cell r="D22">
            <v>462066</v>
          </cell>
          <cell r="E22">
            <v>110538.54932836999</v>
          </cell>
          <cell r="F22">
            <v>18533.013575519999</v>
          </cell>
          <cell r="G22">
            <v>70142.24229005001</v>
          </cell>
          <cell r="H22">
            <v>7311.9905643500006</v>
          </cell>
          <cell r="I22">
            <v>4.0966332899999998</v>
          </cell>
          <cell r="J22">
            <v>2087.3233145099998</v>
          </cell>
          <cell r="K22">
            <v>706.41615091999995</v>
          </cell>
          <cell r="L22">
            <v>625.22724997</v>
          </cell>
          <cell r="M22">
            <v>5646.6205504</v>
          </cell>
          <cell r="N22">
            <v>1348.8409539500001</v>
          </cell>
          <cell r="O22">
            <v>1031.6545425499999</v>
          </cell>
          <cell r="P22">
            <v>144.22694593</v>
          </cell>
          <cell r="Q22">
            <v>0.79012711999999996</v>
          </cell>
          <cell r="R22">
            <v>1224.63111056</v>
          </cell>
          <cell r="S22">
            <v>90406.725831820004</v>
          </cell>
          <cell r="T22">
            <v>20747.34058742</v>
          </cell>
          <cell r="U22">
            <v>37.832376659999994</v>
          </cell>
          <cell r="V22">
            <v>20709.508210759999</v>
          </cell>
          <cell r="W22">
            <v>98.196319000000003</v>
          </cell>
          <cell r="X22">
            <v>20807.270029840001</v>
          </cell>
          <cell r="Y22">
            <v>20163.091205650002</v>
          </cell>
          <cell r="Z22">
            <v>1698.1016383499998</v>
          </cell>
          <cell r="AA22">
            <v>1170.6816348900002</v>
          </cell>
          <cell r="AB22">
            <v>45789.676626330001</v>
          </cell>
          <cell r="AC22">
            <v>5302.8327966000006</v>
          </cell>
          <cell r="AD22">
            <v>652018.28154153004</v>
          </cell>
          <cell r="AE22">
            <v>7947.1369371800001</v>
          </cell>
          <cell r="AF22">
            <v>1885.38518623</v>
          </cell>
          <cell r="AG22">
            <v>200.32508933000003</v>
          </cell>
          <cell r="AH22">
            <v>388.52605602</v>
          </cell>
          <cell r="AI22">
            <v>3100.3054712199996</v>
          </cell>
          <cell r="AJ22">
            <v>6522.8823767100002</v>
          </cell>
          <cell r="AK22">
            <v>1140.03673835</v>
          </cell>
          <cell r="AL22">
            <v>162.17039903999998</v>
          </cell>
          <cell r="AM22">
            <v>824.55529274000003</v>
          </cell>
          <cell r="AN22">
            <v>34.096616640000001</v>
          </cell>
          <cell r="AO22">
            <v>1710.5664362299999</v>
          </cell>
          <cell r="AP22">
            <v>28512.494820340002</v>
          </cell>
        </row>
        <row r="23">
          <cell r="C23" t="str">
            <v>De 40 a 60</v>
          </cell>
          <cell r="D23">
            <v>340832</v>
          </cell>
          <cell r="E23">
            <v>94559.362968920002</v>
          </cell>
          <cell r="F23">
            <v>21735.02403715</v>
          </cell>
          <cell r="G23">
            <v>88543.260472969996</v>
          </cell>
          <cell r="H23">
            <v>5342.4260723699999</v>
          </cell>
          <cell r="I23">
            <v>3.95874777</v>
          </cell>
          <cell r="J23">
            <v>2088.6465213699998</v>
          </cell>
          <cell r="K23">
            <v>545.56502754999997</v>
          </cell>
          <cell r="L23">
            <v>496.97136641000003</v>
          </cell>
          <cell r="M23">
            <v>4416.8064932200004</v>
          </cell>
          <cell r="N23">
            <v>1686.3289678900001</v>
          </cell>
          <cell r="O23">
            <v>829.32006267999998</v>
          </cell>
          <cell r="P23">
            <v>127.14154929</v>
          </cell>
          <cell r="Q23">
            <v>0.51493122000000002</v>
          </cell>
          <cell r="R23">
            <v>982.03870252000002</v>
          </cell>
          <cell r="S23">
            <v>78039.64452663</v>
          </cell>
          <cell r="T23">
            <v>18465.73577195</v>
          </cell>
          <cell r="U23">
            <v>41.60505053</v>
          </cell>
          <cell r="V23">
            <v>18424.130721419999</v>
          </cell>
          <cell r="W23">
            <v>208.24788494999999</v>
          </cell>
          <cell r="X23">
            <v>18631.336521680001</v>
          </cell>
          <cell r="Y23">
            <v>17680.701450029999</v>
          </cell>
          <cell r="Z23">
            <v>1764.23629482</v>
          </cell>
          <cell r="AA23">
            <v>990.08381800999996</v>
          </cell>
          <cell r="AB23">
            <v>46089.960576239995</v>
          </cell>
          <cell r="AC23">
            <v>7981.10705512</v>
          </cell>
          <cell r="AD23">
            <v>739514.92855100997</v>
          </cell>
          <cell r="AE23">
            <v>8201.5160042999996</v>
          </cell>
          <cell r="AF23">
            <v>1931.94553432</v>
          </cell>
          <cell r="AG23">
            <v>126.09452659999999</v>
          </cell>
          <cell r="AH23">
            <v>375.21699648999999</v>
          </cell>
          <cell r="AI23">
            <v>3014.1466722700002</v>
          </cell>
          <cell r="AJ23">
            <v>5190.2239896199999</v>
          </cell>
          <cell r="AK23">
            <v>908.72622109999998</v>
          </cell>
          <cell r="AL23">
            <v>141.48606227000002</v>
          </cell>
          <cell r="AM23">
            <v>1034.2262497199999</v>
          </cell>
          <cell r="AN23">
            <v>31.98423434</v>
          </cell>
          <cell r="AO23">
            <v>1771.03573594</v>
          </cell>
          <cell r="AP23">
            <v>8756.6510974599987</v>
          </cell>
        </row>
        <row r="24">
          <cell r="C24" t="str">
            <v>De 60 a 80</v>
          </cell>
          <cell r="D24">
            <v>117987</v>
          </cell>
          <cell r="E24">
            <v>35199.365893480004</v>
          </cell>
          <cell r="F24">
            <v>12391.792472290001</v>
          </cell>
          <cell r="G24">
            <v>53803.750617639998</v>
          </cell>
          <cell r="H24">
            <v>1358.85379201</v>
          </cell>
          <cell r="I24">
            <v>2.2348008500000001</v>
          </cell>
          <cell r="J24">
            <v>853.34948783000004</v>
          </cell>
          <cell r="K24">
            <v>180.85748512000001</v>
          </cell>
          <cell r="L24">
            <v>163.19961736000002</v>
          </cell>
          <cell r="M24">
            <v>1455.0551615499999</v>
          </cell>
          <cell r="N24">
            <v>911.12531526999999</v>
          </cell>
          <cell r="O24">
            <v>296.78180722000002</v>
          </cell>
          <cell r="P24">
            <v>45.846005529999999</v>
          </cell>
          <cell r="Q24">
            <v>0.30701676</v>
          </cell>
          <cell r="R24">
            <v>403.72086860000002</v>
          </cell>
          <cell r="S24">
            <v>29528.03453538</v>
          </cell>
          <cell r="T24">
            <v>7119.3112189200001</v>
          </cell>
          <cell r="U24">
            <v>18.499643329999998</v>
          </cell>
          <cell r="V24">
            <v>7100.8115755899998</v>
          </cell>
          <cell r="W24">
            <v>165.78753421000002</v>
          </cell>
          <cell r="X24">
            <v>7266.4022424899995</v>
          </cell>
          <cell r="Y24">
            <v>6593.9770312199998</v>
          </cell>
          <cell r="Z24">
            <v>896.25157805999993</v>
          </cell>
          <cell r="AA24">
            <v>350.55742066000005</v>
          </cell>
          <cell r="AB24">
            <v>25170.765137130002</v>
          </cell>
          <cell r="AC24">
            <v>5559.4772014499995</v>
          </cell>
          <cell r="AD24">
            <v>403704.50759384996</v>
          </cell>
          <cell r="AE24">
            <v>6292.2605648100007</v>
          </cell>
          <cell r="AF24">
            <v>813.64406917999997</v>
          </cell>
          <cell r="AG24">
            <v>12.757713050000001</v>
          </cell>
          <cell r="AH24">
            <v>148.61365546000002</v>
          </cell>
          <cell r="AI24">
            <v>1195.71377209</v>
          </cell>
          <cell r="AJ24">
            <v>1779.4304731</v>
          </cell>
          <cell r="AK24">
            <v>330.37997911000002</v>
          </cell>
          <cell r="AL24">
            <v>53.137622139999998</v>
          </cell>
          <cell r="AM24">
            <v>598.89988463999998</v>
          </cell>
          <cell r="AN24">
            <v>21.567767010000001</v>
          </cell>
          <cell r="AO24">
            <v>863.29649927000003</v>
          </cell>
          <cell r="AP24">
            <v>97696.691711189997</v>
          </cell>
        </row>
        <row r="25">
          <cell r="C25" t="str">
            <v>De 80 a 160</v>
          </cell>
          <cell r="D25">
            <v>122641</v>
          </cell>
          <cell r="E25">
            <v>42143.326177930001</v>
          </cell>
          <cell r="F25">
            <v>21567.30466093</v>
          </cell>
          <cell r="G25">
            <v>102302.41856061001</v>
          </cell>
          <cell r="H25">
            <v>883.17156374000001</v>
          </cell>
          <cell r="I25">
            <v>2.8849635600000001</v>
          </cell>
          <cell r="J25">
            <v>970.43643304</v>
          </cell>
          <cell r="K25">
            <v>173.71131869999999</v>
          </cell>
          <cell r="L25">
            <v>155.96297483000001</v>
          </cell>
          <cell r="M25">
            <v>1469.3470255299999</v>
          </cell>
          <cell r="N25">
            <v>1673.3566924200002</v>
          </cell>
          <cell r="O25">
            <v>267.13209799999998</v>
          </cell>
          <cell r="P25">
            <v>48.628116390000002</v>
          </cell>
          <cell r="Q25">
            <v>7.9783919999999994E-2</v>
          </cell>
          <cell r="R25">
            <v>497.48472974999999</v>
          </cell>
          <cell r="S25">
            <v>36001.13047805</v>
          </cell>
          <cell r="T25">
            <v>8894.5175633199997</v>
          </cell>
          <cell r="U25">
            <v>25.533321709999999</v>
          </cell>
          <cell r="V25">
            <v>8868.98424161</v>
          </cell>
          <cell r="W25">
            <v>239.04296950999998</v>
          </cell>
          <cell r="X25">
            <v>9107.57507601</v>
          </cell>
          <cell r="Y25">
            <v>7707.1676563599995</v>
          </cell>
          <cell r="Z25">
            <v>1487.8371019799999</v>
          </cell>
          <cell r="AA25">
            <v>396.45732764999997</v>
          </cell>
          <cell r="AB25">
            <v>44499.537929509999</v>
          </cell>
          <cell r="AC25">
            <v>12496.00457809</v>
          </cell>
          <cell r="AD25">
            <v>746421.3522749301</v>
          </cell>
          <cell r="AE25">
            <v>7433.6707612500004</v>
          </cell>
          <cell r="AF25">
            <v>979.0390901799999</v>
          </cell>
          <cell r="AG25">
            <v>6.5863627400000002</v>
          </cell>
          <cell r="AH25">
            <v>162.75046980000002</v>
          </cell>
          <cell r="AI25">
            <v>1356.8256933399998</v>
          </cell>
          <cell r="AJ25">
            <v>1889.13060718</v>
          </cell>
          <cell r="AK25">
            <v>314.48892542000004</v>
          </cell>
          <cell r="AL25">
            <v>59.420314220000002</v>
          </cell>
          <cell r="AM25">
            <v>1012.8908022000001</v>
          </cell>
          <cell r="AN25">
            <v>49.096059609999998</v>
          </cell>
          <cell r="AO25">
            <v>1397.8346602399999</v>
          </cell>
          <cell r="AP25">
            <v>5081.2386281000008</v>
          </cell>
        </row>
        <row r="26">
          <cell r="C26" t="str">
            <v>De 160 a 240</v>
          </cell>
          <cell r="D26">
            <v>30762</v>
          </cell>
          <cell r="E26">
            <v>13990.217562450001</v>
          </cell>
          <cell r="F26">
            <v>10278.3517756</v>
          </cell>
          <cell r="G26">
            <v>50327.52962881</v>
          </cell>
          <cell r="H26">
            <v>151.65053053</v>
          </cell>
          <cell r="I26">
            <v>0.38403809</v>
          </cell>
          <cell r="J26">
            <v>270.9130955</v>
          </cell>
          <cell r="K26">
            <v>42.15360201</v>
          </cell>
          <cell r="L26">
            <v>36.823219450000003</v>
          </cell>
          <cell r="M26">
            <v>396.21259529000002</v>
          </cell>
          <cell r="N26">
            <v>938.51277228999993</v>
          </cell>
          <cell r="O26">
            <v>73.417255859999997</v>
          </cell>
          <cell r="P26">
            <v>14.049712550000001</v>
          </cell>
          <cell r="Q26">
            <v>8.9396000000000007E-4</v>
          </cell>
          <cell r="R26">
            <v>134.14562738999999</v>
          </cell>
          <cell r="S26">
            <v>11931.95421953</v>
          </cell>
          <cell r="T26">
            <v>3038.2702307099999</v>
          </cell>
          <cell r="U26">
            <v>11.3584905</v>
          </cell>
          <cell r="V26">
            <v>3026.9117402100001</v>
          </cell>
          <cell r="W26">
            <v>61.552760560000003</v>
          </cell>
          <cell r="X26">
            <v>3087.4325156199998</v>
          </cell>
          <cell r="Y26">
            <v>2391.2429881900002</v>
          </cell>
          <cell r="Z26">
            <v>682.28343117999998</v>
          </cell>
          <cell r="AA26">
            <v>108.50626368</v>
          </cell>
          <cell r="AB26">
            <v>25070.058731429999</v>
          </cell>
          <cell r="AC26">
            <v>6592.9911674200002</v>
          </cell>
          <cell r="AD26">
            <v>356296.54716428003</v>
          </cell>
          <cell r="AE26">
            <v>2993.0679112899998</v>
          </cell>
          <cell r="AF26">
            <v>279.38714025000002</v>
          </cell>
          <cell r="AG26">
            <v>1.1713654099999999</v>
          </cell>
          <cell r="AH26">
            <v>38.825883070000003</v>
          </cell>
          <cell r="AI26">
            <v>410.20916287</v>
          </cell>
          <cell r="AJ26">
            <v>540.42469041999993</v>
          </cell>
          <cell r="AK26">
            <v>92.69744378</v>
          </cell>
          <cell r="AL26">
            <v>18.93042823</v>
          </cell>
          <cell r="AM26">
            <v>321.98454536999998</v>
          </cell>
          <cell r="AN26">
            <v>26.577294329999997</v>
          </cell>
          <cell r="AO26">
            <v>638.16823777000002</v>
          </cell>
          <cell r="AP26">
            <v>3046.4082314699999</v>
          </cell>
        </row>
        <row r="27">
          <cell r="C27" t="str">
            <v>De 240 a 320</v>
          </cell>
          <cell r="D27">
            <v>13567</v>
          </cell>
          <cell r="E27">
            <v>7779.5267162800001</v>
          </cell>
          <cell r="F27">
            <v>7135.7381175600003</v>
          </cell>
          <cell r="G27">
            <v>31942.866345369999</v>
          </cell>
          <cell r="H27">
            <v>64.481675670000001</v>
          </cell>
          <cell r="I27">
            <v>1.7804400000000001E-2</v>
          </cell>
          <cell r="J27">
            <v>141.2748235</v>
          </cell>
          <cell r="K27">
            <v>18.553871640000001</v>
          </cell>
          <cell r="L27">
            <v>16.245800460000002</v>
          </cell>
          <cell r="M27">
            <v>191.83936477</v>
          </cell>
          <cell r="N27">
            <v>631.23404975000005</v>
          </cell>
          <cell r="O27">
            <v>39.841460600000005</v>
          </cell>
          <cell r="P27">
            <v>7.92741176</v>
          </cell>
          <cell r="Q27">
            <v>2.4766189999999997E-2</v>
          </cell>
          <cell r="R27">
            <v>60.379074680000002</v>
          </cell>
          <cell r="S27">
            <v>6607.70661286</v>
          </cell>
          <cell r="T27">
            <v>1710.2583879900001</v>
          </cell>
          <cell r="U27">
            <v>7.5429636599999998</v>
          </cell>
          <cell r="V27">
            <v>1702.7154243299999</v>
          </cell>
          <cell r="W27">
            <v>17.269081579999998</v>
          </cell>
          <cell r="X27">
            <v>1719.52070688</v>
          </cell>
          <cell r="Y27">
            <v>1296.7076987</v>
          </cell>
          <cell r="Z27">
            <v>422.01241469000001</v>
          </cell>
          <cell r="AA27">
            <v>55.976070610000001</v>
          </cell>
          <cell r="AB27">
            <v>15172.51805864</v>
          </cell>
          <cell r="AC27">
            <v>4467.2850948900004</v>
          </cell>
          <cell r="AD27">
            <v>229453.65624421</v>
          </cell>
          <cell r="AE27">
            <v>2060.3603472599998</v>
          </cell>
          <cell r="AF27">
            <v>145.39615843999999</v>
          </cell>
          <cell r="AG27">
            <v>0.52126853000000006</v>
          </cell>
          <cell r="AH27">
            <v>17.67920793</v>
          </cell>
          <cell r="AI27">
            <v>191.24619450999998</v>
          </cell>
          <cell r="AJ27">
            <v>269.25678168000002</v>
          </cell>
          <cell r="AK27">
            <v>51.878261020000004</v>
          </cell>
          <cell r="AL27">
            <v>12.14719545</v>
          </cell>
          <cell r="AM27">
            <v>149.53689224999999</v>
          </cell>
          <cell r="AN27">
            <v>14.28452347</v>
          </cell>
          <cell r="AO27">
            <v>328.44587968999997</v>
          </cell>
          <cell r="AP27">
            <v>1915.0738618900002</v>
          </cell>
        </row>
        <row r="28">
          <cell r="C28" t="str">
            <v>Mais de 320</v>
          </cell>
          <cell r="D28">
            <v>28007</v>
          </cell>
          <cell r="E28">
            <v>35640.27003136</v>
          </cell>
          <cell r="F28">
            <v>77873.975317039993</v>
          </cell>
          <cell r="G28">
            <v>257190.16537267002</v>
          </cell>
          <cell r="H28">
            <v>117.30797869</v>
          </cell>
          <cell r="I28">
            <v>2.1777560000000001E-2</v>
          </cell>
          <cell r="J28">
            <v>653.86989512000002</v>
          </cell>
          <cell r="K28">
            <v>40.780153439999999</v>
          </cell>
          <cell r="L28">
            <v>34.688004920000004</v>
          </cell>
          <cell r="M28">
            <v>493.86615419999998</v>
          </cell>
          <cell r="N28">
            <v>4910.0789709199998</v>
          </cell>
          <cell r="O28">
            <v>138.10549277999999</v>
          </cell>
          <cell r="P28">
            <v>27.40863702</v>
          </cell>
          <cell r="Q28">
            <v>0</v>
          </cell>
          <cell r="R28">
            <v>117.84101118000001</v>
          </cell>
          <cell r="S28">
            <v>29106.301955529998</v>
          </cell>
          <cell r="T28">
            <v>7784.5034751899993</v>
          </cell>
          <cell r="U28">
            <v>75.41931409</v>
          </cell>
          <cell r="V28">
            <v>7709.0841611000005</v>
          </cell>
          <cell r="W28">
            <v>26.209606190000002</v>
          </cell>
          <cell r="X28">
            <v>7735.2937673000006</v>
          </cell>
          <cell r="Y28">
            <v>5749.4520147399999</v>
          </cell>
          <cell r="Z28">
            <v>1880.56527168</v>
          </cell>
          <cell r="AA28">
            <v>209.05539865</v>
          </cell>
          <cell r="AB28">
            <v>90125.823822229999</v>
          </cell>
          <cell r="AC28">
            <v>46889.949280269997</v>
          </cell>
          <cell r="AD28">
            <v>1801748.0640171201</v>
          </cell>
          <cell r="AE28">
            <v>10057.205461240001</v>
          </cell>
          <cell r="AF28">
            <v>1159.93164351</v>
          </cell>
          <cell r="AG28">
            <v>0.50705739000000005</v>
          </cell>
          <cell r="AH28">
            <v>44.829555799999994</v>
          </cell>
          <cell r="AI28">
            <v>495.85438289999996</v>
          </cell>
          <cell r="AJ28">
            <v>729.83027078999999</v>
          </cell>
          <cell r="AK28">
            <v>198.87304309999999</v>
          </cell>
          <cell r="AL28">
            <v>39.544986810000005</v>
          </cell>
          <cell r="AM28">
            <v>683.37891413</v>
          </cell>
          <cell r="AN28">
            <v>73.61148329000001</v>
          </cell>
          <cell r="AO28">
            <v>3361.7650756999997</v>
          </cell>
          <cell r="AP28">
            <v>24834.55685891</v>
          </cell>
        </row>
        <row r="29">
          <cell r="C29" t="str">
            <v xml:space="preserve">    Total</v>
          </cell>
          <cell r="D29">
            <v>31634843</v>
          </cell>
          <cell r="E29">
            <v>1975433.2389737801</v>
          </cell>
          <cell r="F29">
            <v>331598.70679500001</v>
          </cell>
          <cell r="G29">
            <v>1096109.7149968001</v>
          </cell>
          <cell r="H29">
            <v>82146.81640245</v>
          </cell>
          <cell r="I29">
            <v>52.087087220000001</v>
          </cell>
          <cell r="J29">
            <v>16426.305676389999</v>
          </cell>
          <cell r="K29">
            <v>27172.353960329994</v>
          </cell>
          <cell r="L29">
            <v>18947.608695410006</v>
          </cell>
          <cell r="M29">
            <v>92102.925664660012</v>
          </cell>
          <cell r="N29">
            <v>18651.181637850001</v>
          </cell>
          <cell r="O29">
            <v>13906.772201900001</v>
          </cell>
          <cell r="P29">
            <v>1746.8469382200003</v>
          </cell>
          <cell r="Q29">
            <v>14.419693619999997</v>
          </cell>
          <cell r="R29">
            <v>149333.87605972</v>
          </cell>
          <cell r="S29">
            <v>1554932.2899100003</v>
          </cell>
          <cell r="T29">
            <v>204836.67533971003</v>
          </cell>
          <cell r="U29">
            <v>312.65778778999993</v>
          </cell>
          <cell r="V29">
            <v>204524.01755191994</v>
          </cell>
          <cell r="W29">
            <v>1042.08956478</v>
          </cell>
          <cell r="X29">
            <v>205560.58954419996</v>
          </cell>
          <cell r="Y29">
            <v>204641.02168016002</v>
          </cell>
          <cell r="Z29">
            <v>25262.576165389997</v>
          </cell>
          <cell r="AA29">
            <v>26271.130002599999</v>
          </cell>
          <cell r="AB29">
            <v>841685.20565111993</v>
          </cell>
          <cell r="AC29">
            <v>110324.45436450999</v>
          </cell>
          <cell r="AD29">
            <v>11134517.26186363</v>
          </cell>
          <cell r="AE29">
            <v>87941.531373349993</v>
          </cell>
          <cell r="AF29">
            <v>16020.380675190001</v>
          </cell>
          <cell r="AG29">
            <v>945.39907079000022</v>
          </cell>
          <cell r="AH29">
            <v>3928.8120332499993</v>
          </cell>
          <cell r="AI29">
            <v>52966.30786126999</v>
          </cell>
          <cell r="AJ29">
            <v>116861.23559420001</v>
          </cell>
          <cell r="AK29">
            <v>15315.997330329999</v>
          </cell>
          <cell r="AL29">
            <v>1977.17789655</v>
          </cell>
          <cell r="AM29">
            <v>9596.77160869</v>
          </cell>
          <cell r="AN29">
            <v>509.72778781</v>
          </cell>
          <cell r="AO29">
            <v>24488.407187420002</v>
          </cell>
          <cell r="AP29">
            <v>216261.57361127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37"/>
  <sheetViews>
    <sheetView workbookViewId="0">
      <selection activeCell="N25" sqref="N25:O37"/>
    </sheetView>
  </sheetViews>
  <sheetFormatPr baseColWidth="10" defaultColWidth="8.85546875" defaultRowHeight="15" x14ac:dyDescent="0.25"/>
  <cols>
    <col min="3" max="4" width="12.42578125" bestFit="1" customWidth="1"/>
    <col min="6" max="6" width="9.42578125" bestFit="1" customWidth="1"/>
    <col min="7" max="7" width="11.42578125" bestFit="1" customWidth="1"/>
    <col min="15" max="16" width="8.85546875" customWidth="1"/>
  </cols>
  <sheetData>
    <row r="2" spans="2:28" x14ac:dyDescent="0.25">
      <c r="B2" t="str">
        <f>+[1]P14_P15_T9!C9</f>
        <v>Tabela 9 - Resumo das Declarações Por Faixa de Rendimentos Totais</v>
      </c>
      <c r="C2">
        <f>+[1]P14_P15_T9!D9</f>
        <v>0</v>
      </c>
      <c r="D2">
        <f>+[1]P14_P15_T9!E9</f>
        <v>0</v>
      </c>
      <c r="E2">
        <f>+[1]P14_P15_T9!F9</f>
        <v>0</v>
      </c>
      <c r="F2">
        <f>+[1]P14_P15_T9!G9</f>
        <v>0</v>
      </c>
      <c r="G2">
        <f>+[1]P14_P15_T9!H9</f>
        <v>0</v>
      </c>
      <c r="H2">
        <f>+[1]P14_P15_T9!I9</f>
        <v>0</v>
      </c>
      <c r="I2">
        <f>+[1]P14_P15_T9!J9</f>
        <v>0</v>
      </c>
      <c r="J2">
        <f>+[1]P14_P15_T9!K9</f>
        <v>0</v>
      </c>
      <c r="K2">
        <f>+[1]P14_P15_T9!L9</f>
        <v>0</v>
      </c>
      <c r="L2">
        <f>+[1]P14_P15_T9!M9</f>
        <v>0</v>
      </c>
      <c r="M2">
        <f>+[1]P14_P15_T9!N9</f>
        <v>0</v>
      </c>
      <c r="N2">
        <f>+[1]P14_P15_T9!O9</f>
        <v>0</v>
      </c>
      <c r="O2">
        <f>+[1]P14_P15_T9!P9</f>
        <v>0</v>
      </c>
      <c r="P2">
        <f>+[1]P14_P15_T9!Q9</f>
        <v>0</v>
      </c>
      <c r="Q2">
        <f>+[1]P14_P15_T9!R9</f>
        <v>0</v>
      </c>
      <c r="R2">
        <f>+[1]P14_P15_T9!S9</f>
        <v>0</v>
      </c>
      <c r="S2">
        <f>+[1]P14_P15_T9!T9</f>
        <v>0</v>
      </c>
      <c r="T2" t="str">
        <f>+[1]P14_P15_T9!U9</f>
        <v>Valores R$ milhões</v>
      </c>
      <c r="U2">
        <f>+[1]P14_P15_T9!V9</f>
        <v>0</v>
      </c>
      <c r="V2">
        <f>+[1]P14_P15_T9!W9</f>
        <v>0</v>
      </c>
      <c r="W2">
        <f>+[1]P14_P15_T9!X9</f>
        <v>0</v>
      </c>
      <c r="X2">
        <f>+[1]P14_P15_T9!Y9</f>
        <v>0</v>
      </c>
      <c r="Y2">
        <f>+[1]P14_P15_T9!Z9</f>
        <v>0</v>
      </c>
      <c r="Z2">
        <f>+[1]P14_P15_T9!AA9</f>
        <v>0</v>
      </c>
      <c r="AA2">
        <f>+[1]P14_P15_T9!AB9</f>
        <v>0</v>
      </c>
      <c r="AB2">
        <f>+[1]P14_P15_T9!AC9</f>
        <v>0</v>
      </c>
    </row>
    <row r="3" spans="2:28" x14ac:dyDescent="0.25">
      <c r="B3" t="str">
        <f>+[1]P14_P15_T9!C10</f>
        <v>Faixa de Rendimento Total</v>
      </c>
      <c r="C3" t="str">
        <f>+[1]P14_P15_T9!D10</f>
        <v>Qtde Declarantes</v>
      </c>
      <c r="D3" t="str">
        <f>+[1]P14_P15_T9!E10</f>
        <v>Rendim. Tribut.</v>
      </c>
      <c r="E3" t="str">
        <f>+[1]P14_P15_T9!F10</f>
        <v>Rendim. Tribut. Exclus.</v>
      </c>
      <c r="F3" t="str">
        <f>+[1]P14_P15_T9!G10</f>
        <v>Rendim. Isentos</v>
      </c>
      <c r="G3" t="str">
        <f>+[1]P14_P15_T9!H10</f>
        <v>DEDUÇÕES</v>
      </c>
      <c r="H3">
        <f>+[1]P14_P15_T9!I10</f>
        <v>0</v>
      </c>
      <c r="I3">
        <f>+[1]P14_P15_T9!J10</f>
        <v>0</v>
      </c>
      <c r="J3">
        <f>+[1]P14_P15_T9!K10</f>
        <v>0</v>
      </c>
      <c r="K3">
        <f>+[1]P14_P15_T9!L10</f>
        <v>0</v>
      </c>
      <c r="L3">
        <f>+[1]P14_P15_T9!M10</f>
        <v>0</v>
      </c>
      <c r="M3">
        <f>+[1]P14_P15_T9!N10</f>
        <v>0</v>
      </c>
      <c r="N3" t="str">
        <f>+[1]P14_P15_T9!O10</f>
        <v>Base de Cálculo (RTL)</v>
      </c>
      <c r="O3" t="str">
        <f>+[1]P14_P15_T9!P10</f>
        <v>Imposto Devido</v>
      </c>
      <c r="P3" t="str">
        <f>+[1]P14_P15_T9!Q10</f>
        <v>Imposto Pago</v>
      </c>
      <c r="Q3" t="str">
        <f>+[1]P14_P15_T9!R10</f>
        <v>Imposto a Pagar</v>
      </c>
      <c r="R3" t="str">
        <f>+[1]P14_P15_T9!S10</f>
        <v>Imposto a Restituir</v>
      </c>
      <c r="S3" t="str">
        <f>+[1]P14_P15_T9!T10</f>
        <v>Bens e Direitos</v>
      </c>
      <c r="T3" t="str">
        <f>+[1]P14_P15_T9!U10</f>
        <v>Dívidas e Ônus</v>
      </c>
      <c r="U3">
        <f>+[1]P14_P15_T9!V10</f>
        <v>0</v>
      </c>
      <c r="V3" t="str">
        <f>+[1]P14_P15_T9!W10</f>
        <v>Withheld income (post-tax)</v>
      </c>
      <c r="W3">
        <f>+[1]P14_P15_T9!X10</f>
        <v>0</v>
      </c>
      <c r="X3">
        <f>+[1]P14_P15_T9!Y10</f>
        <v>0</v>
      </c>
      <c r="Y3">
        <f>+[1]P14_P15_T9!Z10</f>
        <v>0</v>
      </c>
      <c r="Z3" t="str">
        <f>+[1]P14_P15_T9!AA10</f>
        <v>Pre-tax</v>
      </c>
      <c r="AA3">
        <f>+[1]P14_P15_T9!AB10</f>
        <v>0</v>
      </c>
      <c r="AB3">
        <f>+[1]P14_P15_T9!AC10</f>
        <v>0</v>
      </c>
    </row>
    <row r="4" spans="2:28" x14ac:dyDescent="0.25">
      <c r="B4">
        <f>+[1]P14_P15_T9!C11</f>
        <v>0</v>
      </c>
      <c r="C4">
        <f>+[1]P14_P15_T9!D11</f>
        <v>0</v>
      </c>
      <c r="D4">
        <f>+[1]P14_P15_T9!E11</f>
        <v>0</v>
      </c>
      <c r="E4">
        <f>+[1]P14_P15_T9!F11</f>
        <v>0</v>
      </c>
      <c r="F4">
        <f>+[1]P14_P15_T9!G11</f>
        <v>0</v>
      </c>
      <c r="G4" t="str">
        <f>+[1]P14_P15_T9!H11</f>
        <v>Contrib. Previden.</v>
      </c>
      <c r="H4" t="str">
        <f>+[1]P14_P15_T9!I11</f>
        <v>Dependentes</v>
      </c>
      <c r="I4" t="str">
        <f>+[1]P14_P15_T9!J11</f>
        <v>Instrução</v>
      </c>
      <c r="J4" t="str">
        <f>+[1]P14_P15_T9!K11</f>
        <v>Médicas</v>
      </c>
      <c r="K4" t="str">
        <f>+[1]P14_P15_T9!L11</f>
        <v>Livro Caixa</v>
      </c>
      <c r="L4" t="str">
        <f>+[1]P14_P15_T9!M11</f>
        <v>Pensão Aliment.</v>
      </c>
      <c r="M4" t="str">
        <f>+[1]P14_P15_T9!N11</f>
        <v>Desc. Padrão</v>
      </c>
      <c r="N4">
        <f>+[1]P14_P15_T9!O11</f>
        <v>0</v>
      </c>
      <c r="O4">
        <f>+[1]P14_P15_T9!P11</f>
        <v>0</v>
      </c>
      <c r="P4">
        <f>+[1]P14_P15_T9!Q11</f>
        <v>0</v>
      </c>
      <c r="Q4">
        <f>+[1]P14_P15_T9!R11</f>
        <v>0</v>
      </c>
      <c r="R4">
        <f>+[1]P14_P15_T9!S11</f>
        <v>0</v>
      </c>
      <c r="S4">
        <f>+[1]P14_P15_T9!T11</f>
        <v>0</v>
      </c>
      <c r="T4">
        <f>+[1]P14_P15_T9!U11</f>
        <v>0</v>
      </c>
      <c r="U4">
        <f>+[1]P14_P15_T9!V11</f>
        <v>0</v>
      </c>
      <c r="V4" t="str">
        <f>+[1]P14_P15_T9!W11</f>
        <v>Labour income</v>
      </c>
      <c r="W4" t="str">
        <f>+[1]P14_P15_T9!X11</f>
        <v>Labour income (adj)</v>
      </c>
      <c r="X4" t="str">
        <f>+[1]P14_P15_T9!Y11</f>
        <v xml:space="preserve">Capital income </v>
      </c>
      <c r="Y4">
        <f>+[1]P14_P15_T9!Z11</f>
        <v>0</v>
      </c>
      <c r="Z4" t="str">
        <f>+[1]P14_P15_T9!AA11</f>
        <v>Labour income</v>
      </c>
      <c r="AA4" t="str">
        <f>+[1]P14_P15_T9!AB11</f>
        <v xml:space="preserve">Capital income </v>
      </c>
      <c r="AB4" t="str">
        <f>+[1]P14_P15_T9!AC11</f>
        <v>Total withheld income</v>
      </c>
    </row>
    <row r="5" spans="2:28" x14ac:dyDescent="0.25">
      <c r="B5" t="str">
        <f>+[1]P14_P15_T9!C12</f>
        <v>Até 1/2 Salário Mín.</v>
      </c>
      <c r="C5">
        <f>+[1]P14_P15_T9!D12</f>
        <v>2675969</v>
      </c>
      <c r="D5">
        <f>+[1]P14_P15_T9!E12</f>
        <v>202.64534560999999</v>
      </c>
      <c r="E5">
        <f>+[1]P14_P15_T9!F12</f>
        <v>6.2101566500000001</v>
      </c>
      <c r="F5">
        <f>+[1]P14_P15_T9!G12</f>
        <v>31.801113079999997</v>
      </c>
      <c r="G5">
        <f>+[1]P14_P15_T9!H12</f>
        <v>7.5891025299999999</v>
      </c>
      <c r="H5">
        <f>+[1]P14_P15_T9!I12</f>
        <v>81.844629269999999</v>
      </c>
      <c r="I5">
        <f>+[1]P14_P15_T9!J12</f>
        <v>3.8501201099999998</v>
      </c>
      <c r="J5">
        <f>+[1]P14_P15_T9!K12</f>
        <v>10.758596259999999</v>
      </c>
      <c r="K5">
        <f>+[1]P14_P15_T9!L12</f>
        <v>7.736353E-2</v>
      </c>
      <c r="L5">
        <f>+[1]P14_P15_T9!M12</f>
        <v>3.79888475</v>
      </c>
      <c r="M5">
        <f>+[1]P14_P15_T9!N12</f>
        <v>33.741216589999979</v>
      </c>
      <c r="N5">
        <f>+[1]P14_P15_T9!O12</f>
        <v>173.62749217999999</v>
      </c>
      <c r="O5">
        <f>+[1]P14_P15_T9!P12</f>
        <v>1.40303029</v>
      </c>
      <c r="P5">
        <f>+[1]P14_P15_T9!Q12</f>
        <v>33.793406050000002</v>
      </c>
      <c r="Q5">
        <f>+[1]P14_P15_T9!R12</f>
        <v>0.16569349999999999</v>
      </c>
      <c r="R5">
        <f>+[1]P14_P15_T9!S12</f>
        <v>32.308350259999997</v>
      </c>
      <c r="S5">
        <f>+[1]P14_P15_T9!T12</f>
        <v>54982.272353230001</v>
      </c>
      <c r="T5">
        <f>+[1]P14_P15_T9!U12</f>
        <v>4234.8890413400004</v>
      </c>
      <c r="U5">
        <f>+[1]P14_P15_T9!V12</f>
        <v>0</v>
      </c>
      <c r="V5">
        <f>+[1]P14_P15_T9!W12</f>
        <v>3.3448399781895177</v>
      </c>
      <c r="W5">
        <f>+[1]P14_P15_T9!X12</f>
        <v>3.3448399781895177</v>
      </c>
      <c r="X5">
        <f>+[1]P14_P15_T9!Y12</f>
        <v>2.8653166718104823</v>
      </c>
      <c r="Y5">
        <f>+[1]P14_P15_T9!Z12</f>
        <v>0.52430737800026828</v>
      </c>
      <c r="Z5">
        <f>+[1]P14_P15_T9!AA12</f>
        <v>3.3718685998995959</v>
      </c>
      <c r="AA5">
        <f>+[1]P14_P15_T9!AB12</f>
        <v>3.3709607903652734</v>
      </c>
      <c r="AB5">
        <f>+[1]P14_P15_T9!AC12</f>
        <v>6.7428293902648697</v>
      </c>
    </row>
    <row r="6" spans="2:28" x14ac:dyDescent="0.25">
      <c r="B6" t="str">
        <f>+[1]P14_P15_T9!C13</f>
        <v>1/2 a 1 Salário Mín.</v>
      </c>
      <c r="C6">
        <f>+[1]P14_P15_T9!D13</f>
        <v>754806</v>
      </c>
      <c r="D6">
        <f>+[1]P14_P15_T9!E13</f>
        <v>2882.2448306400001</v>
      </c>
      <c r="E6">
        <f>+[1]P14_P15_T9!F13</f>
        <v>11.50501989</v>
      </c>
      <c r="F6">
        <f>+[1]P14_P15_T9!G13</f>
        <v>54.06265286</v>
      </c>
      <c r="G6">
        <f>+[1]P14_P15_T9!H13</f>
        <v>26.40657023</v>
      </c>
      <c r="H6">
        <f>+[1]P14_P15_T9!I13</f>
        <v>32.99195872</v>
      </c>
      <c r="I6">
        <f>+[1]P14_P15_T9!J13</f>
        <v>2.01720158</v>
      </c>
      <c r="J6">
        <f>+[1]P14_P15_T9!K13</f>
        <v>4.9147727300000001</v>
      </c>
      <c r="K6">
        <f>+[1]P14_P15_T9!L13</f>
        <v>0.12918192000000001</v>
      </c>
      <c r="L6">
        <f>+[1]P14_P15_T9!M13</f>
        <v>1.1504897199999999</v>
      </c>
      <c r="M6">
        <f>+[1]P14_P15_T9!N13</f>
        <v>492.86575802999999</v>
      </c>
      <c r="N6">
        <f>+[1]P14_P15_T9!O13</f>
        <v>2339.6628184599999</v>
      </c>
      <c r="O6">
        <f>+[1]P14_P15_T9!P13</f>
        <v>0.44262159000000001</v>
      </c>
      <c r="P6">
        <f>+[1]P14_P15_T9!Q13</f>
        <v>11.26422795</v>
      </c>
      <c r="Q6">
        <f>+[1]P14_P15_T9!R13</f>
        <v>2.8475430000000003E-2</v>
      </c>
      <c r="R6">
        <f>+[1]P14_P15_T9!S13</f>
        <v>11.226685630000002</v>
      </c>
      <c r="S6">
        <f>+[1]P14_P15_T9!T13</f>
        <v>15576.75505356</v>
      </c>
      <c r="T6">
        <f>+[1]P14_P15_T9!U13</f>
        <v>1210.90627511</v>
      </c>
      <c r="U6">
        <f>+[1]P14_P15_T9!V13</f>
        <v>1</v>
      </c>
      <c r="V6">
        <f>+[1]P14_P15_T9!W13</f>
        <v>6.1966956144234402</v>
      </c>
      <c r="W6">
        <f>+[1]P14_P15_T9!X13</f>
        <v>6.1966956144234402</v>
      </c>
      <c r="X6">
        <f>+[1]P14_P15_T9!Y13</f>
        <v>5.3083242755765596</v>
      </c>
      <c r="Y6">
        <f>+[1]P14_P15_T9!Z13</f>
        <v>0.58640444034626116</v>
      </c>
      <c r="Z6">
        <f>+[1]P14_P15_T9!AA13</f>
        <v>6.1978679163653956</v>
      </c>
      <c r="AA6">
        <f>+[1]P14_P15_T9!AB13</f>
        <v>6.2450873830312466</v>
      </c>
      <c r="AB6">
        <f>+[1]P14_P15_T9!AC13</f>
        <v>12.442955299396642</v>
      </c>
    </row>
    <row r="7" spans="2:28" x14ac:dyDescent="0.25">
      <c r="B7" t="str">
        <f>+[1]P14_P15_T9!C14</f>
        <v>1 a 2 Salários Mín.</v>
      </c>
      <c r="C7">
        <f>+[1]P14_P15_T9!D14</f>
        <v>1387296</v>
      </c>
      <c r="D7">
        <f>+[1]P14_P15_T9!E14</f>
        <v>8084.0570811899997</v>
      </c>
      <c r="E7">
        <f>+[1]P14_P15_T9!F14</f>
        <v>61.867090320000003</v>
      </c>
      <c r="F7">
        <f>+[1]P14_P15_T9!G14</f>
        <v>293.42896652000002</v>
      </c>
      <c r="G7">
        <f>+[1]P14_P15_T9!H14</f>
        <v>64.360434920000003</v>
      </c>
      <c r="H7">
        <f>+[1]P14_P15_T9!I14</f>
        <v>106.97097681999999</v>
      </c>
      <c r="I7">
        <f>+[1]P14_P15_T9!J14</f>
        <v>9.0739337200000012</v>
      </c>
      <c r="J7">
        <f>+[1]P14_P15_T9!K14</f>
        <v>17.323790890000001</v>
      </c>
      <c r="K7">
        <f>+[1]P14_P15_T9!L14</f>
        <v>1.08945756</v>
      </c>
      <c r="L7">
        <f>+[1]P14_P15_T9!M14</f>
        <v>3.5951519100000002</v>
      </c>
      <c r="M7">
        <f>+[1]P14_P15_T9!N14</f>
        <v>1310.28940283</v>
      </c>
      <c r="N7">
        <f>+[1]P14_P15_T9!O14</f>
        <v>6595.20241222</v>
      </c>
      <c r="O7">
        <f>+[1]P14_P15_T9!P14</f>
        <v>2.2366006600000001</v>
      </c>
      <c r="P7">
        <f>+[1]P14_P15_T9!Q14</f>
        <v>40.518058449999998</v>
      </c>
      <c r="Q7">
        <f>+[1]P14_P15_T9!R14</f>
        <v>4.7379249999999998E-2</v>
      </c>
      <c r="R7">
        <f>+[1]P14_P15_T9!S14</f>
        <v>40.493699810000003</v>
      </c>
      <c r="S7">
        <f>+[1]P14_P15_T9!T14</f>
        <v>31186.338055119999</v>
      </c>
      <c r="T7">
        <f>+[1]P14_P15_T9!U14</f>
        <v>1677.211528</v>
      </c>
      <c r="U7">
        <f>+[1]P14_P15_T9!V14</f>
        <v>2</v>
      </c>
      <c r="V7">
        <f>+[1]P14_P15_T9!W14</f>
        <v>33.322109038360203</v>
      </c>
      <c r="W7">
        <f>+[1]P14_P15_T9!X14</f>
        <v>33.322109038360203</v>
      </c>
      <c r="X7">
        <f>+[1]P14_P15_T9!Y14</f>
        <v>28.544981281639799</v>
      </c>
      <c r="Y7">
        <f>+[1]P14_P15_T9!Z14</f>
        <v>1.6122014768297466</v>
      </c>
      <c r="Z7">
        <f>+[1]P14_P15_T9!AA14</f>
        <v>33.333409411936259</v>
      </c>
      <c r="AA7">
        <f>+[1]P14_P15_T9!AB14</f>
        <v>33.582330919576236</v>
      </c>
      <c r="AB7">
        <f>+[1]P14_P15_T9!AC14</f>
        <v>66.915740331512495</v>
      </c>
    </row>
    <row r="8" spans="2:28" x14ac:dyDescent="0.25">
      <c r="B8" t="str">
        <f>+[1]P14_P15_T9!C15</f>
        <v>2 a 3 Salários Mín.</v>
      </c>
      <c r="C8">
        <f>+[1]P14_P15_T9!D15</f>
        <v>1788915</v>
      </c>
      <c r="D8">
        <f>+[1]P14_P15_T9!E15</f>
        <v>18276.992607960001</v>
      </c>
      <c r="E8">
        <f>+[1]P14_P15_T9!F15</f>
        <v>134.01591639</v>
      </c>
      <c r="F8">
        <f>+[1]P14_P15_T9!G15</f>
        <v>555.12116521999997</v>
      </c>
      <c r="G8">
        <f>+[1]P14_P15_T9!H15</f>
        <v>171.55926213000001</v>
      </c>
      <c r="H8">
        <f>+[1]P14_P15_T9!I15</f>
        <v>206.93515386999999</v>
      </c>
      <c r="I8">
        <f>+[1]P14_P15_T9!J15</f>
        <v>22.86433113</v>
      </c>
      <c r="J8">
        <f>+[1]P14_P15_T9!K15</f>
        <v>40.909323200000003</v>
      </c>
      <c r="K8">
        <f>+[1]P14_P15_T9!L15</f>
        <v>4.65544475</v>
      </c>
      <c r="L8">
        <f>+[1]P14_P15_T9!M15</f>
        <v>8.8306131800000003</v>
      </c>
      <c r="M8">
        <f>+[1]P14_P15_T9!N15</f>
        <v>2911.20862033</v>
      </c>
      <c r="N8">
        <f>+[1]P14_P15_T9!O15</f>
        <v>14957.471811739999</v>
      </c>
      <c r="O8">
        <f>+[1]P14_P15_T9!P15</f>
        <v>4.9741871600000005</v>
      </c>
      <c r="P8">
        <f>+[1]P14_P15_T9!Q15</f>
        <v>83.476253850000006</v>
      </c>
      <c r="Q8">
        <f>+[1]P14_P15_T9!R15</f>
        <v>0.12955285</v>
      </c>
      <c r="R8">
        <f>+[1]P14_P15_T9!S15</f>
        <v>83.615262260000009</v>
      </c>
      <c r="S8">
        <f>+[1]P14_P15_T9!T15</f>
        <v>51196.638818269996</v>
      </c>
      <c r="T8">
        <f>+[1]P14_P15_T9!U15</f>
        <v>2935.5213540100003</v>
      </c>
      <c r="U8">
        <f>+[1]P14_P15_T9!V15</f>
        <v>3</v>
      </c>
      <c r="V8">
        <f>+[1]P14_P15_T9!W15</f>
        <v>72.18204308179179</v>
      </c>
      <c r="W8">
        <f>+[1]P14_P15_T9!X15</f>
        <v>72.18204308179179</v>
      </c>
      <c r="X8">
        <f>+[1]P14_P15_T9!Y15</f>
        <v>61.833873308208211</v>
      </c>
      <c r="Y8">
        <f>+[1]P14_P15_T9!Z15</f>
        <v>2.7805609321851512</v>
      </c>
      <c r="Z8">
        <f>+[1]P14_P15_T9!AA15</f>
        <v>72.206047605844986</v>
      </c>
      <c r="AA8">
        <f>+[1]P14_P15_T9!AB15</f>
        <v>72.745733303774372</v>
      </c>
      <c r="AB8">
        <f>+[1]P14_P15_T9!AC15</f>
        <v>144.95178090961934</v>
      </c>
    </row>
    <row r="9" spans="2:28" x14ac:dyDescent="0.25">
      <c r="B9" t="str">
        <f>+[1]P14_P15_T9!C16</f>
        <v>3 a 5 Salários Mín.</v>
      </c>
      <c r="C9">
        <f>+[1]P14_P15_T9!D16</f>
        <v>7116435</v>
      </c>
      <c r="D9">
        <f>+[1]P14_P15_T9!E16</f>
        <v>116116.15457174001</v>
      </c>
      <c r="E9">
        <f>+[1]P14_P15_T9!F16</f>
        <v>1356.29626059</v>
      </c>
      <c r="F9">
        <f>+[1]P14_P15_T9!G16</f>
        <v>2859.8308058600001</v>
      </c>
      <c r="G9">
        <f>+[1]P14_P15_T9!H16</f>
        <v>1952.4228603500001</v>
      </c>
      <c r="H9">
        <f>+[1]P14_P15_T9!I16</f>
        <v>2804.0157504200001</v>
      </c>
      <c r="I9">
        <f>+[1]P14_P15_T9!J16</f>
        <v>441.18074805999998</v>
      </c>
      <c r="J9">
        <f>+[1]P14_P15_T9!K16</f>
        <v>782.34276771000009</v>
      </c>
      <c r="K9">
        <f>+[1]P14_P15_T9!L16</f>
        <v>63.199381509999995</v>
      </c>
      <c r="L9">
        <f>+[1]P14_P15_T9!M16</f>
        <v>223.86333455000002</v>
      </c>
      <c r="M9">
        <f>+[1]P14_P15_T9!N16</f>
        <v>18109.274387399997</v>
      </c>
      <c r="N9">
        <f>+[1]P14_P15_T9!O16</f>
        <v>91990.381797899987</v>
      </c>
      <c r="O9">
        <f>+[1]P14_P15_T9!P16</f>
        <v>93.979236310000005</v>
      </c>
      <c r="P9">
        <f>+[1]P14_P15_T9!Q16</f>
        <v>797.53619741</v>
      </c>
      <c r="Q9">
        <f>+[1]P14_P15_T9!R16</f>
        <v>30.632230439999997</v>
      </c>
      <c r="R9">
        <f>+[1]P14_P15_T9!S16</f>
        <v>763.55420670000001</v>
      </c>
      <c r="S9">
        <f>+[1]P14_P15_T9!T16</f>
        <v>243477.16949359002</v>
      </c>
      <c r="T9">
        <f>+[1]P14_P15_T9!U16</f>
        <v>16871.139727269998</v>
      </c>
      <c r="U9">
        <f>+[1]P14_P15_T9!V16</f>
        <v>4</v>
      </c>
      <c r="V9">
        <f>+[1]P14_P15_T9!W16</f>
        <v>730.51199999767789</v>
      </c>
      <c r="W9">
        <f>+[1]P14_P15_T9!X16</f>
        <v>730.51199999767789</v>
      </c>
      <c r="X9">
        <f>+[1]P14_P15_T9!Y16</f>
        <v>625.78426059232208</v>
      </c>
      <c r="Y9">
        <f>+[1]P14_P15_T9!Z16</f>
        <v>13.205943187846161</v>
      </c>
      <c r="Z9">
        <f>+[1]P14_P15_T9!AA16</f>
        <v>731.25830584545554</v>
      </c>
      <c r="AA9">
        <f>+[1]P14_P15_T9!AB16</f>
        <v>736.21677716743773</v>
      </c>
      <c r="AB9">
        <f>+[1]P14_P15_T9!AC16</f>
        <v>1467.4750830128933</v>
      </c>
    </row>
    <row r="10" spans="2:28" x14ac:dyDescent="0.25">
      <c r="B10" t="str">
        <f>+[1]P14_P15_T9!C17</f>
        <v>5 a 10 Salários Mín.</v>
      </c>
      <c r="C10">
        <f>+[1]P14_P15_T9!D17</f>
        <v>6313828</v>
      </c>
      <c r="D10">
        <f>+[1]P14_P15_T9!E17</f>
        <v>163031.21819988999</v>
      </c>
      <c r="E10">
        <f>+[1]P14_P15_T9!F17</f>
        <v>6080.9627231699997</v>
      </c>
      <c r="F10">
        <f>+[1]P14_P15_T9!G17</f>
        <v>10747.541758810001</v>
      </c>
      <c r="G10">
        <f>+[1]P14_P15_T9!H17</f>
        <v>8730.9314519700001</v>
      </c>
      <c r="H10">
        <f>+[1]P14_P15_T9!I17</f>
        <v>10839.882822860001</v>
      </c>
      <c r="I10">
        <f>+[1]P14_P15_T9!J17</f>
        <v>5012.7710950399996</v>
      </c>
      <c r="J10">
        <f>+[1]P14_P15_T9!K17</f>
        <v>8772.1792772199988</v>
      </c>
      <c r="K10">
        <f>+[1]P14_P15_T9!L17</f>
        <v>694.52635729999997</v>
      </c>
      <c r="L10">
        <f>+[1]P14_P15_T9!M17</f>
        <v>1537.5047571099999</v>
      </c>
      <c r="M10">
        <f>+[1]P14_P15_T9!N17</f>
        <v>13777.469619080002</v>
      </c>
      <c r="N10">
        <f>+[1]P14_P15_T9!O17</f>
        <v>114061.379235</v>
      </c>
      <c r="O10">
        <f>+[1]P14_P15_T9!P17</f>
        <v>3588.1784159500003</v>
      </c>
      <c r="P10">
        <f>+[1]P14_P15_T9!Q17</f>
        <v>5741.0519226300003</v>
      </c>
      <c r="Q10">
        <f>+[1]P14_P15_T9!R17</f>
        <v>732.13716737000004</v>
      </c>
      <c r="R10">
        <f>+[1]P14_P15_T9!S17</f>
        <v>2929.9586876099997</v>
      </c>
      <c r="S10">
        <f>+[1]P14_P15_T9!T17</f>
        <v>354997.64286980999</v>
      </c>
      <c r="T10">
        <f>+[1]P14_P15_T9!U17</f>
        <v>32615.88191873</v>
      </c>
      <c r="U10">
        <f>+[1]P14_P15_T9!V17</f>
        <v>5</v>
      </c>
      <c r="V10">
        <f>+[1]P14_P15_T9!W17</f>
        <v>3275.2550972026143</v>
      </c>
      <c r="W10">
        <f>+[1]P14_P15_T9!X17</f>
        <v>3275.2550972026143</v>
      </c>
      <c r="X10">
        <f>+[1]P14_P15_T9!Y17</f>
        <v>2805.7076259673854</v>
      </c>
      <c r="Y10">
        <f>+[1]P14_P15_T9!Z17</f>
        <v>568.30474570260708</v>
      </c>
      <c r="Z10">
        <f>+[1]P14_P15_T9!AA17</f>
        <v>3378.2890928051015</v>
      </c>
      <c r="AA10">
        <f>+[1]P14_P15_T9!AB17</f>
        <v>3300.8325011381007</v>
      </c>
      <c r="AB10">
        <f>+[1]P14_P15_T9!AC17</f>
        <v>6679.1215939432022</v>
      </c>
    </row>
    <row r="11" spans="2:28" x14ac:dyDescent="0.25">
      <c r="B11" t="str">
        <f>+[1]P14_P15_T9!C18</f>
        <v>10 a 20 Salários Mín.</v>
      </c>
      <c r="C11">
        <f>+[1]P14_P15_T9!D18</f>
        <v>3069370</v>
      </c>
      <c r="D11">
        <f>+[1]P14_P15_T9!E18</f>
        <v>144909.88410636998</v>
      </c>
      <c r="E11">
        <f>+[1]P14_P15_T9!F18</f>
        <v>6295.57977974</v>
      </c>
      <c r="F11">
        <f>+[1]P14_P15_T9!G18</f>
        <v>19284.781871790001</v>
      </c>
      <c r="G11">
        <f>+[1]P14_P15_T9!H18</f>
        <v>7658.0395392999999</v>
      </c>
      <c r="H11">
        <f>+[1]P14_P15_T9!I18</f>
        <v>5604.1710437900001</v>
      </c>
      <c r="I11">
        <f>+[1]P14_P15_T9!J18</f>
        <v>4631.0203021099996</v>
      </c>
      <c r="J11">
        <f>+[1]P14_P15_T9!K18</f>
        <v>10864.639688089999</v>
      </c>
      <c r="K11">
        <f>+[1]P14_P15_T9!L18</f>
        <v>1505.86430144</v>
      </c>
      <c r="L11">
        <f>+[1]P14_P15_T9!M18</f>
        <v>1821.07197569</v>
      </c>
      <c r="M11">
        <f>+[1]P14_P15_T9!N18</f>
        <v>11166.058303149999</v>
      </c>
      <c r="N11">
        <f>+[1]P14_P15_T9!O18</f>
        <v>101912.14256188</v>
      </c>
      <c r="O11">
        <f>+[1]P14_P15_T9!P18</f>
        <v>11259.961491819999</v>
      </c>
      <c r="P11">
        <f>+[1]P14_P15_T9!Q18</f>
        <v>13049.533524189999</v>
      </c>
      <c r="Q11">
        <f>+[1]P14_P15_T9!R18</f>
        <v>1582.5990895300001</v>
      </c>
      <c r="R11">
        <f>+[1]P14_P15_T9!S18</f>
        <v>3441.55270965</v>
      </c>
      <c r="S11">
        <f>+[1]P14_P15_T9!T18</f>
        <v>388581.47285357001</v>
      </c>
      <c r="T11">
        <f>+[1]P14_P15_T9!U18</f>
        <v>43657.76410344</v>
      </c>
      <c r="U11">
        <f>+[1]P14_P15_T9!V18</f>
        <v>6</v>
      </c>
      <c r="V11">
        <f>+[1]P14_P15_T9!W18</f>
        <v>3390.8495582242535</v>
      </c>
      <c r="W11">
        <f>+[1]P14_P15_T9!X18</f>
        <v>3390.8495582242535</v>
      </c>
      <c r="X11">
        <f>+[1]P14_P15_T9!Y18</f>
        <v>2904.7302215157465</v>
      </c>
      <c r="Y11">
        <f>+[1]P14_P15_T9!Z18</f>
        <v>3668.492717339388</v>
      </c>
      <c r="Z11">
        <f>+[1]P14_P15_T9!AA18</f>
        <v>3765.4941735798466</v>
      </c>
      <c r="AA11">
        <f>+[1]P14_P15_T9!AB18</f>
        <v>3417.3296723714666</v>
      </c>
      <c r="AB11">
        <f>+[1]P14_P15_T9!AC18</f>
        <v>7182.8238459513132</v>
      </c>
    </row>
    <row r="12" spans="2:28" x14ac:dyDescent="0.25">
      <c r="B12" t="str">
        <f>+[1]P14_P15_T9!C19</f>
        <v>20 a 40 Salários Mín.</v>
      </c>
      <c r="C12">
        <f>+[1]P14_P15_T9!D19</f>
        <v>1387523</v>
      </c>
      <c r="D12">
        <f>+[1]P14_P15_T9!E19</f>
        <v>118003.34378194</v>
      </c>
      <c r="E12">
        <f>+[1]P14_P15_T9!F19</f>
        <v>7871.25417105</v>
      </c>
      <c r="F12">
        <f>+[1]P14_P15_T9!G19</f>
        <v>28304.71916982</v>
      </c>
      <c r="G12">
        <f>+[1]P14_P15_T9!H19</f>
        <v>7533.31401783</v>
      </c>
      <c r="H12">
        <f>+[1]P14_P15_T9!I19</f>
        <v>2489.2111433200002</v>
      </c>
      <c r="I12">
        <f>+[1]P14_P15_T9!J19</f>
        <v>2330.1912798600001</v>
      </c>
      <c r="J12">
        <f>+[1]P14_P15_T9!K19</f>
        <v>7639.66823647</v>
      </c>
      <c r="K12">
        <f>+[1]P14_P15_T9!L19</f>
        <v>1913.64592494</v>
      </c>
      <c r="L12">
        <f>+[1]P14_P15_T9!M19</f>
        <v>1912.8994276800001</v>
      </c>
      <c r="M12">
        <f>+[1]P14_P15_T9!N19</f>
        <v>3944.3111904999969</v>
      </c>
      <c r="N12">
        <f>+[1]P14_P15_T9!O19</f>
        <v>90642.264911220002</v>
      </c>
      <c r="O12">
        <f>+[1]P14_P15_T9!P19</f>
        <v>17093.187427819998</v>
      </c>
      <c r="P12">
        <f>+[1]P14_P15_T9!Q19</f>
        <v>17320.19603232</v>
      </c>
      <c r="Q12">
        <f>+[1]P14_P15_T9!R19</f>
        <v>1711.6113417000001</v>
      </c>
      <c r="R12">
        <f>+[1]P14_P15_T9!S19</f>
        <v>2010.1074393599999</v>
      </c>
      <c r="S12">
        <f>+[1]P14_P15_T9!T19</f>
        <v>393465.49086759007</v>
      </c>
      <c r="T12">
        <f>+[1]P14_P15_T9!U19</f>
        <v>28143.358010169999</v>
      </c>
      <c r="U12">
        <f>+[1]P14_P15_T9!V19</f>
        <v>7</v>
      </c>
      <c r="V12">
        <f>+[1]P14_P15_T9!W19</f>
        <v>4239.5203718120429</v>
      </c>
      <c r="W12">
        <f>+[1]P14_P15_T9!X19</f>
        <v>6434.8708047186665</v>
      </c>
      <c r="X12">
        <f>+[1]P14_P15_T9!Y19</f>
        <v>1436.3833663313335</v>
      </c>
      <c r="Y12">
        <f>+[1]P14_P15_T9!Z19</f>
        <v>12319.210152062342</v>
      </c>
      <c r="Z12">
        <f>+[1]P14_P15_T9!AA19</f>
        <v>7648.349448997863</v>
      </c>
      <c r="AA12">
        <f>+[1]P14_P15_T9!AB19</f>
        <v>1689.8627839192159</v>
      </c>
      <c r="AB12">
        <f>+[1]P14_P15_T9!AC19</f>
        <v>9338.2122329170779</v>
      </c>
    </row>
    <row r="13" spans="2:28" x14ac:dyDescent="0.25">
      <c r="B13" t="str">
        <f>+[1]P14_P15_T9!C20</f>
        <v>40 a 80 Salários Mín.</v>
      </c>
      <c r="C13">
        <f>+[1]P14_P15_T9!D20</f>
        <v>525827</v>
      </c>
      <c r="D13">
        <f>+[1]P14_P15_T9!E20</f>
        <v>75093.393825730003</v>
      </c>
      <c r="E13">
        <f>+[1]P14_P15_T9!F20</f>
        <v>8234.6507225900004</v>
      </c>
      <c r="F13">
        <f>+[1]P14_P15_T9!G20</f>
        <v>32195.03498276</v>
      </c>
      <c r="G13">
        <f>+[1]P14_P15_T9!H20</f>
        <v>5363.1258794699997</v>
      </c>
      <c r="H13">
        <f>+[1]P14_P15_T9!I20</f>
        <v>881.53582532000007</v>
      </c>
      <c r="I13">
        <f>+[1]P14_P15_T9!J20</f>
        <v>816.79521105999993</v>
      </c>
      <c r="J13">
        <f>+[1]P14_P15_T9!K20</f>
        <v>3744.76848389</v>
      </c>
      <c r="K13">
        <f>+[1]P14_P15_T9!L20</f>
        <v>1542.05737531</v>
      </c>
      <c r="L13">
        <f>+[1]P14_P15_T9!M20</f>
        <v>1204.84916228</v>
      </c>
      <c r="M13">
        <f>+[1]P14_P15_T9!N20</f>
        <v>974.47802998999941</v>
      </c>
      <c r="N13">
        <f>+[1]P14_P15_T9!O20</f>
        <v>60888.555638470003</v>
      </c>
      <c r="O13">
        <f>+[1]P14_P15_T9!P20</f>
        <v>13802.953968380001</v>
      </c>
      <c r="P13">
        <f>+[1]P14_P15_T9!Q20</f>
        <v>13463.41579508</v>
      </c>
      <c r="Q13">
        <f>+[1]P14_P15_T9!R20</f>
        <v>1178.5892232599999</v>
      </c>
      <c r="R13">
        <f>+[1]P14_P15_T9!S20</f>
        <v>910.84382902999994</v>
      </c>
      <c r="S13">
        <f>+[1]P14_P15_T9!T20</f>
        <v>328644.02914333</v>
      </c>
      <c r="T13">
        <f>+[1]P14_P15_T9!U20</f>
        <v>18473.25803619</v>
      </c>
      <c r="U13">
        <f>+[1]P14_P15_T9!V20</f>
        <v>8</v>
      </c>
      <c r="V13">
        <f>+[1]P14_P15_T9!W20</f>
        <v>2697.8894216844296</v>
      </c>
      <c r="W13">
        <f>+[1]P14_P15_T9!X20</f>
        <v>4893.2398545910528</v>
      </c>
      <c r="X13">
        <f>+[1]P14_P15_T9!Y20</f>
        <v>3341.4108679989477</v>
      </c>
      <c r="Y13">
        <f>+[1]P14_P15_T9!Z20</f>
        <v>26249.990906476847</v>
      </c>
      <c r="Z13">
        <f>+[1]P14_P15_T9!AA20</f>
        <v>6002.4986268009416</v>
      </c>
      <c r="AA13">
        <f>+[1]P14_P15_T9!AB20</f>
        <v>3931.0716094105269</v>
      </c>
      <c r="AB13">
        <f>+[1]P14_P15_T9!AC20</f>
        <v>9933.570236211468</v>
      </c>
    </row>
    <row r="14" spans="2:28" x14ac:dyDescent="0.25">
      <c r="B14" t="str">
        <f>+[1]P14_P15_T9!C21</f>
        <v>80 a 160 Salários Mín.</v>
      </c>
      <c r="C14">
        <f>+[1]P14_P15_T9!D21</f>
        <v>138203</v>
      </c>
      <c r="D14">
        <f>+[1]P14_P15_T9!E21</f>
        <v>26609.172153070002</v>
      </c>
      <c r="E14">
        <f>+[1]P14_P15_T9!F21</f>
        <v>5776.8433222900003</v>
      </c>
      <c r="F14">
        <f>+[1]P14_P15_T9!G21</f>
        <v>25928.923808659998</v>
      </c>
      <c r="G14">
        <f>+[1]P14_P15_T9!H21</f>
        <v>1513.9189165100001</v>
      </c>
      <c r="H14">
        <f>+[1]P14_P15_T9!I21</f>
        <v>201.20141580000001</v>
      </c>
      <c r="I14">
        <f>+[1]P14_P15_T9!J21</f>
        <v>177.56920558000002</v>
      </c>
      <c r="J14">
        <f>+[1]P14_P15_T9!K21</f>
        <v>1072.70409767</v>
      </c>
      <c r="K14">
        <f>+[1]P14_P15_T9!L21</f>
        <v>673.18307791999996</v>
      </c>
      <c r="L14">
        <f>+[1]P14_P15_T9!M21</f>
        <v>367.46836558000001</v>
      </c>
      <c r="M14">
        <f>+[1]P14_P15_T9!N21</f>
        <v>293.27680022999994</v>
      </c>
      <c r="N14">
        <f>+[1]P14_P15_T9!O21</f>
        <v>22429.592523660001</v>
      </c>
      <c r="O14">
        <f>+[1]P14_P15_T9!P21</f>
        <v>5426.4531899200001</v>
      </c>
      <c r="P14">
        <f>+[1]P14_P15_T9!Q21</f>
        <v>5091.6595888799993</v>
      </c>
      <c r="Q14">
        <f>+[1]P14_P15_T9!R21</f>
        <v>549.07476694000002</v>
      </c>
      <c r="R14">
        <f>+[1]P14_P15_T9!S21</f>
        <v>273.96030956999999</v>
      </c>
      <c r="S14">
        <f>+[1]P14_P15_T9!T21</f>
        <v>207546.48422340999</v>
      </c>
      <c r="T14">
        <f>+[1]P14_P15_T9!U21</f>
        <v>9873.4046266500009</v>
      </c>
      <c r="U14">
        <f>+[1]P14_P15_T9!V21</f>
        <v>9</v>
      </c>
      <c r="V14">
        <f>+[1]P14_P15_T9!W21</f>
        <v>955.99093893862346</v>
      </c>
      <c r="W14">
        <f>+[1]P14_P15_T9!X21</f>
        <v>3151.3413718452466</v>
      </c>
      <c r="X14">
        <f>+[1]P14_P15_T9!Y21</f>
        <v>2625.5019504447537</v>
      </c>
      <c r="Y14">
        <f>+[1]P14_P15_T9!Z21</f>
        <v>39264.366113036624</v>
      </c>
      <c r="Z14">
        <f>+[1]P14_P15_T9!AA21</f>
        <v>3913.7540827198568</v>
      </c>
      <c r="AA14">
        <f>+[1]P14_P15_T9!AB21</f>
        <v>3088.8258240526516</v>
      </c>
      <c r="AB14">
        <f>+[1]P14_P15_T9!AC21</f>
        <v>7002.5799067725084</v>
      </c>
    </row>
    <row r="15" spans="2:28" x14ac:dyDescent="0.25">
      <c r="B15" t="str">
        <f>+[1]P14_P15_T9!C22</f>
        <v>&gt; 160 Salários Mín.</v>
      </c>
      <c r="C15">
        <f>+[1]P14_P15_T9!D22</f>
        <v>66596</v>
      </c>
      <c r="D15">
        <f>+[1]P14_P15_T9!E22</f>
        <v>23642.850935550003</v>
      </c>
      <c r="E15">
        <f>+[1]P14_P15_T9!F22</f>
        <v>41617.54116542</v>
      </c>
      <c r="F15">
        <f>+[1]P14_P15_T9!G22</f>
        <v>90734.34007635001</v>
      </c>
      <c r="G15">
        <f>+[1]P14_P15_T9!H22</f>
        <v>670.81974065999998</v>
      </c>
      <c r="H15">
        <f>+[1]P14_P15_T9!I22</f>
        <v>86.93115576000001</v>
      </c>
      <c r="I15">
        <f>+[1]P14_P15_T9!J22</f>
        <v>71.583864879999993</v>
      </c>
      <c r="J15">
        <f>+[1]P14_P15_T9!K22</f>
        <v>597.71484114999998</v>
      </c>
      <c r="K15">
        <f>+[1]P14_P15_T9!L22</f>
        <v>2350.6107978699997</v>
      </c>
      <c r="L15">
        <f>+[1]P14_P15_T9!M22</f>
        <v>237.85550975000001</v>
      </c>
      <c r="M15">
        <f>+[1]P14_P15_T9!N22</f>
        <v>154.0499541800009</v>
      </c>
      <c r="N15">
        <f>+[1]P14_P15_T9!O22</f>
        <v>19584.45291294</v>
      </c>
      <c r="O15">
        <f>+[1]P14_P15_T9!P22</f>
        <v>5037.8372810000001</v>
      </c>
      <c r="P15">
        <f>+[1]P14_P15_T9!Q22</f>
        <v>4358.0902895600002</v>
      </c>
      <c r="Q15">
        <f>+[1]P14_P15_T9!R22</f>
        <v>793.41036297999995</v>
      </c>
      <c r="R15">
        <f>+[1]P14_P15_T9!S22</f>
        <v>159.51064660999998</v>
      </c>
      <c r="S15">
        <f>+[1]P14_P15_T9!T22</f>
        <v>591844.61524613004</v>
      </c>
      <c r="T15">
        <f>+[1]P14_P15_T9!U22</f>
        <v>28733.234788949998</v>
      </c>
      <c r="U15">
        <f>+[1]P14_P15_T9!V22</f>
        <v>10</v>
      </c>
      <c r="V15">
        <f>+[1]P14_P15_T9!W22</f>
        <v>849.41955860339078</v>
      </c>
      <c r="W15">
        <f>+[1]P14_P15_T9!X22</f>
        <v>3044.7699915100138</v>
      </c>
      <c r="X15">
        <f>+[1]P14_P15_T9!Y22</f>
        <v>38572.771173909983</v>
      </c>
      <c r="Y15">
        <f>+[1]P14_P15_T9!Z22</f>
        <v>75647.745825575112</v>
      </c>
      <c r="Z15">
        <f>+[1]P14_P15_T9!AA22</f>
        <v>3827.9961476598369</v>
      </c>
      <c r="AA15">
        <f>+[1]P14_P15_T9!AB22</f>
        <v>45379.730792835275</v>
      </c>
      <c r="AB15">
        <f>+[1]P14_P15_T9!AC22</f>
        <v>49207.726940495115</v>
      </c>
    </row>
    <row r="16" spans="2:28" x14ac:dyDescent="0.25">
      <c r="B16" t="str">
        <f>+[1]P14_P15_T9!C23</f>
        <v xml:space="preserve">    Total</v>
      </c>
      <c r="C16">
        <f>+[1]P14_P15_T9!D23</f>
        <v>25224768</v>
      </c>
      <c r="D16">
        <f>+[1]P14_P15_T9!E23</f>
        <v>696851.95743969001</v>
      </c>
      <c r="E16">
        <f>+[1]P14_P15_T9!F23</f>
        <v>77446.72632809999</v>
      </c>
      <c r="F16">
        <f>+[1]P14_P15_T9!G23</f>
        <v>210989.58637173002</v>
      </c>
      <c r="G16">
        <f>+[1]P14_P15_T9!H23</f>
        <v>33692.487775900001</v>
      </c>
      <c r="H16">
        <f>+[1]P14_P15_T9!I23</f>
        <v>23335.69187595</v>
      </c>
      <c r="I16">
        <f>+[1]P14_P15_T9!J23</f>
        <v>13518.91729313</v>
      </c>
      <c r="J16">
        <f>+[1]P14_P15_T9!K23</f>
        <v>33547.923875280001</v>
      </c>
      <c r="K16">
        <f>+[1]P14_P15_T9!L23</f>
        <v>8749.0386640499983</v>
      </c>
      <c r="L16">
        <f>+[1]P14_P15_T9!M23</f>
        <v>7322.8876722000005</v>
      </c>
      <c r="M16">
        <f>+[1]P14_P15_T9!N23</f>
        <v>53167.023282310001</v>
      </c>
      <c r="N16">
        <f>+[1]P14_P15_T9!O23</f>
        <v>525574.73411566997</v>
      </c>
      <c r="O16">
        <f>+[1]P14_P15_T9!P23</f>
        <v>56311.607450900003</v>
      </c>
      <c r="P16">
        <f>+[1]P14_P15_T9!Q23</f>
        <v>59990.535296370006</v>
      </c>
      <c r="Q16">
        <f>+[1]P14_P15_T9!R23</f>
        <v>6578.4252832500006</v>
      </c>
      <c r="R16">
        <f>+[1]P14_P15_T9!S23</f>
        <v>10657.13182649</v>
      </c>
      <c r="S16">
        <f>+[1]P14_P15_T9!T23</f>
        <v>2661498.9089776101</v>
      </c>
      <c r="T16">
        <f>+[1]P14_P15_T9!U23</f>
        <v>188426.56940986001</v>
      </c>
      <c r="U16">
        <f>+[1]P14_P15_T9!V23</f>
        <v>0</v>
      </c>
      <c r="V16">
        <f>+[1]P14_P15_T9!W23</f>
        <v>25035.884365802289</v>
      </c>
      <c r="W16">
        <f>+[1]P14_P15_T9!X23</f>
        <v>25035.884365802289</v>
      </c>
      <c r="X16">
        <f>+[1]P14_P15_T9!Y23</f>
        <v>52410.841962297702</v>
      </c>
      <c r="Y16">
        <f>+[1]P14_P15_T9!Z23</f>
        <v>0</v>
      </c>
      <c r="Z16">
        <f>+[1]P14_P15_T9!AA23</f>
        <v>29382.749071942948</v>
      </c>
      <c r="AA16">
        <f>+[1]P14_P15_T9!AB23</f>
        <v>61659.814073291418</v>
      </c>
      <c r="AB16">
        <f>+[1]P14_P15_T9!AC23</f>
        <v>91042.563145234366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380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240.57925180999996</v>
      </c>
      <c r="D26" s="1">
        <f t="shared" ref="D26:D37" si="2">+O5</f>
        <v>1.40303029</v>
      </c>
      <c r="E26">
        <f t="shared" ref="E26:E37" si="3">+C5</f>
        <v>2675969</v>
      </c>
      <c r="F26" s="2">
        <f>+D26/C26</f>
        <v>5.8318840026489824E-3</v>
      </c>
      <c r="G26" s="1">
        <f t="shared" ref="G26:G37" si="4">+C26*$H$25</f>
        <v>91420.115687799989</v>
      </c>
      <c r="I26">
        <f>+C26*1000000/$H$25</f>
        <v>633103.29423684208</v>
      </c>
      <c r="J26">
        <f>+I26/E26</f>
        <v>0.23658842618761355</v>
      </c>
      <c r="K26">
        <f>+J26/12</f>
        <v>1.9715702182301131E-2</v>
      </c>
      <c r="N26">
        <f>+C26*1000000/E26</f>
        <v>89.903601951293155</v>
      </c>
      <c r="O26" s="3">
        <f>+F26</f>
        <v>5.8318840026489824E-3</v>
      </c>
    </row>
    <row r="27" spans="2:15" x14ac:dyDescent="0.25">
      <c r="B27" t="str">
        <f t="shared" si="0"/>
        <v>1/2 a 1 Salário Mín.</v>
      </c>
      <c r="C27" s="1">
        <f t="shared" si="1"/>
        <v>2947.68332147</v>
      </c>
      <c r="D27" s="1">
        <f t="shared" si="2"/>
        <v>0.44262159000000001</v>
      </c>
      <c r="E27">
        <f t="shared" si="3"/>
        <v>754806</v>
      </c>
      <c r="F27" s="2">
        <f t="shared" ref="F27:F37" si="5">+D27/C27</f>
        <v>1.5015913913685478E-4</v>
      </c>
      <c r="G27" s="1">
        <f t="shared" si="4"/>
        <v>1120119.6621586001</v>
      </c>
      <c r="I27">
        <f t="shared" ref="I27:I37" si="6">+C27*1000000/$H$25</f>
        <v>7757061.3722894732</v>
      </c>
      <c r="J27">
        <f t="shared" ref="J27:J37" si="7">+I27/E27</f>
        <v>10.276894158617543</v>
      </c>
      <c r="K27">
        <f t="shared" ref="K27:K37" si="8">+J27/12</f>
        <v>0.85640784655146185</v>
      </c>
      <c r="N27">
        <f t="shared" ref="N27:N37" si="9">+C27*1000000/E27</f>
        <v>3905.2197802746664</v>
      </c>
      <c r="O27" s="3">
        <f t="shared" ref="O27:O37" si="10">+F27</f>
        <v>1.5015913913685478E-4</v>
      </c>
    </row>
    <row r="28" spans="2:15" x14ac:dyDescent="0.25">
      <c r="B28" t="str">
        <f t="shared" si="0"/>
        <v>1 a 2 Salários Mín.</v>
      </c>
      <c r="C28" s="1">
        <f t="shared" si="1"/>
        <v>8438.2636804699996</v>
      </c>
      <c r="D28" s="1">
        <f t="shared" si="2"/>
        <v>2.2366006600000001</v>
      </c>
      <c r="E28">
        <f t="shared" si="3"/>
        <v>1387296</v>
      </c>
      <c r="F28" s="2">
        <f t="shared" si="5"/>
        <v>2.6505460657463414E-4</v>
      </c>
      <c r="G28" s="1">
        <f t="shared" si="4"/>
        <v>3206540.1985785998</v>
      </c>
      <c r="I28">
        <f t="shared" si="6"/>
        <v>22205957.05386842</v>
      </c>
      <c r="J28">
        <f t="shared" si="7"/>
        <v>16.006646781846428</v>
      </c>
      <c r="K28">
        <f t="shared" si="8"/>
        <v>1.3338872318205357</v>
      </c>
      <c r="N28">
        <f t="shared" si="9"/>
        <v>6082.5257771016422</v>
      </c>
      <c r="O28" s="3">
        <f t="shared" si="10"/>
        <v>2.6505460657463414E-4</v>
      </c>
    </row>
    <row r="29" spans="2:15" x14ac:dyDescent="0.25">
      <c r="B29" t="str">
        <f t="shared" si="0"/>
        <v>2 a 3 Salários Mín.</v>
      </c>
      <c r="C29" s="1">
        <f t="shared" si="1"/>
        <v>18961.474244820001</v>
      </c>
      <c r="D29" s="1">
        <f t="shared" si="2"/>
        <v>4.9741871600000005</v>
      </c>
      <c r="E29">
        <f t="shared" si="3"/>
        <v>1788915</v>
      </c>
      <c r="F29" s="2">
        <f t="shared" si="5"/>
        <v>2.6233124575526486E-4</v>
      </c>
      <c r="G29" s="1">
        <f t="shared" si="4"/>
        <v>7205360.2130316002</v>
      </c>
      <c r="I29">
        <f t="shared" si="6"/>
        <v>49898616.433736838</v>
      </c>
      <c r="J29">
        <f t="shared" si="7"/>
        <v>27.893229378554508</v>
      </c>
      <c r="K29">
        <f t="shared" si="8"/>
        <v>2.3244357815462089</v>
      </c>
      <c r="N29">
        <f t="shared" si="9"/>
        <v>10599.427163850714</v>
      </c>
      <c r="O29" s="3">
        <f t="shared" si="10"/>
        <v>2.6233124575526486E-4</v>
      </c>
    </row>
    <row r="30" spans="2:15" x14ac:dyDescent="0.25">
      <c r="B30" t="str">
        <f t="shared" si="0"/>
        <v>3 a 5 Salários Mín.</v>
      </c>
      <c r="C30" s="1">
        <f t="shared" si="1"/>
        <v>120269.08225668001</v>
      </c>
      <c r="D30" s="1">
        <f t="shared" si="2"/>
        <v>93.979236310000005</v>
      </c>
      <c r="E30">
        <f t="shared" si="3"/>
        <v>7116435</v>
      </c>
      <c r="F30" s="2">
        <f t="shared" si="5"/>
        <v>7.8140811043546647E-4</v>
      </c>
      <c r="G30" s="1">
        <f t="shared" si="4"/>
        <v>45702251.257538401</v>
      </c>
      <c r="I30">
        <f t="shared" si="6"/>
        <v>316497584.88600004</v>
      </c>
      <c r="J30">
        <f t="shared" si="7"/>
        <v>44.474176309626948</v>
      </c>
      <c r="K30">
        <f t="shared" si="8"/>
        <v>3.706181359135579</v>
      </c>
      <c r="N30">
        <f t="shared" si="9"/>
        <v>16900.186997658238</v>
      </c>
      <c r="O30" s="3">
        <f t="shared" si="10"/>
        <v>7.8140811043546647E-4</v>
      </c>
    </row>
    <row r="31" spans="2:15" x14ac:dyDescent="0.25">
      <c r="B31" t="str">
        <f t="shared" si="0"/>
        <v>5 a 10 Salários Mín.</v>
      </c>
      <c r="C31" s="1">
        <f t="shared" si="1"/>
        <v>179165.19632456999</v>
      </c>
      <c r="D31" s="1">
        <f t="shared" si="2"/>
        <v>3588.1784159500003</v>
      </c>
      <c r="E31">
        <f t="shared" si="3"/>
        <v>6313828</v>
      </c>
      <c r="F31" s="2">
        <f t="shared" si="5"/>
        <v>2.0027206676065425E-2</v>
      </c>
      <c r="G31" s="1">
        <f t="shared" si="4"/>
        <v>68082774.603336602</v>
      </c>
      <c r="I31">
        <f t="shared" si="6"/>
        <v>471487358.74886835</v>
      </c>
      <c r="J31">
        <f t="shared" si="7"/>
        <v>74.675356811884697</v>
      </c>
      <c r="K31">
        <f t="shared" si="8"/>
        <v>6.2229464009903914</v>
      </c>
      <c r="N31">
        <f t="shared" si="9"/>
        <v>28376.635588516187</v>
      </c>
      <c r="O31" s="3">
        <f t="shared" si="10"/>
        <v>2.0027206676065425E-2</v>
      </c>
    </row>
    <row r="32" spans="2:15" x14ac:dyDescent="0.25">
      <c r="B32" t="str">
        <f t="shared" si="0"/>
        <v>10 a 20 Salários Mín.</v>
      </c>
      <c r="C32" s="1">
        <f t="shared" si="1"/>
        <v>168984.38145645999</v>
      </c>
      <c r="D32" s="1">
        <f t="shared" si="2"/>
        <v>11259.961491819999</v>
      </c>
      <c r="E32">
        <f t="shared" si="3"/>
        <v>3069370</v>
      </c>
      <c r="F32" s="2">
        <f t="shared" si="5"/>
        <v>6.6633149139414441E-2</v>
      </c>
      <c r="G32" s="1">
        <f t="shared" si="4"/>
        <v>64214064.953454792</v>
      </c>
      <c r="I32">
        <f t="shared" si="6"/>
        <v>444695740.67489469</v>
      </c>
      <c r="J32">
        <f t="shared" si="7"/>
        <v>144.88176423008457</v>
      </c>
      <c r="K32">
        <f t="shared" si="8"/>
        <v>12.073480352507048</v>
      </c>
      <c r="N32">
        <f t="shared" si="9"/>
        <v>55055.07040743214</v>
      </c>
      <c r="O32" s="3">
        <f t="shared" si="10"/>
        <v>6.6633149139414441E-2</v>
      </c>
    </row>
    <row r="33" spans="2:15" x14ac:dyDescent="0.25">
      <c r="B33" t="str">
        <f t="shared" si="0"/>
        <v>20 a 40 Salários Mín.</v>
      </c>
      <c r="C33" s="1">
        <f t="shared" si="1"/>
        <v>152265.67119786999</v>
      </c>
      <c r="D33" s="1">
        <f t="shared" si="2"/>
        <v>17093.187427819998</v>
      </c>
      <c r="E33">
        <f t="shared" si="3"/>
        <v>1387523</v>
      </c>
      <c r="F33" s="2">
        <f t="shared" si="5"/>
        <v>0.11225897008398772</v>
      </c>
      <c r="G33" s="1">
        <f t="shared" si="4"/>
        <v>57860955.055190593</v>
      </c>
      <c r="I33">
        <f t="shared" si="6"/>
        <v>400699134.73123682</v>
      </c>
      <c r="J33">
        <f t="shared" si="7"/>
        <v>288.78738206951294</v>
      </c>
      <c r="K33">
        <f t="shared" si="8"/>
        <v>24.065615172459413</v>
      </c>
      <c r="N33">
        <f t="shared" si="9"/>
        <v>109739.20518641493</v>
      </c>
      <c r="O33" s="3">
        <f t="shared" si="10"/>
        <v>0.11225897008398772</v>
      </c>
    </row>
    <row r="34" spans="2:15" x14ac:dyDescent="0.25">
      <c r="B34" t="str">
        <f t="shared" si="0"/>
        <v>40 a 80 Salários Mín.</v>
      </c>
      <c r="C34" s="1">
        <f t="shared" si="1"/>
        <v>113981.02215577</v>
      </c>
      <c r="D34" s="1">
        <f t="shared" si="2"/>
        <v>13802.953968380001</v>
      </c>
      <c r="E34">
        <f t="shared" si="3"/>
        <v>525827</v>
      </c>
      <c r="F34" s="2">
        <f t="shared" si="5"/>
        <v>0.12109870316407986</v>
      </c>
      <c r="G34" s="1">
        <f t="shared" si="4"/>
        <v>43312788.419192597</v>
      </c>
      <c r="I34">
        <f t="shared" si="6"/>
        <v>299950058.30465788</v>
      </c>
      <c r="J34">
        <f t="shared" si="7"/>
        <v>570.43487364600503</v>
      </c>
      <c r="K34">
        <f t="shared" si="8"/>
        <v>47.536239470500419</v>
      </c>
      <c r="N34">
        <f t="shared" si="9"/>
        <v>216765.25198548191</v>
      </c>
      <c r="O34" s="3">
        <f t="shared" si="10"/>
        <v>0.12109870316407986</v>
      </c>
    </row>
    <row r="35" spans="2:15" x14ac:dyDescent="0.25">
      <c r="B35" t="str">
        <f t="shared" si="0"/>
        <v>80 a 160 Salários Mín.</v>
      </c>
      <c r="C35" s="1">
        <f t="shared" si="1"/>
        <v>57641.756206099999</v>
      </c>
      <c r="D35" s="1">
        <f t="shared" si="2"/>
        <v>5426.4531899200001</v>
      </c>
      <c r="E35">
        <f t="shared" si="3"/>
        <v>138203</v>
      </c>
      <c r="F35" s="2">
        <f t="shared" si="5"/>
        <v>9.4141010737381736E-2</v>
      </c>
      <c r="G35" s="1">
        <f t="shared" si="4"/>
        <v>21903867.358318001</v>
      </c>
      <c r="I35">
        <f t="shared" si="6"/>
        <v>151688832.12131578</v>
      </c>
      <c r="J35">
        <f t="shared" si="7"/>
        <v>1097.5798797516391</v>
      </c>
      <c r="K35">
        <f t="shared" si="8"/>
        <v>91.464989979303255</v>
      </c>
      <c r="N35">
        <f t="shared" si="9"/>
        <v>417080.35430562287</v>
      </c>
      <c r="O35" s="3">
        <f t="shared" si="10"/>
        <v>9.4141010737381736E-2</v>
      </c>
    </row>
    <row r="36" spans="2:15" x14ac:dyDescent="0.25">
      <c r="B36" t="str">
        <f t="shared" si="0"/>
        <v>&gt; 160 Salários Mín.</v>
      </c>
      <c r="C36" s="1">
        <f t="shared" si="1"/>
        <v>153644.12137944999</v>
      </c>
      <c r="D36" s="1">
        <f t="shared" si="2"/>
        <v>5037.8372810000001</v>
      </c>
      <c r="E36">
        <f t="shared" si="3"/>
        <v>66596</v>
      </c>
      <c r="F36" s="2">
        <f t="shared" si="5"/>
        <v>3.2789001204661869E-2</v>
      </c>
      <c r="G36" s="1">
        <f t="shared" si="4"/>
        <v>58384766.124190994</v>
      </c>
      <c r="I36">
        <f t="shared" si="6"/>
        <v>404326635.20907891</v>
      </c>
      <c r="J36">
        <f t="shared" si="7"/>
        <v>6071.3351433881753</v>
      </c>
      <c r="K36">
        <f t="shared" si="8"/>
        <v>505.94459528234796</v>
      </c>
      <c r="N36">
        <f t="shared" si="9"/>
        <v>2307107.3544875067</v>
      </c>
      <c r="O36" s="3">
        <f t="shared" si="10"/>
        <v>3.2789001204661869E-2</v>
      </c>
    </row>
    <row r="37" spans="2:15" x14ac:dyDescent="0.25">
      <c r="B37" t="str">
        <f t="shared" si="0"/>
        <v xml:space="preserve">    Total</v>
      </c>
      <c r="C37" s="1">
        <f t="shared" si="1"/>
        <v>976539.23147547001</v>
      </c>
      <c r="D37" s="1">
        <f t="shared" si="2"/>
        <v>56311.607450900003</v>
      </c>
      <c r="E37">
        <f t="shared" si="3"/>
        <v>25224768</v>
      </c>
      <c r="F37" s="2">
        <f t="shared" si="5"/>
        <v>5.7664459999029249E-2</v>
      </c>
      <c r="G37" s="1">
        <f t="shared" si="4"/>
        <v>371084907.96067858</v>
      </c>
      <c r="I37">
        <f t="shared" si="6"/>
        <v>2569840082.830184</v>
      </c>
      <c r="J37">
        <f t="shared" si="7"/>
        <v>101.87764988879914</v>
      </c>
      <c r="K37">
        <f t="shared" si="8"/>
        <v>8.489804157399929</v>
      </c>
      <c r="N37">
        <f t="shared" si="9"/>
        <v>38713.506957743673</v>
      </c>
      <c r="O37" s="3">
        <f t="shared" si="10"/>
        <v>5.7664459999029249E-2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7"/>
  <sheetViews>
    <sheetView topLeftCell="A4" workbookViewId="0">
      <selection activeCell="N25" sqref="N25:O37"/>
    </sheetView>
  </sheetViews>
  <sheetFormatPr baseColWidth="10" defaultColWidth="8.85546875" defaultRowHeight="15" x14ac:dyDescent="0.25"/>
  <sheetData>
    <row r="2" spans="2:20" x14ac:dyDescent="0.25">
      <c r="B2" t="str">
        <f>+[2]P14_P15_T9!D9</f>
        <v>Tabela 9 - Resumo das Declarações Por Faixa de Rendimentos Totais</v>
      </c>
      <c r="C2">
        <f>+[2]P14_P15_T9!E9</f>
        <v>0</v>
      </c>
      <c r="D2">
        <f>+[2]P14_P15_T9!F9</f>
        <v>0</v>
      </c>
      <c r="E2">
        <f>+[2]P14_P15_T9!G9</f>
        <v>0</v>
      </c>
      <c r="F2">
        <f>+[2]P14_P15_T9!H9</f>
        <v>0</v>
      </c>
      <c r="G2">
        <f>+[2]P14_P15_T9!I9</f>
        <v>0</v>
      </c>
      <c r="H2">
        <f>+[2]P14_P15_T9!J9</f>
        <v>0</v>
      </c>
      <c r="I2">
        <f>+[2]P14_P15_T9!K9</f>
        <v>0</v>
      </c>
      <c r="J2">
        <f>+[2]P14_P15_T9!L9</f>
        <v>0</v>
      </c>
      <c r="K2">
        <f>+[2]P14_P15_T9!M9</f>
        <v>0</v>
      </c>
      <c r="L2">
        <f>+[2]P14_P15_T9!N9</f>
        <v>0</v>
      </c>
      <c r="M2">
        <f>+[2]P14_P15_T9!O9</f>
        <v>0</v>
      </c>
      <c r="N2">
        <f>+[2]P14_P15_T9!P9</f>
        <v>0</v>
      </c>
      <c r="O2">
        <f>+[2]P14_P15_T9!Q9</f>
        <v>0</v>
      </c>
      <c r="P2">
        <f>+[2]P14_P15_T9!R9</f>
        <v>0</v>
      </c>
      <c r="Q2">
        <f>+[2]P14_P15_T9!S9</f>
        <v>0</v>
      </c>
      <c r="R2">
        <f>+[2]P14_P15_T9!T9</f>
        <v>0</v>
      </c>
      <c r="S2">
        <f>+[2]P14_P15_T9!U9</f>
        <v>0</v>
      </c>
      <c r="T2" t="str">
        <f>+[2]P14_P15_T9!V9</f>
        <v>Valores R$ milhões</v>
      </c>
    </row>
    <row r="3" spans="2:20" x14ac:dyDescent="0.25">
      <c r="B3" t="str">
        <f>+[2]P14_P15_T9!D10</f>
        <v>Faixa de Rendimento Total</v>
      </c>
      <c r="C3" t="str">
        <f>+[2]P14_P15_T9!E10</f>
        <v>Qtde Declarantes</v>
      </c>
      <c r="D3" t="str">
        <f>+[2]P14_P15_T9!F10</f>
        <v>Rendim. Tribut.</v>
      </c>
      <c r="E3" t="str">
        <f>+[2]P14_P15_T9!G10</f>
        <v>Rendim. Tribut. Exclus.</v>
      </c>
      <c r="F3" t="str">
        <f>+[2]P14_P15_T9!H10</f>
        <v>Rendim. Isentos</v>
      </c>
      <c r="G3" t="str">
        <f>+[2]P14_P15_T9!I10</f>
        <v>DEDUÇÕES</v>
      </c>
      <c r="H3">
        <f>+[2]P14_P15_T9!J10</f>
        <v>0</v>
      </c>
      <c r="I3">
        <f>+[2]P14_P15_T9!K10</f>
        <v>0</v>
      </c>
      <c r="J3">
        <f>+[2]P14_P15_T9!L10</f>
        <v>0</v>
      </c>
      <c r="K3">
        <f>+[2]P14_P15_T9!M10</f>
        <v>0</v>
      </c>
      <c r="L3">
        <f>+[2]P14_P15_T9!N10</f>
        <v>0</v>
      </c>
      <c r="M3">
        <f>+[2]P14_P15_T9!O10</f>
        <v>0</v>
      </c>
      <c r="N3" t="str">
        <f>+[2]P14_P15_T9!P10</f>
        <v>Base de Cálculo (RTL)</v>
      </c>
      <c r="O3" t="str">
        <f>+[2]P14_P15_T9!Q10</f>
        <v>Imposto Devido</v>
      </c>
      <c r="P3" t="str">
        <f>+[2]P14_P15_T9!R10</f>
        <v>Imposto Pago</v>
      </c>
      <c r="Q3" t="str">
        <f>+[2]P14_P15_T9!S10</f>
        <v>Imposto a Pagar</v>
      </c>
      <c r="R3" t="str">
        <f>+[2]P14_P15_T9!T10</f>
        <v>Imposto a Restituir</v>
      </c>
      <c r="S3" t="str">
        <f>+[2]P14_P15_T9!U10</f>
        <v>Bens e Direitos</v>
      </c>
      <c r="T3" t="str">
        <f>+[2]P14_P15_T9!V10</f>
        <v>Dívidas e Ônus</v>
      </c>
    </row>
    <row r="4" spans="2:20" x14ac:dyDescent="0.25">
      <c r="B4">
        <f>+[2]P14_P15_T9!D11</f>
        <v>0</v>
      </c>
      <c r="C4">
        <f>+[2]P14_P15_T9!E11</f>
        <v>0</v>
      </c>
      <c r="D4">
        <f>+[2]P14_P15_T9!F11</f>
        <v>0</v>
      </c>
      <c r="E4">
        <f>+[2]P14_P15_T9!G11</f>
        <v>0</v>
      </c>
      <c r="F4">
        <f>+[2]P14_P15_T9!H11</f>
        <v>0</v>
      </c>
      <c r="G4" t="str">
        <f>+[2]P14_P15_T9!I11</f>
        <v>Contrib. Previden.</v>
      </c>
      <c r="H4" t="str">
        <f>+[2]P14_P15_T9!J11</f>
        <v>Dependentes</v>
      </c>
      <c r="I4" t="str">
        <f>+[2]P14_P15_T9!K11</f>
        <v>Instrução</v>
      </c>
      <c r="J4" t="str">
        <f>+[2]P14_P15_T9!L11</f>
        <v>Médicas</v>
      </c>
      <c r="K4" t="str">
        <f>+[2]P14_P15_T9!M11</f>
        <v>Livro Caixa</v>
      </c>
      <c r="L4" t="str">
        <f>+[2]P14_P15_T9!N11</f>
        <v>Pensão Aliment.</v>
      </c>
      <c r="M4" t="str">
        <f>+[2]P14_P15_T9!O11</f>
        <v>Desc. Padrão</v>
      </c>
      <c r="N4">
        <f>+[2]P14_P15_T9!P11</f>
        <v>0</v>
      </c>
      <c r="O4">
        <f>+[2]P14_P15_T9!Q11</f>
        <v>0</v>
      </c>
      <c r="P4">
        <f>+[2]P14_P15_T9!R11</f>
        <v>0</v>
      </c>
      <c r="Q4">
        <f>+[2]P14_P15_T9!S11</f>
        <v>0</v>
      </c>
      <c r="R4">
        <f>+[2]P14_P15_T9!T11</f>
        <v>0</v>
      </c>
      <c r="S4">
        <f>+[2]P14_P15_T9!U11</f>
        <v>0</v>
      </c>
      <c r="T4">
        <f>+[2]P14_P15_T9!V11</f>
        <v>0</v>
      </c>
    </row>
    <row r="5" spans="2:20" x14ac:dyDescent="0.25">
      <c r="B5" t="str">
        <f>+[2]P14_P15_T9!D12</f>
        <v>Até 1/2 Salário Mín.</v>
      </c>
      <c r="C5">
        <f>+[2]P14_P15_T9!E12</f>
        <v>2483264</v>
      </c>
      <c r="D5">
        <f>+[2]P14_P15_T9!F12</f>
        <v>204.74731050999998</v>
      </c>
      <c r="E5">
        <f>+[2]P14_P15_T9!G12</f>
        <v>18.097361759999998</v>
      </c>
      <c r="F5">
        <f>+[2]P14_P15_T9!H12</f>
        <v>65.830653229999996</v>
      </c>
      <c r="G5">
        <f>+[2]P14_P15_T9!I12</f>
        <v>15.7951944</v>
      </c>
      <c r="H5">
        <f>+[2]P14_P15_T9!J12</f>
        <v>126.37113462000001</v>
      </c>
      <c r="I5">
        <f>+[2]P14_P15_T9!K12</f>
        <v>6.3909585099999999</v>
      </c>
      <c r="J5">
        <f>+[2]P14_P15_T9!L12</f>
        <v>19.34603345</v>
      </c>
      <c r="K5">
        <f>+[2]P14_P15_T9!M12</f>
        <v>3.8900519999999994E-2</v>
      </c>
      <c r="L5">
        <f>+[2]P14_P15_T9!N12</f>
        <v>6.2699753999999999</v>
      </c>
      <c r="M5">
        <f>+[2]P14_P15_T9!O12</f>
        <v>23.887846760000002</v>
      </c>
      <c r="N5">
        <f>+[2]P14_P15_T9!P12</f>
        <v>173.891479</v>
      </c>
      <c r="O5">
        <f>+[2]P14_P15_T9!Q12</f>
        <v>0.80723869999999998</v>
      </c>
      <c r="P5">
        <f>+[2]P14_P15_T9!R12</f>
        <v>10.690380170000001</v>
      </c>
      <c r="Q5">
        <f>+[2]P14_P15_T9!S12</f>
        <v>7.9202549999999997E-2</v>
      </c>
      <c r="R5">
        <f>+[2]P14_P15_T9!T12</f>
        <v>10.534058609999999</v>
      </c>
      <c r="S5">
        <f>+[2]P14_P15_T9!U12</f>
        <v>58988.054427950003</v>
      </c>
      <c r="T5">
        <f>+[2]P14_P15_T9!V12</f>
        <v>3782.0766101199997</v>
      </c>
    </row>
    <row r="6" spans="2:20" x14ac:dyDescent="0.25">
      <c r="B6" t="str">
        <f>+[2]P14_P15_T9!D13</f>
        <v>1/2 a 1 Salário Mín.</v>
      </c>
      <c r="C6">
        <f>+[2]P14_P15_T9!E13</f>
        <v>700637</v>
      </c>
      <c r="D6">
        <f>+[2]P14_P15_T9!F13</f>
        <v>2927.87180266</v>
      </c>
      <c r="E6">
        <f>+[2]P14_P15_T9!G13</f>
        <v>38.46859628</v>
      </c>
      <c r="F6">
        <f>+[2]P14_P15_T9!H13</f>
        <v>185.71571065000001</v>
      </c>
      <c r="G6">
        <f>+[2]P14_P15_T9!I13</f>
        <v>50.790070729999997</v>
      </c>
      <c r="H6">
        <f>+[2]P14_P15_T9!J13</f>
        <v>46.022949509999997</v>
      </c>
      <c r="I6">
        <f>+[2]P14_P15_T9!K13</f>
        <v>3.6880587599999997</v>
      </c>
      <c r="J6">
        <f>+[2]P14_P15_T9!L13</f>
        <v>8.1712124900000003</v>
      </c>
      <c r="K6">
        <f>+[2]P14_P15_T9!M13</f>
        <v>0.27173428000000005</v>
      </c>
      <c r="L6">
        <f>+[2]P14_P15_T9!N13</f>
        <v>1.6940354399999999</v>
      </c>
      <c r="M6">
        <f>+[2]P14_P15_T9!O13</f>
        <v>430.74561226000009</v>
      </c>
      <c r="N6">
        <f>+[2]P14_P15_T9!P13</f>
        <v>2411.4659940399997</v>
      </c>
      <c r="O6">
        <f>+[2]P14_P15_T9!Q13</f>
        <v>0.37451321000000004</v>
      </c>
      <c r="P6">
        <f>+[2]P14_P15_T9!R13</f>
        <v>8.9821490900000001</v>
      </c>
      <c r="Q6">
        <f>+[2]P14_P15_T9!S13</f>
        <v>2.5610589999999999E-2</v>
      </c>
      <c r="R6">
        <f>+[2]P14_P15_T9!T13</f>
        <v>8.9603195299999996</v>
      </c>
      <c r="S6">
        <f>+[2]P14_P15_T9!U13</f>
        <v>17305.264698999999</v>
      </c>
      <c r="T6">
        <f>+[2]P14_P15_T9!V13</f>
        <v>997.73326167999994</v>
      </c>
    </row>
    <row r="7" spans="2:20" x14ac:dyDescent="0.25">
      <c r="B7" t="str">
        <f>+[2]P14_P15_T9!D14</f>
        <v>1 a 2 Salários Mín.</v>
      </c>
      <c r="C7">
        <f>+[2]P14_P15_T9!E14</f>
        <v>1361844</v>
      </c>
      <c r="D7">
        <f>+[2]P14_P15_T9!F14</f>
        <v>8623.9037963999999</v>
      </c>
      <c r="E7">
        <f>+[2]P14_P15_T9!G14</f>
        <v>275.67833010000004</v>
      </c>
      <c r="F7">
        <f>+[2]P14_P15_T9!H14</f>
        <v>1222.51701407</v>
      </c>
      <c r="G7">
        <f>+[2]P14_P15_T9!I14</f>
        <v>124.72780521</v>
      </c>
      <c r="H7">
        <f>+[2]P14_P15_T9!J14</f>
        <v>148.50498875</v>
      </c>
      <c r="I7">
        <f>+[2]P14_P15_T9!K14</f>
        <v>14.494379439999999</v>
      </c>
      <c r="J7">
        <f>+[2]P14_P15_T9!L14</f>
        <v>29.144491500000001</v>
      </c>
      <c r="K7">
        <f>+[2]P14_P15_T9!M14</f>
        <v>1.45333406</v>
      </c>
      <c r="L7">
        <f>+[2]P14_P15_T9!N14</f>
        <v>5.0173332999999998</v>
      </c>
      <c r="M7">
        <f>+[2]P14_P15_T9!O14</f>
        <v>1164.0925864200001</v>
      </c>
      <c r="N7">
        <f>+[2]P14_P15_T9!P14</f>
        <v>7178.1343711999998</v>
      </c>
      <c r="O7">
        <f>+[2]P14_P15_T9!Q14</f>
        <v>1.79356228</v>
      </c>
      <c r="P7">
        <f>+[2]P14_P15_T9!R14</f>
        <v>41.892500460000001</v>
      </c>
      <c r="Q7">
        <f>+[2]P14_P15_T9!S14</f>
        <v>1.4360470000000002E-2</v>
      </c>
      <c r="R7">
        <f>+[2]P14_P15_T9!T14</f>
        <v>41.992101320000003</v>
      </c>
      <c r="S7">
        <f>+[2]P14_P15_T9!U14</f>
        <v>34480.859486540001</v>
      </c>
      <c r="T7">
        <f>+[2]P14_P15_T9!V14</f>
        <v>2105.5533218800001</v>
      </c>
    </row>
    <row r="8" spans="2:20" x14ac:dyDescent="0.25">
      <c r="B8" t="str">
        <f>+[2]P14_P15_T9!D15</f>
        <v>2 a 3 Salários Mín.</v>
      </c>
      <c r="C8">
        <f>+[2]P14_P15_T9!E15</f>
        <v>1913832</v>
      </c>
      <c r="D8">
        <f>+[2]P14_P15_T9!F15</f>
        <v>21460.082090010001</v>
      </c>
      <c r="E8">
        <f>+[2]P14_P15_T9!G15</f>
        <v>604.2082224400001</v>
      </c>
      <c r="F8">
        <f>+[2]P14_P15_T9!H15</f>
        <v>2192.65703515</v>
      </c>
      <c r="G8">
        <f>+[2]P14_P15_T9!I15</f>
        <v>305.34578868000006</v>
      </c>
      <c r="H8">
        <f>+[2]P14_P15_T9!J15</f>
        <v>297.94865033999997</v>
      </c>
      <c r="I8">
        <f>+[2]P14_P15_T9!K15</f>
        <v>35.028239340000006</v>
      </c>
      <c r="J8">
        <f>+[2]P14_P15_T9!L15</f>
        <v>67.877551339999997</v>
      </c>
      <c r="K8">
        <f>+[2]P14_P15_T9!M15</f>
        <v>7.4232178099999997</v>
      </c>
      <c r="L8">
        <f>+[2]P14_P15_T9!N15</f>
        <v>12.893944420000002</v>
      </c>
      <c r="M8">
        <f>+[2]P14_P15_T9!O15</f>
        <v>2839.0500837499999</v>
      </c>
      <c r="N8">
        <f>+[2]P14_P15_T9!P15</f>
        <v>17956.762359290002</v>
      </c>
      <c r="O8">
        <f>+[2]P14_P15_T9!Q15</f>
        <v>4.9267547699999996</v>
      </c>
      <c r="P8">
        <f>+[2]P14_P15_T9!R15</f>
        <v>95.389434859999994</v>
      </c>
      <c r="Q8">
        <f>+[2]P14_P15_T9!S15</f>
        <v>7.8389489999999992E-2</v>
      </c>
      <c r="R8">
        <f>+[2]P14_P15_T9!T15</f>
        <v>95.887192040000002</v>
      </c>
      <c r="S8">
        <f>+[2]P14_P15_T9!U15</f>
        <v>60762.426605770001</v>
      </c>
      <c r="T8">
        <f>+[2]P14_P15_T9!V15</f>
        <v>3716.8198313299999</v>
      </c>
    </row>
    <row r="9" spans="2:20" x14ac:dyDescent="0.25">
      <c r="B9" t="str">
        <f>+[2]P14_P15_T9!D16</f>
        <v>3 a 5 Salários Mín.</v>
      </c>
      <c r="C9">
        <f>+[2]P14_P15_T9!E16</f>
        <v>7371132</v>
      </c>
      <c r="D9">
        <f>+[2]P14_P15_T9!F16</f>
        <v>129178.30449777</v>
      </c>
      <c r="E9">
        <f>+[2]P14_P15_T9!G16</f>
        <v>5378.70835369</v>
      </c>
      <c r="F9">
        <f>+[2]P14_P15_T9!H16</f>
        <v>10541.483548209999</v>
      </c>
      <c r="G9">
        <f>+[2]P14_P15_T9!I16</f>
        <v>3008.62448004</v>
      </c>
      <c r="H9">
        <f>+[2]P14_P15_T9!J16</f>
        <v>3714.77415535</v>
      </c>
      <c r="I9">
        <f>+[2]P14_P15_T9!K16</f>
        <v>664.47973364999996</v>
      </c>
      <c r="J9">
        <f>+[2]P14_P15_T9!L16</f>
        <v>1199.90838321</v>
      </c>
      <c r="K9">
        <f>+[2]P14_P15_T9!M16</f>
        <v>99.237325959999993</v>
      </c>
      <c r="L9">
        <f>+[2]P14_P15_T9!N16</f>
        <v>307.47580965000003</v>
      </c>
      <c r="M9">
        <f>+[2]P14_P15_T9!O16</f>
        <v>18371.750453879999</v>
      </c>
      <c r="N9">
        <f>+[2]P14_P15_T9!P16</f>
        <v>102209.94055008001</v>
      </c>
      <c r="O9">
        <f>+[2]P14_P15_T9!Q16</f>
        <v>154.45462006999998</v>
      </c>
      <c r="P9">
        <f>+[2]P14_P15_T9!R16</f>
        <v>953.64179025999988</v>
      </c>
      <c r="Q9">
        <f>+[2]P14_P15_T9!S16</f>
        <v>52.134190620000005</v>
      </c>
      <c r="R9">
        <f>+[2]P14_P15_T9!T16</f>
        <v>879.54071094000005</v>
      </c>
      <c r="S9">
        <f>+[2]P14_P15_T9!U16</f>
        <v>273884.44525137002</v>
      </c>
      <c r="T9">
        <f>+[2]P14_P15_T9!V16</f>
        <v>21169.146972719998</v>
      </c>
    </row>
    <row r="10" spans="2:20" x14ac:dyDescent="0.25">
      <c r="B10" t="str">
        <f>+[2]P14_P15_T9!D17</f>
        <v>5 a 10 Salários Mín.</v>
      </c>
      <c r="C10">
        <f>+[2]P14_P15_T9!E17</f>
        <v>6501415</v>
      </c>
      <c r="D10">
        <f>+[2]P14_P15_T9!F17</f>
        <v>182612.58238420001</v>
      </c>
      <c r="E10">
        <f>+[2]P14_P15_T9!G17</f>
        <v>12024.9081099</v>
      </c>
      <c r="F10">
        <f>+[2]P14_P15_T9!H17</f>
        <v>30106.439814640002</v>
      </c>
      <c r="G10">
        <f>+[2]P14_P15_T9!I17</f>
        <v>9850.2682750700005</v>
      </c>
      <c r="H10">
        <f>+[2]P14_P15_T9!J17</f>
        <v>11077.544479540002</v>
      </c>
      <c r="I10">
        <f>+[2]P14_P15_T9!K17</f>
        <v>5480.2636777200005</v>
      </c>
      <c r="J10">
        <f>+[2]P14_P15_T9!L17</f>
        <v>10258.11378161</v>
      </c>
      <c r="K10">
        <f>+[2]P14_P15_T9!M17</f>
        <v>859.74195055999996</v>
      </c>
      <c r="L10">
        <f>+[2]P14_P15_T9!N17</f>
        <v>1718.2032935099999</v>
      </c>
      <c r="M10">
        <f>+[2]P14_P15_T9!O17</f>
        <v>15320.014231840003</v>
      </c>
      <c r="N10">
        <f>+[2]P14_P15_T9!P17</f>
        <v>128486.93219426001</v>
      </c>
      <c r="O10">
        <f>+[2]P14_P15_T9!Q17</f>
        <v>4623.3515205399999</v>
      </c>
      <c r="P10">
        <f>+[2]P14_P15_T9!R17</f>
        <v>6978.7699250300002</v>
      </c>
      <c r="Q10">
        <f>+[2]P14_P15_T9!S17</f>
        <v>898.61173499000006</v>
      </c>
      <c r="R10">
        <f>+[2]P14_P15_T9!T17</f>
        <v>3327.9807905100006</v>
      </c>
      <c r="S10">
        <f>+[2]P14_P15_T9!U17</f>
        <v>392524.43781576003</v>
      </c>
      <c r="T10">
        <f>+[2]P14_P15_T9!V17</f>
        <v>36142.312595059993</v>
      </c>
    </row>
    <row r="11" spans="2:20" x14ac:dyDescent="0.25">
      <c r="B11" t="str">
        <f>+[2]P14_P15_T9!D18</f>
        <v>10 a 20 Salários Mín.</v>
      </c>
      <c r="C11">
        <f>+[2]P14_P15_T9!E18</f>
        <v>3207904</v>
      </c>
      <c r="D11">
        <f>+[2]P14_P15_T9!F18</f>
        <v>164024.23022336001</v>
      </c>
      <c r="E11">
        <f>+[2]P14_P15_T9!G18</f>
        <v>12601.346071689999</v>
      </c>
      <c r="F11">
        <f>+[2]P14_P15_T9!H18</f>
        <v>43914.237065300003</v>
      </c>
      <c r="G11">
        <f>+[2]P14_P15_T9!I18</f>
        <v>8651.7051088500011</v>
      </c>
      <c r="H11">
        <f>+[2]P14_P15_T9!J18</f>
        <v>5714.7451051099997</v>
      </c>
      <c r="I11">
        <f>+[2]P14_P15_T9!K18</f>
        <v>4826.6453393700003</v>
      </c>
      <c r="J11">
        <f>+[2]P14_P15_T9!L18</f>
        <v>12002.39150722</v>
      </c>
      <c r="K11">
        <f>+[2]P14_P15_T9!M18</f>
        <v>1707.0964028599999</v>
      </c>
      <c r="L11">
        <f>+[2]P14_P15_T9!N18</f>
        <v>1996.57329218</v>
      </c>
      <c r="M11">
        <f>+[2]P14_P15_T9!O18</f>
        <v>12675.847320379995</v>
      </c>
      <c r="N11">
        <f>+[2]P14_P15_T9!P18</f>
        <v>116769.91501145001</v>
      </c>
      <c r="O11">
        <f>+[2]P14_P15_T9!Q18</f>
        <v>13630.388703500001</v>
      </c>
      <c r="P11">
        <f>+[2]P14_P15_T9!R18</f>
        <v>15514.877737100001</v>
      </c>
      <c r="Q11">
        <f>+[2]P14_P15_T9!S18</f>
        <v>1840.8485686900003</v>
      </c>
      <c r="R11">
        <f>+[2]P14_P15_T9!T18</f>
        <v>3853.2938875699997</v>
      </c>
      <c r="S11">
        <f>+[2]P14_P15_T9!U18</f>
        <v>435564.96854021004</v>
      </c>
      <c r="T11">
        <f>+[2]P14_P15_T9!V18</f>
        <v>40317.286363649997</v>
      </c>
    </row>
    <row r="12" spans="2:20" x14ac:dyDescent="0.25">
      <c r="B12" t="str">
        <f>+[2]P14_P15_T9!D19</f>
        <v>20 a 40 Salários Mín.</v>
      </c>
      <c r="C12">
        <f>+[2]P14_P15_T9!E19</f>
        <v>1458385</v>
      </c>
      <c r="D12">
        <f>+[2]P14_P15_T9!F19</f>
        <v>133919.63339773001</v>
      </c>
      <c r="E12">
        <f>+[2]P14_P15_T9!G19</f>
        <v>13066.142134310001</v>
      </c>
      <c r="F12">
        <f>+[2]P14_P15_T9!H19</f>
        <v>52706.27944785</v>
      </c>
      <c r="G12">
        <f>+[2]P14_P15_T9!I19</f>
        <v>8654.7674705299996</v>
      </c>
      <c r="H12">
        <f>+[2]P14_P15_T9!J19</f>
        <v>2557.2710549099997</v>
      </c>
      <c r="I12">
        <f>+[2]P14_P15_T9!K19</f>
        <v>2381.09203815</v>
      </c>
      <c r="J12">
        <f>+[2]P14_P15_T9!L19</f>
        <v>8149.9943365400004</v>
      </c>
      <c r="K12">
        <f>+[2]P14_P15_T9!M19</f>
        <v>2072.27721668</v>
      </c>
      <c r="L12">
        <f>+[2]P14_P15_T9!N19</f>
        <v>2084.5315329300001</v>
      </c>
      <c r="M12">
        <f>+[2]P14_P15_T9!O19</f>
        <v>4367.4367582700033</v>
      </c>
      <c r="N12">
        <f>+[2]P14_P15_T9!P19</f>
        <v>104120.11325524999</v>
      </c>
      <c r="O12">
        <f>+[2]P14_P15_T9!Q19</f>
        <v>20052.428054020002</v>
      </c>
      <c r="P12">
        <f>+[2]P14_P15_T9!R19</f>
        <v>20134.11386342</v>
      </c>
      <c r="Q12">
        <f>+[2]P14_P15_T9!S19</f>
        <v>1952.5871296999999</v>
      </c>
      <c r="R12">
        <f>+[2]P14_P15_T9!T19</f>
        <v>2183.6319668400001</v>
      </c>
      <c r="S12">
        <f>+[2]P14_P15_T9!U19</f>
        <v>443408.07325963996</v>
      </c>
      <c r="T12">
        <f>+[2]P14_P15_T9!V19</f>
        <v>35871.64041616</v>
      </c>
    </row>
    <row r="13" spans="2:20" x14ac:dyDescent="0.25">
      <c r="B13" t="str">
        <f>+[2]P14_P15_T9!D20</f>
        <v>40 a 80 Salários Mín.</v>
      </c>
      <c r="C13">
        <f>+[2]P14_P15_T9!E20</f>
        <v>555554</v>
      </c>
      <c r="D13">
        <f>+[2]P14_P15_T9!F20</f>
        <v>85075.798735250006</v>
      </c>
      <c r="E13">
        <f>+[2]P14_P15_T9!G20</f>
        <v>11657.505147399999</v>
      </c>
      <c r="F13">
        <f>+[2]P14_P15_T9!H20</f>
        <v>52143.51406247</v>
      </c>
      <c r="G13">
        <f>+[2]P14_P15_T9!I20</f>
        <v>6017.5804949499998</v>
      </c>
      <c r="H13">
        <f>+[2]P14_P15_T9!J20</f>
        <v>914.63856439999995</v>
      </c>
      <c r="I13">
        <f>+[2]P14_P15_T9!K20</f>
        <v>833.48255823</v>
      </c>
      <c r="J13">
        <f>+[2]P14_P15_T9!L20</f>
        <v>4015.6079785300003</v>
      </c>
      <c r="K13">
        <f>+[2]P14_P15_T9!M20</f>
        <v>1738.5193474</v>
      </c>
      <c r="L13">
        <f>+[2]P14_P15_T9!N20</f>
        <v>1305.0138961299999</v>
      </c>
      <c r="M13">
        <f>+[2]P14_P15_T9!O20</f>
        <v>1120.4615637499992</v>
      </c>
      <c r="N13">
        <f>+[2]P14_P15_T9!P20</f>
        <v>69520.895627820006</v>
      </c>
      <c r="O13">
        <f>+[2]P14_P15_T9!Q20</f>
        <v>15882.03800348</v>
      </c>
      <c r="P13">
        <f>+[2]P14_P15_T9!R20</f>
        <v>15343.98522069</v>
      </c>
      <c r="Q13">
        <f>+[2]P14_P15_T9!S20</f>
        <v>1378.84591391</v>
      </c>
      <c r="R13">
        <f>+[2]P14_P15_T9!T20</f>
        <v>978.28120872</v>
      </c>
      <c r="S13">
        <f>+[2]P14_P15_T9!U20</f>
        <v>376576.49890963</v>
      </c>
      <c r="T13">
        <f>+[2]P14_P15_T9!V20</f>
        <v>22117.719032190002</v>
      </c>
    </row>
    <row r="14" spans="2:20" x14ac:dyDescent="0.25">
      <c r="B14" t="str">
        <f>+[2]P14_P15_T9!D21</f>
        <v>80 a 160 Salários Mín.</v>
      </c>
      <c r="C14">
        <f>+[2]P14_P15_T9!E21</f>
        <v>146930</v>
      </c>
      <c r="D14">
        <f>+[2]P14_P15_T9!F21</f>
        <v>30383.578390839997</v>
      </c>
      <c r="E14">
        <f>+[2]P14_P15_T9!G21</f>
        <v>8001.2934183800007</v>
      </c>
      <c r="F14">
        <f>+[2]P14_P15_T9!H21</f>
        <v>39687.987063370005</v>
      </c>
      <c r="G14">
        <f>+[2]P14_P15_T9!I21</f>
        <v>1683.6252280799999</v>
      </c>
      <c r="H14">
        <f>+[2]P14_P15_T9!J21</f>
        <v>209.45226119999998</v>
      </c>
      <c r="I14">
        <f>+[2]P14_P15_T9!K21</f>
        <v>181.73427763000001</v>
      </c>
      <c r="J14">
        <f>+[2]P14_P15_T9!L21</f>
        <v>1137.8026832799999</v>
      </c>
      <c r="K14">
        <f>+[2]P14_P15_T9!M21</f>
        <v>754.35678392999989</v>
      </c>
      <c r="L14">
        <f>+[2]P14_P15_T9!N21</f>
        <v>407.76850580000001</v>
      </c>
      <c r="M14">
        <f>+[2]P14_P15_T9!O21</f>
        <v>346.22759964999932</v>
      </c>
      <c r="N14">
        <f>+[2]P14_P15_T9!P21</f>
        <v>25793.45054007</v>
      </c>
      <c r="O14">
        <f>+[2]P14_P15_T9!Q21</f>
        <v>6273.9689584000007</v>
      </c>
      <c r="P14">
        <f>+[2]P14_P15_T9!R21</f>
        <v>5842.2058851599995</v>
      </c>
      <c r="Q14">
        <f>+[2]P14_P15_T9!S21</f>
        <v>629.61538024000004</v>
      </c>
      <c r="R14">
        <f>+[2]P14_P15_T9!T21</f>
        <v>314.17605495999999</v>
      </c>
      <c r="S14">
        <f>+[2]P14_P15_T9!U21</f>
        <v>235826.49426745999</v>
      </c>
      <c r="T14">
        <f>+[2]P14_P15_T9!V21</f>
        <v>11633.55872379</v>
      </c>
    </row>
    <row r="15" spans="2:20" x14ac:dyDescent="0.25">
      <c r="B15" t="str">
        <f>+[2]P14_P15_T9!D22</f>
        <v>&gt; 160 Salários Mín.</v>
      </c>
      <c r="C15">
        <f>+[2]P14_P15_T9!E22</f>
        <v>71458</v>
      </c>
      <c r="D15">
        <f>+[2]P14_P15_T9!F22</f>
        <v>28248.30591123</v>
      </c>
      <c r="E15">
        <f>+[2]P14_P15_T9!G22</f>
        <v>50198.619699739997</v>
      </c>
      <c r="F15">
        <f>+[2]P14_P15_T9!H22</f>
        <v>130391.58362135</v>
      </c>
      <c r="G15">
        <f>+[2]P14_P15_T9!I22</f>
        <v>771.76175024999998</v>
      </c>
      <c r="H15">
        <f>+[2]P14_P15_T9!J22</f>
        <v>92.825321040000006</v>
      </c>
      <c r="I15">
        <f>+[2]P14_P15_T9!K22</f>
        <v>75.365132319999987</v>
      </c>
      <c r="J15">
        <f>+[2]P14_P15_T9!L22</f>
        <v>622.83113925999999</v>
      </c>
      <c r="K15">
        <f>+[2]P14_P15_T9!M22</f>
        <v>2624.5731230300003</v>
      </c>
      <c r="L15">
        <f>+[2]P14_P15_T9!N22</f>
        <v>261.46612325999996</v>
      </c>
      <c r="M15">
        <f>+[2]P14_P15_T9!O22</f>
        <v>188.86040972999945</v>
      </c>
      <c r="N15">
        <f>+[2]P14_P15_T9!P22</f>
        <v>23722.134941460001</v>
      </c>
      <c r="O15">
        <f>+[2]P14_P15_T9!Q22</f>
        <v>6131.43849262</v>
      </c>
      <c r="P15">
        <f>+[2]P14_P15_T9!R22</f>
        <v>5342.5324617099996</v>
      </c>
      <c r="Q15">
        <f>+[2]P14_P15_T9!S22</f>
        <v>873.95231450000006</v>
      </c>
      <c r="R15">
        <f>+[2]P14_P15_T9!T22</f>
        <v>188.59652148999999</v>
      </c>
      <c r="S15">
        <f>+[2]P14_P15_T9!U22</f>
        <v>696508.74345179996</v>
      </c>
      <c r="T15">
        <f>+[2]P14_P15_T9!V22</f>
        <v>33930.430706010004</v>
      </c>
    </row>
    <row r="16" spans="2:20" x14ac:dyDescent="0.25">
      <c r="B16" t="str">
        <f>+[2]P14_P15_T9!D23</f>
        <v xml:space="preserve">    Total</v>
      </c>
      <c r="C16">
        <f>+[2]P14_P15_T9!E23</f>
        <v>25772355</v>
      </c>
      <c r="D16">
        <f>+[2]P14_P15_T9!F23</f>
        <v>786659.03853996005</v>
      </c>
      <c r="E16">
        <f>+[2]P14_P15_T9!G23</f>
        <v>113864.97544569</v>
      </c>
      <c r="F16">
        <f>+[2]P14_P15_T9!H23</f>
        <v>363158.24503629003</v>
      </c>
      <c r="G16">
        <f>+[2]P14_P15_T9!I23</f>
        <v>39134.991666790003</v>
      </c>
      <c r="H16">
        <f>+[2]P14_P15_T9!J23</f>
        <v>24900.098664770001</v>
      </c>
      <c r="I16">
        <f>+[2]P14_P15_T9!K23</f>
        <v>14502.66439312</v>
      </c>
      <c r="J16">
        <f>+[2]P14_P15_T9!L23</f>
        <v>37511.189098430004</v>
      </c>
      <c r="K16">
        <f>+[2]P14_P15_T9!M23</f>
        <v>9864.9893370900008</v>
      </c>
      <c r="L16">
        <f>+[2]P14_P15_T9!N23</f>
        <v>8106.9077420199992</v>
      </c>
      <c r="M16">
        <f>+[2]P14_P15_T9!O23</f>
        <v>56848.374466689987</v>
      </c>
      <c r="N16">
        <f>+[2]P14_P15_T9!P23</f>
        <v>598343.63632391999</v>
      </c>
      <c r="O16">
        <f>+[2]P14_P15_T9!Q23</f>
        <v>66755.970421589998</v>
      </c>
      <c r="P16">
        <f>+[2]P14_P15_T9!R23</f>
        <v>70267.081347949992</v>
      </c>
      <c r="Q16">
        <f>+[2]P14_P15_T9!S23</f>
        <v>7626.7927957500015</v>
      </c>
      <c r="R16">
        <f>+[2]P14_P15_T9!T23</f>
        <v>11882.874812530003</v>
      </c>
      <c r="S16">
        <f>+[2]P14_P15_T9!U23</f>
        <v>3025830.2667151298</v>
      </c>
      <c r="T16">
        <f>+[2]P14_P15_T9!V23</f>
        <v>211784.27783458997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415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288.63642497999996</v>
      </c>
      <c r="D26" s="1">
        <f t="shared" ref="D26:D37" si="2">+O5</f>
        <v>0.80723869999999998</v>
      </c>
      <c r="E26">
        <f t="shared" ref="E26:E37" si="3">+C5</f>
        <v>2483264</v>
      </c>
      <c r="F26" s="2">
        <f>+D26/C26</f>
        <v>2.796731909549998E-3</v>
      </c>
      <c r="G26" s="1">
        <f t="shared" ref="G26:G37" si="4">+C26*$H$25</f>
        <v>119784.11636669998</v>
      </c>
      <c r="I26">
        <f>+C26*1000000/$H$25</f>
        <v>695509.45778313244</v>
      </c>
      <c r="J26">
        <f>+I26/E26</f>
        <v>0.28007874224534018</v>
      </c>
      <c r="K26">
        <f>+J26/12</f>
        <v>2.3339895187111683E-2</v>
      </c>
      <c r="N26">
        <f>+C26*1000000/E26</f>
        <v>116.23267803181618</v>
      </c>
      <c r="O26" s="3">
        <f>+F26</f>
        <v>2.796731909549998E-3</v>
      </c>
    </row>
    <row r="27" spans="2:15" x14ac:dyDescent="0.25">
      <c r="B27" t="str">
        <f t="shared" si="0"/>
        <v>1/2 a 1 Salário Mín.</v>
      </c>
      <c r="C27" s="1">
        <f t="shared" si="1"/>
        <v>3151.7843753099996</v>
      </c>
      <c r="D27" s="1">
        <f t="shared" si="2"/>
        <v>0.37451321000000004</v>
      </c>
      <c r="E27">
        <f t="shared" si="3"/>
        <v>700637</v>
      </c>
      <c r="F27" s="2">
        <f t="shared" ref="F27:F37" si="5">+D27/C27</f>
        <v>1.1882577150068018E-4</v>
      </c>
      <c r="G27" s="1">
        <f t="shared" si="4"/>
        <v>1307990.5157536499</v>
      </c>
      <c r="I27">
        <f t="shared" ref="I27:I37" si="6">+C27*1000000/$H$25</f>
        <v>7594661.1453253003</v>
      </c>
      <c r="J27">
        <f t="shared" ref="J27:J37" si="7">+I27/E27</f>
        <v>10.839651838720052</v>
      </c>
      <c r="K27">
        <f t="shared" ref="K27:K37" si="8">+J27/12</f>
        <v>0.90330431989333759</v>
      </c>
      <c r="N27">
        <f t="shared" ref="N27:N37" si="9">+C27*1000000/E27</f>
        <v>4498.4555130688213</v>
      </c>
      <c r="O27" s="3">
        <f t="shared" ref="O27:O37" si="10">+F27</f>
        <v>1.1882577150068018E-4</v>
      </c>
    </row>
    <row r="28" spans="2:15" x14ac:dyDescent="0.25">
      <c r="B28" t="str">
        <f t="shared" si="0"/>
        <v>1 a 2 Salários Mín.</v>
      </c>
      <c r="C28" s="1">
        <f t="shared" si="1"/>
        <v>10120.64580651</v>
      </c>
      <c r="D28" s="1">
        <f t="shared" si="2"/>
        <v>1.79356228</v>
      </c>
      <c r="E28">
        <f t="shared" si="3"/>
        <v>1361844</v>
      </c>
      <c r="F28" s="2">
        <f t="shared" si="5"/>
        <v>1.7721816515368119E-4</v>
      </c>
      <c r="G28" s="1">
        <f t="shared" si="4"/>
        <v>4200068.0097016497</v>
      </c>
      <c r="I28">
        <f t="shared" si="6"/>
        <v>24387098.328939758</v>
      </c>
      <c r="J28">
        <f t="shared" si="7"/>
        <v>17.907409607076698</v>
      </c>
      <c r="K28">
        <f t="shared" si="8"/>
        <v>1.4922841339230581</v>
      </c>
      <c r="N28">
        <f t="shared" si="9"/>
        <v>7431.5749869368301</v>
      </c>
      <c r="O28" s="3">
        <f t="shared" si="10"/>
        <v>1.7721816515368119E-4</v>
      </c>
    </row>
    <row r="29" spans="2:15" x14ac:dyDescent="0.25">
      <c r="B29" t="str">
        <f t="shared" si="0"/>
        <v>2 a 3 Salários Mín.</v>
      </c>
      <c r="C29" s="1">
        <f t="shared" si="1"/>
        <v>24249.524129790003</v>
      </c>
      <c r="D29" s="1">
        <f t="shared" si="2"/>
        <v>4.9267547699999996</v>
      </c>
      <c r="E29">
        <f t="shared" si="3"/>
        <v>1913832</v>
      </c>
      <c r="F29" s="2">
        <f t="shared" si="5"/>
        <v>2.0316913204690852E-4</v>
      </c>
      <c r="G29" s="1">
        <f t="shared" si="4"/>
        <v>10063552.513862852</v>
      </c>
      <c r="I29">
        <f t="shared" si="6"/>
        <v>58432588.264554225</v>
      </c>
      <c r="J29">
        <f t="shared" si="7"/>
        <v>30.53172288087681</v>
      </c>
      <c r="K29">
        <f t="shared" si="8"/>
        <v>2.5443102400730675</v>
      </c>
      <c r="N29">
        <f t="shared" si="9"/>
        <v>12670.664995563877</v>
      </c>
      <c r="O29" s="3">
        <f t="shared" si="10"/>
        <v>2.0316913204690852E-4</v>
      </c>
    </row>
    <row r="30" spans="2:15" x14ac:dyDescent="0.25">
      <c r="B30" t="str">
        <f t="shared" si="0"/>
        <v>3 a 5 Salários Mín.</v>
      </c>
      <c r="C30" s="1">
        <f t="shared" si="1"/>
        <v>144999.25907370998</v>
      </c>
      <c r="D30" s="1">
        <f t="shared" si="2"/>
        <v>154.45462006999998</v>
      </c>
      <c r="E30">
        <f t="shared" si="3"/>
        <v>7371132</v>
      </c>
      <c r="F30" s="2">
        <f t="shared" si="5"/>
        <v>1.0652097193923134E-3</v>
      </c>
      <c r="G30" s="1">
        <f t="shared" si="4"/>
        <v>60174692.51558964</v>
      </c>
      <c r="I30">
        <f t="shared" si="6"/>
        <v>349395804.99689156</v>
      </c>
      <c r="J30">
        <f t="shared" si="7"/>
        <v>47.400562762529766</v>
      </c>
      <c r="K30">
        <f t="shared" si="8"/>
        <v>3.9500468968774807</v>
      </c>
      <c r="N30">
        <f t="shared" si="9"/>
        <v>19671.233546449854</v>
      </c>
      <c r="O30" s="3">
        <f t="shared" si="10"/>
        <v>1.0652097193923134E-3</v>
      </c>
    </row>
    <row r="31" spans="2:15" x14ac:dyDescent="0.25">
      <c r="B31" t="str">
        <f t="shared" si="0"/>
        <v>5 a 10 Salários Mín.</v>
      </c>
      <c r="C31" s="1">
        <f t="shared" si="1"/>
        <v>223884.18835817999</v>
      </c>
      <c r="D31" s="1">
        <f t="shared" si="2"/>
        <v>4623.3515205399999</v>
      </c>
      <c r="E31">
        <f t="shared" si="3"/>
        <v>6501415</v>
      </c>
      <c r="F31" s="2">
        <f t="shared" si="5"/>
        <v>2.0650638861299819E-2</v>
      </c>
      <c r="G31" s="1">
        <f t="shared" si="4"/>
        <v>92911938.168644696</v>
      </c>
      <c r="I31">
        <f t="shared" si="6"/>
        <v>539479971.94742167</v>
      </c>
      <c r="J31">
        <f t="shared" si="7"/>
        <v>82.978854902728358</v>
      </c>
      <c r="K31">
        <f t="shared" si="8"/>
        <v>6.9149045752273635</v>
      </c>
      <c r="N31">
        <f t="shared" si="9"/>
        <v>34436.224784632264</v>
      </c>
      <c r="O31" s="3">
        <f t="shared" si="10"/>
        <v>2.0650638861299819E-2</v>
      </c>
    </row>
    <row r="32" spans="2:15" x14ac:dyDescent="0.25">
      <c r="B32" t="str">
        <f t="shared" si="0"/>
        <v>10 a 20 Salários Mín.</v>
      </c>
      <c r="C32" s="1">
        <f t="shared" si="1"/>
        <v>218832.71695748999</v>
      </c>
      <c r="D32" s="1">
        <f t="shared" si="2"/>
        <v>13630.388703500001</v>
      </c>
      <c r="E32">
        <f t="shared" si="3"/>
        <v>3207904</v>
      </c>
      <c r="F32" s="2">
        <f t="shared" si="5"/>
        <v>6.2286795562419547E-2</v>
      </c>
      <c r="G32" s="1">
        <f t="shared" si="4"/>
        <v>90815577.537358344</v>
      </c>
      <c r="I32">
        <f t="shared" si="6"/>
        <v>527307751.70479518</v>
      </c>
      <c r="J32">
        <f t="shared" si="7"/>
        <v>164.37765958856474</v>
      </c>
      <c r="K32">
        <f t="shared" si="8"/>
        <v>13.698138299047061</v>
      </c>
      <c r="N32">
        <f t="shared" si="9"/>
        <v>68216.728729254362</v>
      </c>
      <c r="O32" s="3">
        <f t="shared" si="10"/>
        <v>6.2286795562419547E-2</v>
      </c>
    </row>
    <row r="33" spans="2:15" x14ac:dyDescent="0.25">
      <c r="B33" t="str">
        <f t="shared" si="0"/>
        <v>20 a 40 Salários Mín.</v>
      </c>
      <c r="C33" s="1">
        <f t="shared" si="1"/>
        <v>197619.77776321</v>
      </c>
      <c r="D33" s="1">
        <f t="shared" si="2"/>
        <v>20052.428054020002</v>
      </c>
      <c r="E33">
        <f t="shared" si="3"/>
        <v>1458385</v>
      </c>
      <c r="F33" s="2">
        <f t="shared" si="5"/>
        <v>0.10146974296290841</v>
      </c>
      <c r="G33" s="1">
        <f t="shared" si="4"/>
        <v>82012207.771732152</v>
      </c>
      <c r="I33">
        <f t="shared" si="6"/>
        <v>476192235.574</v>
      </c>
      <c r="J33">
        <f t="shared" si="7"/>
        <v>326.52025053329538</v>
      </c>
      <c r="K33">
        <f t="shared" si="8"/>
        <v>27.210020877774614</v>
      </c>
      <c r="N33">
        <f t="shared" si="9"/>
        <v>135505.90397131757</v>
      </c>
      <c r="O33" s="3">
        <f t="shared" si="10"/>
        <v>0.10146974296290841</v>
      </c>
    </row>
    <row r="34" spans="2:15" x14ac:dyDescent="0.25">
      <c r="B34" t="str">
        <f t="shared" si="0"/>
        <v>40 a 80 Salários Mín.</v>
      </c>
      <c r="C34" s="1">
        <f t="shared" si="1"/>
        <v>147138.29859772002</v>
      </c>
      <c r="D34" s="1">
        <f t="shared" si="2"/>
        <v>15882.03800348</v>
      </c>
      <c r="E34">
        <f t="shared" si="3"/>
        <v>555554</v>
      </c>
      <c r="F34" s="2">
        <f t="shared" si="5"/>
        <v>0.10793952461623815</v>
      </c>
      <c r="G34" s="1">
        <f t="shared" si="4"/>
        <v>61062393.918053806</v>
      </c>
      <c r="I34">
        <f t="shared" si="6"/>
        <v>354550117.10293978</v>
      </c>
      <c r="J34">
        <f t="shared" si="7"/>
        <v>638.19199772288528</v>
      </c>
      <c r="K34">
        <f t="shared" si="8"/>
        <v>53.182666476907109</v>
      </c>
      <c r="N34">
        <f t="shared" si="9"/>
        <v>264849.67905499734</v>
      </c>
      <c r="O34" s="3">
        <f t="shared" si="10"/>
        <v>0.10793952461623815</v>
      </c>
    </row>
    <row r="35" spans="2:15" x14ac:dyDescent="0.25">
      <c r="B35" t="str">
        <f t="shared" si="0"/>
        <v>80 a 160 Salários Mín.</v>
      </c>
      <c r="C35" s="1">
        <f t="shared" si="1"/>
        <v>77318.50208866001</v>
      </c>
      <c r="D35" s="1">
        <f t="shared" si="2"/>
        <v>6273.9689584000007</v>
      </c>
      <c r="E35">
        <f t="shared" si="3"/>
        <v>146930</v>
      </c>
      <c r="F35" s="2">
        <f t="shared" si="5"/>
        <v>8.1144471102217314E-2</v>
      </c>
      <c r="G35" s="1">
        <f t="shared" si="4"/>
        <v>32087178.366793904</v>
      </c>
      <c r="I35">
        <f t="shared" si="6"/>
        <v>186309643.58713254</v>
      </c>
      <c r="J35">
        <f t="shared" si="7"/>
        <v>1268.0163587227423</v>
      </c>
      <c r="K35">
        <f t="shared" si="8"/>
        <v>105.66802989356187</v>
      </c>
      <c r="N35">
        <f t="shared" si="9"/>
        <v>526226.78886993811</v>
      </c>
      <c r="O35" s="3">
        <f t="shared" si="10"/>
        <v>8.1144471102217314E-2</v>
      </c>
    </row>
    <row r="36" spans="2:15" x14ac:dyDescent="0.25">
      <c r="B36" t="str">
        <f t="shared" si="0"/>
        <v>&gt; 160 Salários Mín.</v>
      </c>
      <c r="C36" s="1">
        <f t="shared" si="1"/>
        <v>206213.93610929002</v>
      </c>
      <c r="D36" s="1">
        <f t="shared" si="2"/>
        <v>6131.43849262</v>
      </c>
      <c r="E36">
        <f t="shared" si="3"/>
        <v>71458</v>
      </c>
      <c r="F36" s="2">
        <f t="shared" si="5"/>
        <v>2.9733385668805807E-2</v>
      </c>
      <c r="G36" s="1">
        <f t="shared" si="4"/>
        <v>85578783.485355362</v>
      </c>
      <c r="I36">
        <f t="shared" si="6"/>
        <v>496901050.86575907</v>
      </c>
      <c r="J36">
        <f t="shared" si="7"/>
        <v>6953.7497672165337</v>
      </c>
      <c r="K36">
        <f t="shared" si="8"/>
        <v>579.47914726804447</v>
      </c>
      <c r="N36">
        <f t="shared" si="9"/>
        <v>2885806.1533948616</v>
      </c>
      <c r="O36" s="3">
        <f t="shared" si="10"/>
        <v>2.9733385668805807E-2</v>
      </c>
    </row>
    <row r="37" spans="2:15" x14ac:dyDescent="0.25">
      <c r="B37" t="str">
        <f t="shared" si="0"/>
        <v xml:space="preserve">    Total</v>
      </c>
      <c r="C37" s="1">
        <f t="shared" si="1"/>
        <v>1253817.2696848502</v>
      </c>
      <c r="D37" s="1">
        <f t="shared" si="2"/>
        <v>66755.970421589998</v>
      </c>
      <c r="E37">
        <f t="shared" si="3"/>
        <v>25772355</v>
      </c>
      <c r="F37" s="2">
        <f t="shared" si="5"/>
        <v>5.324218451574627E-2</v>
      </c>
      <c r="G37" s="1">
        <f t="shared" si="4"/>
        <v>520334166.91921288</v>
      </c>
      <c r="I37">
        <f t="shared" si="6"/>
        <v>3021246432.975543</v>
      </c>
      <c r="J37">
        <f t="shared" si="7"/>
        <v>117.22818628625684</v>
      </c>
      <c r="K37">
        <f t="shared" si="8"/>
        <v>9.7690155238547369</v>
      </c>
      <c r="N37">
        <f t="shared" si="9"/>
        <v>48649.697308796589</v>
      </c>
      <c r="O37" s="3">
        <f t="shared" si="10"/>
        <v>5.324218451574627E-2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37"/>
  <sheetViews>
    <sheetView topLeftCell="A13" workbookViewId="0">
      <selection activeCell="N25" sqref="N25:O37"/>
    </sheetView>
  </sheetViews>
  <sheetFormatPr baseColWidth="10" defaultColWidth="8.85546875" defaultRowHeight="15" x14ac:dyDescent="0.25"/>
  <sheetData>
    <row r="2" spans="2:20" x14ac:dyDescent="0.25">
      <c r="B2" t="str">
        <f>+[3]P14_P15_T9!C9</f>
        <v>Tabela 9 - Resumo das Declarações Por Faixa de Rendimentos Totais</v>
      </c>
      <c r="C2">
        <f>+[3]P14_P15_T9!D9</f>
        <v>0</v>
      </c>
      <c r="D2">
        <f>+[3]P14_P15_T9!E9</f>
        <v>0</v>
      </c>
      <c r="E2">
        <f>+[3]P14_P15_T9!F9</f>
        <v>0</v>
      </c>
      <c r="F2">
        <f>+[3]P14_P15_T9!G9</f>
        <v>0</v>
      </c>
      <c r="G2">
        <f>+[3]P14_P15_T9!H9</f>
        <v>0</v>
      </c>
      <c r="H2">
        <f>+[3]P14_P15_T9!I9</f>
        <v>0</v>
      </c>
      <c r="I2">
        <f>+[3]P14_P15_T9!J9</f>
        <v>0</v>
      </c>
      <c r="J2">
        <f>+[3]P14_P15_T9!K9</f>
        <v>0</v>
      </c>
      <c r="K2">
        <f>+[3]P14_P15_T9!L9</f>
        <v>0</v>
      </c>
      <c r="L2">
        <f>+[3]P14_P15_T9!M9</f>
        <v>0</v>
      </c>
      <c r="M2">
        <f>+[3]P14_P15_T9!N9</f>
        <v>0</v>
      </c>
      <c r="N2">
        <f>+[3]P14_P15_T9!O9</f>
        <v>0</v>
      </c>
      <c r="O2">
        <f>+[3]P14_P15_T9!P9</f>
        <v>0</v>
      </c>
      <c r="P2">
        <f>+[3]P14_P15_T9!Q9</f>
        <v>0</v>
      </c>
      <c r="Q2">
        <f>+[3]P14_P15_T9!R9</f>
        <v>0</v>
      </c>
      <c r="R2">
        <f>+[3]P14_P15_T9!S9</f>
        <v>0</v>
      </c>
      <c r="S2">
        <f>+[3]P14_P15_T9!T9</f>
        <v>0</v>
      </c>
      <c r="T2" t="str">
        <f>+[3]P14_P15_T9!U9</f>
        <v>Valores R$ milhões</v>
      </c>
    </row>
    <row r="3" spans="2:20" x14ac:dyDescent="0.25">
      <c r="B3" t="str">
        <f>+[3]P14_P15_T9!C10</f>
        <v>Faixa de Rendimento Total</v>
      </c>
      <c r="C3" t="str">
        <f>+[3]P14_P15_T9!D10</f>
        <v>Qtde Declarantes</v>
      </c>
      <c r="D3" t="str">
        <f>+[3]P14_P15_T9!E10</f>
        <v>Rendim. Tribut.</v>
      </c>
      <c r="E3" t="str">
        <f>+[3]P14_P15_T9!F10</f>
        <v>Rendim. Tribut. Exclus.</v>
      </c>
      <c r="F3" t="str">
        <f>+[3]P14_P15_T9!G10</f>
        <v>Rendim. Isentos</v>
      </c>
      <c r="G3" t="str">
        <f>+[3]P14_P15_T9!H10</f>
        <v>DEDUÇÕES</v>
      </c>
      <c r="H3">
        <f>+[3]P14_P15_T9!I10</f>
        <v>0</v>
      </c>
      <c r="I3">
        <f>+[3]P14_P15_T9!J10</f>
        <v>0</v>
      </c>
      <c r="J3">
        <f>+[3]P14_P15_T9!K10</f>
        <v>0</v>
      </c>
      <c r="K3">
        <f>+[3]P14_P15_T9!L10</f>
        <v>0</v>
      </c>
      <c r="L3">
        <f>+[3]P14_P15_T9!M10</f>
        <v>0</v>
      </c>
      <c r="M3">
        <f>+[3]P14_P15_T9!N10</f>
        <v>0</v>
      </c>
      <c r="N3" t="str">
        <f>+[3]P14_P15_T9!O10</f>
        <v>Base de Cálculo (RTL)</v>
      </c>
      <c r="O3" t="str">
        <f>+[3]P14_P15_T9!P10</f>
        <v>Imposto Devido</v>
      </c>
      <c r="P3" t="str">
        <f>+[3]P14_P15_T9!Q10</f>
        <v>Imposto Pago</v>
      </c>
      <c r="Q3" t="str">
        <f>+[3]P14_P15_T9!R10</f>
        <v>Imposto a Pagar</v>
      </c>
      <c r="R3" t="str">
        <f>+[3]P14_P15_T9!S10</f>
        <v>Imposto a Restituir</v>
      </c>
      <c r="S3" t="str">
        <f>+[3]P14_P15_T9!T10</f>
        <v>Bens e Direitos</v>
      </c>
      <c r="T3" t="str">
        <f>+[3]P14_P15_T9!U10</f>
        <v>Dívidas e Ônus</v>
      </c>
    </row>
    <row r="4" spans="2:20" x14ac:dyDescent="0.25">
      <c r="B4">
        <f>+[3]P14_P15_T9!C11</f>
        <v>0</v>
      </c>
      <c r="C4">
        <f>+[3]P14_P15_T9!D11</f>
        <v>0</v>
      </c>
      <c r="D4">
        <f>+[3]P14_P15_T9!E11</f>
        <v>0</v>
      </c>
      <c r="E4">
        <f>+[3]P14_P15_T9!F11</f>
        <v>0</v>
      </c>
      <c r="F4">
        <f>+[3]P14_P15_T9!G11</f>
        <v>0</v>
      </c>
      <c r="G4" t="str">
        <f>+[3]P14_P15_T9!H11</f>
        <v>Contrib. Previden.</v>
      </c>
      <c r="H4" t="str">
        <f>+[3]P14_P15_T9!I11</f>
        <v>Dependentes</v>
      </c>
      <c r="I4" t="str">
        <f>+[3]P14_P15_T9!J11</f>
        <v>Instrução</v>
      </c>
      <c r="J4" t="str">
        <f>+[3]P14_P15_T9!K11</f>
        <v>Médicas</v>
      </c>
      <c r="K4" t="str">
        <f>+[3]P14_P15_T9!L11</f>
        <v>Livro Caixa</v>
      </c>
      <c r="L4" t="str">
        <f>+[3]P14_P15_T9!M11</f>
        <v>Pensão Aliment.</v>
      </c>
      <c r="M4" t="str">
        <f>+[3]P14_P15_T9!N11</f>
        <v>Desc. Padrão</v>
      </c>
      <c r="N4">
        <f>+[3]P14_P15_T9!O11</f>
        <v>0</v>
      </c>
      <c r="O4">
        <f>+[3]P14_P15_T9!P11</f>
        <v>0</v>
      </c>
      <c r="P4">
        <f>+[3]P14_P15_T9!Q11</f>
        <v>0</v>
      </c>
      <c r="Q4">
        <f>+[3]P14_P15_T9!R11</f>
        <v>0</v>
      </c>
      <c r="R4">
        <f>+[3]P14_P15_T9!S11</f>
        <v>0</v>
      </c>
      <c r="S4">
        <f>+[3]P14_P15_T9!T11</f>
        <v>0</v>
      </c>
      <c r="T4">
        <f>+[3]P14_P15_T9!U11</f>
        <v>0</v>
      </c>
    </row>
    <row r="5" spans="2:20" x14ac:dyDescent="0.25">
      <c r="B5" t="str">
        <f>+[3]P14_P15_T9!C12</f>
        <v>Até 1/2 Salário Mín.</v>
      </c>
      <c r="C5">
        <f>+[3]P14_P15_T9!D12</f>
        <v>1801664</v>
      </c>
      <c r="D5">
        <f>+[3]P14_P15_T9!E12</f>
        <v>163.94733792</v>
      </c>
      <c r="E5">
        <f>+[3]P14_P15_T9!F12</f>
        <v>24.309308039999998</v>
      </c>
      <c r="F5">
        <f>+[3]P14_P15_T9!G12</f>
        <v>96.112481410000001</v>
      </c>
      <c r="G5">
        <f>+[3]P14_P15_T9!H12</f>
        <v>15.24228325</v>
      </c>
      <c r="H5">
        <f>+[3]P14_P15_T9!I12</f>
        <v>142.81684071999999</v>
      </c>
      <c r="I5">
        <f>+[3]P14_P15_T9!J12</f>
        <v>7.40032639</v>
      </c>
      <c r="J5">
        <f>+[3]P14_P15_T9!K12</f>
        <v>24.491279429999999</v>
      </c>
      <c r="K5">
        <f>+[3]P14_P15_T9!L12</f>
        <v>3.20135E-2</v>
      </c>
      <c r="L5">
        <f>+[3]P14_P15_T9!M12</f>
        <v>7.9239249900000006</v>
      </c>
      <c r="M5">
        <f>+[3]P14_P15_T9!N12</f>
        <v>17.455332060000046</v>
      </c>
      <c r="N5">
        <f>+[3]P14_P15_T9!O12</f>
        <v>136.80473678999999</v>
      </c>
      <c r="O5">
        <f>+[3]P14_P15_T9!P12</f>
        <v>0.30056587000000001</v>
      </c>
      <c r="P5">
        <f>+[3]P14_P15_T9!Q12</f>
        <v>32.584042919999995</v>
      </c>
      <c r="Q5">
        <f>+[3]P14_P15_T9!R12</f>
        <v>4.7362700000000001E-2</v>
      </c>
      <c r="R5">
        <f>+[3]P14_P15_T9!S12</f>
        <v>32.797566979999999</v>
      </c>
      <c r="S5">
        <f>+[3]P14_P15_T9!T12</f>
        <v>57406.401180590001</v>
      </c>
      <c r="T5">
        <f>+[3]P14_P15_T9!U12</f>
        <v>4292.5070459300005</v>
      </c>
    </row>
    <row r="6" spans="2:20" x14ac:dyDescent="0.25">
      <c r="B6" t="str">
        <f>+[3]P14_P15_T9!C13</f>
        <v>1/2 a 1 Salário Mín.</v>
      </c>
      <c r="C6">
        <f>+[3]P14_P15_T9!D13</f>
        <v>538508</v>
      </c>
      <c r="D6">
        <f>+[3]P14_P15_T9!E13</f>
        <v>2511.7437598200004</v>
      </c>
      <c r="E6">
        <f>+[3]P14_P15_T9!F13</f>
        <v>38.256025479999991</v>
      </c>
      <c r="F6">
        <f>+[3]P14_P15_T9!G13</f>
        <v>172.88138486</v>
      </c>
      <c r="G6">
        <f>+[3]P14_P15_T9!H13</f>
        <v>98.051117650000009</v>
      </c>
      <c r="H6">
        <f>+[3]P14_P15_T9!I13</f>
        <v>49.105291399999999</v>
      </c>
      <c r="I6">
        <f>+[3]P14_P15_T9!J13</f>
        <v>4.5610618299999999</v>
      </c>
      <c r="J6">
        <f>+[3]P14_P15_T9!K13</f>
        <v>19.393530179999999</v>
      </c>
      <c r="K6">
        <f>+[3]P14_P15_T9!L13</f>
        <v>0.21451235999999999</v>
      </c>
      <c r="L6">
        <f>+[3]P14_P15_T9!M13</f>
        <v>2.2810283100000004</v>
      </c>
      <c r="M6">
        <f>+[3]P14_P15_T9!N13</f>
        <v>343.26575172000003</v>
      </c>
      <c r="N6">
        <f>+[3]P14_P15_T9!O13</f>
        <v>2071.0987309800003</v>
      </c>
      <c r="O6">
        <f>+[3]P14_P15_T9!P13</f>
        <v>7.624083999999999E-2</v>
      </c>
      <c r="P6">
        <f>+[3]P14_P15_T9!Q13</f>
        <v>10.495540119999999</v>
      </c>
      <c r="Q6">
        <f>+[3]P14_P15_T9!R13</f>
        <v>8.4918599999999986E-3</v>
      </c>
      <c r="R6">
        <f>+[3]P14_P15_T9!S13</f>
        <v>10.487710490000001</v>
      </c>
      <c r="S6">
        <f>+[3]P14_P15_T9!T13</f>
        <v>15805.739722580001</v>
      </c>
      <c r="T6">
        <f>+[3]P14_P15_T9!U13</f>
        <v>1482.0685074099999</v>
      </c>
    </row>
    <row r="7" spans="2:20" x14ac:dyDescent="0.25">
      <c r="B7" t="str">
        <f>+[3]P14_P15_T9!C14</f>
        <v>1 a 2 Salários Mín.</v>
      </c>
      <c r="C7">
        <f>+[3]P14_P15_T9!D14</f>
        <v>1069574</v>
      </c>
      <c r="D7">
        <f>+[3]P14_P15_T9!E14</f>
        <v>7610.4283064999991</v>
      </c>
      <c r="E7">
        <f>+[3]P14_P15_T9!F14</f>
        <v>265.90527578000001</v>
      </c>
      <c r="F7">
        <f>+[3]P14_P15_T9!G14</f>
        <v>1101.9043520099999</v>
      </c>
      <c r="G7">
        <f>+[3]P14_P15_T9!H14</f>
        <v>212.24722123000001</v>
      </c>
      <c r="H7">
        <f>+[3]P14_P15_T9!I14</f>
        <v>158.76364131</v>
      </c>
      <c r="I7">
        <f>+[3]P14_P15_T9!J14</f>
        <v>18.1579181</v>
      </c>
      <c r="J7">
        <f>+[3]P14_P15_T9!K14</f>
        <v>39.307795110000001</v>
      </c>
      <c r="K7">
        <f>+[3]P14_P15_T9!L14</f>
        <v>1.66529072</v>
      </c>
      <c r="L7">
        <f>+[3]P14_P15_T9!M14</f>
        <v>6.6480451700000005</v>
      </c>
      <c r="M7">
        <f>+[3]P14_P15_T9!N14</f>
        <v>962.01285518999987</v>
      </c>
      <c r="N7">
        <f>+[3]P14_P15_T9!O14</f>
        <v>6336.2771235700002</v>
      </c>
      <c r="O7">
        <f>+[3]P14_P15_T9!P14</f>
        <v>0.23426264999999999</v>
      </c>
      <c r="P7">
        <f>+[3]P14_P15_T9!Q14</f>
        <v>38.520035539999995</v>
      </c>
      <c r="Q7">
        <f>+[3]P14_P15_T9!R14</f>
        <v>1.3050610000000001E-2</v>
      </c>
      <c r="R7">
        <f>+[3]P14_P15_T9!S14</f>
        <v>38.664680820000001</v>
      </c>
      <c r="S7">
        <f>+[3]P14_P15_T9!T14</f>
        <v>34943.405898810001</v>
      </c>
      <c r="T7">
        <f>+[3]P14_P15_T9!U14</f>
        <v>2283.7591171100003</v>
      </c>
    </row>
    <row r="8" spans="2:20" x14ac:dyDescent="0.25">
      <c r="B8" t="str">
        <f>+[3]P14_P15_T9!C15</f>
        <v>2 a 3 Salários Mín.</v>
      </c>
      <c r="C8">
        <f>+[3]P14_P15_T9!D15</f>
        <v>1809431</v>
      </c>
      <c r="D8">
        <f>+[3]P14_P15_T9!E15</f>
        <v>22966.987010980003</v>
      </c>
      <c r="E8">
        <f>+[3]P14_P15_T9!F15</f>
        <v>639.00436308999997</v>
      </c>
      <c r="F8">
        <f>+[3]P14_P15_T9!G15</f>
        <v>2217.1452284699999</v>
      </c>
      <c r="G8">
        <f>+[3]P14_P15_T9!H15</f>
        <v>371.79716855000004</v>
      </c>
      <c r="H8">
        <f>+[3]P14_P15_T9!I15</f>
        <v>341.44861624000004</v>
      </c>
      <c r="I8">
        <f>+[3]P14_P15_T9!J15</f>
        <v>43.067676570000003</v>
      </c>
      <c r="J8">
        <f>+[3]P14_P15_T9!K15</f>
        <v>91.372350900000001</v>
      </c>
      <c r="K8">
        <f>+[3]P14_P15_T9!L15</f>
        <v>8.8147386500000007</v>
      </c>
      <c r="L8">
        <f>+[3]P14_P15_T9!M15</f>
        <v>30.453190670000001</v>
      </c>
      <c r="M8">
        <f>+[3]P14_P15_T9!N15</f>
        <v>2903.57955773</v>
      </c>
      <c r="N8">
        <f>+[3]P14_P15_T9!O15</f>
        <v>19281.222829679999</v>
      </c>
      <c r="O8">
        <f>+[3]P14_P15_T9!P15</f>
        <v>0.98928494999999994</v>
      </c>
      <c r="P8">
        <f>+[3]P14_P15_T9!Q15</f>
        <v>87.997930709999991</v>
      </c>
      <c r="Q8">
        <f>+[3]P14_P15_T9!R15</f>
        <v>2.6563919999999998E-2</v>
      </c>
      <c r="R8">
        <f>+[3]P14_P15_T9!S15</f>
        <v>88.457094179999999</v>
      </c>
      <c r="S8">
        <f>+[3]P14_P15_T9!T15</f>
        <v>67073.922967880004</v>
      </c>
      <c r="T8">
        <f>+[3]P14_P15_T9!U15</f>
        <v>5990.5024480700004</v>
      </c>
    </row>
    <row r="9" spans="2:20" x14ac:dyDescent="0.25">
      <c r="B9" t="str">
        <f>+[3]P14_P15_T9!C16</f>
        <v>3 a 5 Salários Mín.</v>
      </c>
      <c r="C9">
        <f>+[3]P14_P15_T9!D16</f>
        <v>7406009</v>
      </c>
      <c r="D9">
        <f>+[3]P14_P15_T9!E16</f>
        <v>142890.24840982998</v>
      </c>
      <c r="E9">
        <f>+[3]P14_P15_T9!F16</f>
        <v>6547.3202614900001</v>
      </c>
      <c r="F9">
        <f>+[3]P14_P15_T9!G16</f>
        <v>11763.4663986</v>
      </c>
      <c r="G9">
        <f>+[3]P14_P15_T9!H16</f>
        <v>3847.7471466500001</v>
      </c>
      <c r="H9">
        <f>+[3]P14_P15_T9!I16</f>
        <v>4686.6491305500003</v>
      </c>
      <c r="I9">
        <f>+[3]P14_P15_T9!J16</f>
        <v>955.28019927999992</v>
      </c>
      <c r="J9">
        <f>+[3]P14_P15_T9!K16</f>
        <v>1728.4976747599999</v>
      </c>
      <c r="K9">
        <f>+[3]P14_P15_T9!L16</f>
        <v>133.55033865000001</v>
      </c>
      <c r="L9">
        <f>+[3]P14_P15_T9!M16</f>
        <v>435.64617390999996</v>
      </c>
      <c r="M9">
        <f>+[3]P14_P15_T9!N16</f>
        <v>19852.030870160001</v>
      </c>
      <c r="N9">
        <f>+[3]P14_P15_T9!O16</f>
        <v>111780.15296013</v>
      </c>
      <c r="O9">
        <f>+[3]P14_P15_T9!P16</f>
        <v>170.65536416</v>
      </c>
      <c r="P9">
        <f>+[3]P14_P15_T9!Q16</f>
        <v>813.61881199000004</v>
      </c>
      <c r="Q9">
        <f>+[3]P14_P15_T9!R16</f>
        <v>56.672390430000007</v>
      </c>
      <c r="R9">
        <f>+[3]P14_P15_T9!S16</f>
        <v>712.69406247999996</v>
      </c>
      <c r="S9">
        <f>+[3]P14_P15_T9!T16</f>
        <v>302698.90635422</v>
      </c>
      <c r="T9">
        <f>+[3]P14_P15_T9!U16</f>
        <v>47131.666798120001</v>
      </c>
    </row>
    <row r="10" spans="2:20" x14ac:dyDescent="0.25">
      <c r="B10" t="str">
        <f>+[3]P14_P15_T9!C17</f>
        <v>5 a 10 Salários Mín.</v>
      </c>
      <c r="C10">
        <f>+[3]P14_P15_T9!D17</f>
        <v>6429074</v>
      </c>
      <c r="D10">
        <f>+[3]P14_P15_T9!E17</f>
        <v>202625.58947846002</v>
      </c>
      <c r="E10">
        <f>+[3]P14_P15_T9!F17</f>
        <v>13523.848048569998</v>
      </c>
      <c r="F10">
        <f>+[3]P14_P15_T9!G17</f>
        <v>33275.417489680003</v>
      </c>
      <c r="G10">
        <f>+[3]P14_P15_T9!H17</f>
        <v>10536.28856879</v>
      </c>
      <c r="H10">
        <f>+[3]P14_P15_T9!I17</f>
        <v>10581.243141540001</v>
      </c>
      <c r="I10">
        <f>+[3]P14_P15_T9!J17</f>
        <v>5545.5580293900002</v>
      </c>
      <c r="J10">
        <f>+[3]P14_P15_T9!K17</f>
        <v>10386.154648299998</v>
      </c>
      <c r="K10">
        <f>+[3]P14_P15_T9!L17</f>
        <v>994.77033324000001</v>
      </c>
      <c r="L10">
        <f>+[3]P14_P15_T9!M17</f>
        <v>1939.27070675</v>
      </c>
      <c r="M10">
        <f>+[3]P14_P15_T9!N17</f>
        <v>18559.315264320001</v>
      </c>
      <c r="N10">
        <f>+[3]P14_P15_T9!O17</f>
        <v>144769.22400826</v>
      </c>
      <c r="O10">
        <f>+[3]P14_P15_T9!P17</f>
        <v>4134.2753716900006</v>
      </c>
      <c r="P10">
        <f>+[3]P14_P15_T9!Q17</f>
        <v>6131.16156563</v>
      </c>
      <c r="Q10">
        <f>+[3]P14_P15_T9!R17</f>
        <v>886.06259319000003</v>
      </c>
      <c r="R10">
        <f>+[3]P14_P15_T9!S17</f>
        <v>2958.4262745999999</v>
      </c>
      <c r="S10">
        <f>+[3]P14_P15_T9!T17</f>
        <v>447474.87454014999</v>
      </c>
      <c r="T10">
        <f>+[3]P14_P15_T9!U17</f>
        <v>45390.444531250003</v>
      </c>
    </row>
    <row r="11" spans="2:20" x14ac:dyDescent="0.25">
      <c r="B11" t="str">
        <f>+[3]P14_P15_T9!C18</f>
        <v>10 a 20 Salários Mín.</v>
      </c>
      <c r="C11">
        <f>+[3]P14_P15_T9!D18</f>
        <v>3160810</v>
      </c>
      <c r="D11">
        <f>+[3]P14_P15_T9!E18</f>
        <v>180659.83739691999</v>
      </c>
      <c r="E11">
        <f>+[3]P14_P15_T9!F18</f>
        <v>13965.8306261</v>
      </c>
      <c r="F11">
        <f>+[3]P14_P15_T9!G18</f>
        <v>48586.956884489991</v>
      </c>
      <c r="G11">
        <f>+[3]P14_P15_T9!H18</f>
        <v>9219.8259395999994</v>
      </c>
      <c r="H11">
        <f>+[3]P14_P15_T9!I18</f>
        <v>5404.8881561400003</v>
      </c>
      <c r="I11">
        <f>+[3]P14_P15_T9!J18</f>
        <v>4591.2203353999994</v>
      </c>
      <c r="J11">
        <f>+[3]P14_P15_T9!K18</f>
        <v>11340.992922469999</v>
      </c>
      <c r="K11">
        <f>+[3]P14_P15_T9!L18</f>
        <v>1878.2132896199998</v>
      </c>
      <c r="L11">
        <f>+[3]P14_P15_T9!M18</f>
        <v>2099.2787801300001</v>
      </c>
      <c r="M11">
        <f>+[3]P14_P15_T9!N18</f>
        <v>14436.477294620003</v>
      </c>
      <c r="N11">
        <f>+[3]P14_P15_T9!O18</f>
        <v>132025.78996888001</v>
      </c>
      <c r="O11">
        <f>+[3]P14_P15_T9!P18</f>
        <v>14450.759699</v>
      </c>
      <c r="P11">
        <f>+[3]P14_P15_T9!Q18</f>
        <v>15718.307007740001</v>
      </c>
      <c r="Q11">
        <f>+[3]P14_P15_T9!R18</f>
        <v>2155.55738354</v>
      </c>
      <c r="R11">
        <f>+[3]P14_P15_T9!S18</f>
        <v>3566.6401768300002</v>
      </c>
      <c r="S11">
        <f>+[3]P14_P15_T9!T18</f>
        <v>499068.42840890994</v>
      </c>
      <c r="T11">
        <f>+[3]P14_P15_T9!U18</f>
        <v>97132.168495140009</v>
      </c>
    </row>
    <row r="12" spans="2:20" x14ac:dyDescent="0.25">
      <c r="B12" t="str">
        <f>+[3]P14_P15_T9!C19</f>
        <v>20 a 40 Salários Mín.</v>
      </c>
      <c r="C12">
        <f>+[3]P14_P15_T9!D19</f>
        <v>1429716</v>
      </c>
      <c r="D12">
        <f>+[3]P14_P15_T9!E19</f>
        <v>146865.87593721002</v>
      </c>
      <c r="E12">
        <f>+[3]P14_P15_T9!F19</f>
        <v>14123.331992380001</v>
      </c>
      <c r="F12">
        <f>+[3]P14_P15_T9!G19</f>
        <v>58186.631947229995</v>
      </c>
      <c r="G12">
        <f>+[3]P14_P15_T9!H19</f>
        <v>9764.3236744100013</v>
      </c>
      <c r="H12">
        <f>+[3]P14_P15_T9!I19</f>
        <v>2488.5763711</v>
      </c>
      <c r="I12">
        <f>+[3]P14_P15_T9!J19</f>
        <v>2279.5695664200002</v>
      </c>
      <c r="J12">
        <f>+[3]P14_P15_T9!K19</f>
        <v>7966.2853392200004</v>
      </c>
      <c r="K12">
        <f>+[3]P14_P15_T9!L19</f>
        <v>2240.53597094</v>
      </c>
      <c r="L12">
        <f>+[3]P14_P15_T9!M19</f>
        <v>2232.1295664200002</v>
      </c>
      <c r="M12">
        <f>+[3]P14_P15_T9!N19</f>
        <v>4453.7622246099927</v>
      </c>
      <c r="N12">
        <f>+[3]P14_P15_T9!O19</f>
        <v>116080.51340579</v>
      </c>
      <c r="O12">
        <f>+[3]P14_P15_T9!P19</f>
        <v>21810.967749399999</v>
      </c>
      <c r="P12">
        <f>+[3]P14_P15_T9!Q19</f>
        <v>21251.063055210001</v>
      </c>
      <c r="Q12">
        <f>+[3]P14_P15_T9!R19</f>
        <v>2373.6796697700001</v>
      </c>
      <c r="R12">
        <f>+[3]P14_P15_T9!S19</f>
        <v>1965.1266486099998</v>
      </c>
      <c r="S12">
        <f>+[3]P14_P15_T9!T19</f>
        <v>503163.49136026995</v>
      </c>
      <c r="T12">
        <f>+[3]P14_P15_T9!U19</f>
        <v>41573.237286589996</v>
      </c>
    </row>
    <row r="13" spans="2:20" x14ac:dyDescent="0.25">
      <c r="B13" t="str">
        <f>+[3]P14_P15_T9!C20</f>
        <v>40 a 80 Salários Mín.</v>
      </c>
      <c r="C13">
        <f>+[3]P14_P15_T9!D20</f>
        <v>539949</v>
      </c>
      <c r="D13">
        <f>+[3]P14_P15_T9!E20</f>
        <v>91458.897846229986</v>
      </c>
      <c r="E13">
        <f>+[3]P14_P15_T9!F20</f>
        <v>12380.127280040002</v>
      </c>
      <c r="F13">
        <f>+[3]P14_P15_T9!G20</f>
        <v>56960.704833470001</v>
      </c>
      <c r="G13">
        <f>+[3]P14_P15_T9!H20</f>
        <v>6579.3973677799995</v>
      </c>
      <c r="H13">
        <f>+[3]P14_P15_T9!I20</f>
        <v>900.20253008000009</v>
      </c>
      <c r="I13">
        <f>+[3]P14_P15_T9!J20</f>
        <v>804.68904712999995</v>
      </c>
      <c r="J13">
        <f>+[3]P14_P15_T9!K20</f>
        <v>3984.1108357500002</v>
      </c>
      <c r="K13">
        <f>+[3]P14_P15_T9!L20</f>
        <v>1828.83998509</v>
      </c>
      <c r="L13">
        <f>+[3]P14_P15_T9!M20</f>
        <v>1408.8990235799999</v>
      </c>
      <c r="M13">
        <f>+[3]P14_P15_T9!N20</f>
        <v>1148.4825715200041</v>
      </c>
      <c r="N13">
        <f>+[3]P14_P15_T9!O20</f>
        <v>75266.758218389994</v>
      </c>
      <c r="O13">
        <f>+[3]P14_P15_T9!P20</f>
        <v>16916.60387771</v>
      </c>
      <c r="P13">
        <f>+[3]P14_P15_T9!Q20</f>
        <v>15908.555642279998</v>
      </c>
      <c r="Q13">
        <f>+[3]P14_P15_T9!R20</f>
        <v>1737.33251354</v>
      </c>
      <c r="R13">
        <f>+[3]P14_P15_T9!S20</f>
        <v>895.66422956999997</v>
      </c>
      <c r="S13">
        <f>+[3]P14_P15_T9!T20</f>
        <v>427333.33444119996</v>
      </c>
      <c r="T13">
        <f>+[3]P14_P15_T9!U20</f>
        <v>30785.20048032</v>
      </c>
    </row>
    <row r="14" spans="2:20" x14ac:dyDescent="0.25">
      <c r="B14" t="str">
        <f>+[3]P14_P15_T9!C21</f>
        <v>80 a 160 Salários Mín.</v>
      </c>
      <c r="C14">
        <f>+[3]P14_P15_T9!D21</f>
        <v>134233</v>
      </c>
      <c r="D14">
        <f>+[3]P14_P15_T9!E21</f>
        <v>29645.166874439998</v>
      </c>
      <c r="E14">
        <f>+[3]P14_P15_T9!F21</f>
        <v>8094.1374975399995</v>
      </c>
      <c r="F14">
        <f>+[3]P14_P15_T9!G21</f>
        <v>42018.570894029996</v>
      </c>
      <c r="G14">
        <f>+[3]P14_P15_T9!H21</f>
        <v>1564.3897209500001</v>
      </c>
      <c r="H14">
        <f>+[3]P14_P15_T9!I21</f>
        <v>194.7444064</v>
      </c>
      <c r="I14">
        <f>+[3]P14_P15_T9!J21</f>
        <v>167.53934465</v>
      </c>
      <c r="J14">
        <f>+[3]P14_P15_T9!K21</f>
        <v>1039.2083682100001</v>
      </c>
      <c r="K14">
        <f>+[3]P14_P15_T9!L21</f>
        <v>799.45196724000004</v>
      </c>
      <c r="L14">
        <f>+[3]P14_P15_T9!M21</f>
        <v>378.72592742</v>
      </c>
      <c r="M14">
        <f>+[3]P14_P15_T9!N21</f>
        <v>353.77464204999978</v>
      </c>
      <c r="N14">
        <f>+[3]P14_P15_T9!O21</f>
        <v>25276.12510569</v>
      </c>
      <c r="O14">
        <f>+[3]P14_P15_T9!P21</f>
        <v>6058.3535675799994</v>
      </c>
      <c r="P14">
        <f>+[3]P14_P15_T9!Q21</f>
        <v>5425.3408564299998</v>
      </c>
      <c r="Q14">
        <f>+[3]P14_P15_T9!R21</f>
        <v>759.31274243999997</v>
      </c>
      <c r="R14">
        <f>+[3]P14_P15_T9!S21</f>
        <v>277.09708296000002</v>
      </c>
      <c r="S14">
        <f>+[3]P14_P15_T9!T21</f>
        <v>258703.96956726999</v>
      </c>
      <c r="T14">
        <f>+[3]P14_P15_T9!U21</f>
        <v>13118.50297408</v>
      </c>
    </row>
    <row r="15" spans="2:20" x14ac:dyDescent="0.25">
      <c r="B15" t="str">
        <f>+[3]P14_P15_T9!C22</f>
        <v>&gt; 160 Salários Mín.</v>
      </c>
      <c r="C15">
        <f>+[3]P14_P15_T9!D22</f>
        <v>64646</v>
      </c>
      <c r="D15">
        <f>+[3]P14_P15_T9!E22</f>
        <v>26908.905869390001</v>
      </c>
      <c r="E15">
        <f>+[3]P14_P15_T9!F22</f>
        <v>41500.85458562</v>
      </c>
      <c r="F15">
        <f>+[3]P14_P15_T9!G22</f>
        <v>123103.77664910999</v>
      </c>
      <c r="G15">
        <f>+[3]P14_P15_T9!H22</f>
        <v>765.89005184999996</v>
      </c>
      <c r="H15">
        <f>+[3]P14_P15_T9!I22</f>
        <v>86.630745599999997</v>
      </c>
      <c r="I15">
        <f>+[3]P14_P15_T9!J22</f>
        <v>70.258892680000002</v>
      </c>
      <c r="J15">
        <f>+[3]P14_P15_T9!K22</f>
        <v>586.70370336999997</v>
      </c>
      <c r="K15">
        <f>+[3]P14_P15_T9!L22</f>
        <v>2872.6687234400001</v>
      </c>
      <c r="L15">
        <f>+[3]P14_P15_T9!M22</f>
        <v>259.96787632000002</v>
      </c>
      <c r="M15">
        <f>+[3]P14_P15_T9!N22</f>
        <v>188.8457310900003</v>
      </c>
      <c r="N15">
        <f>+[3]P14_P15_T9!O22</f>
        <v>22202.793398539998</v>
      </c>
      <c r="O15">
        <f>+[3]P14_P15_T9!P22</f>
        <v>5682.6505883200007</v>
      </c>
      <c r="P15">
        <f>+[3]P14_P15_T9!Q22</f>
        <v>4815.03227023</v>
      </c>
      <c r="Q15">
        <f>+[3]P14_P15_T9!R22</f>
        <v>950.62332872000002</v>
      </c>
      <c r="R15">
        <f>+[3]P14_P15_T9!S22</f>
        <v>170.39586346999999</v>
      </c>
      <c r="S15">
        <f>+[3]P14_P15_T9!T22</f>
        <v>739289.35289350001</v>
      </c>
      <c r="T15">
        <f>+[3]P14_P15_T9!U22</f>
        <v>30594.815306249999</v>
      </c>
    </row>
    <row r="16" spans="2:20" x14ac:dyDescent="0.25">
      <c r="B16" t="str">
        <f>+[3]P14_P15_T9!C23</f>
        <v xml:space="preserve">    Total</v>
      </c>
      <c r="C16">
        <f>+[3]P14_P15_T9!D23</f>
        <v>24383614</v>
      </c>
      <c r="D16">
        <f>+[3]P14_P15_T9!E23</f>
        <v>854307.62822770001</v>
      </c>
      <c r="E16">
        <f>+[3]P14_P15_T9!F23</f>
        <v>111102.92526413</v>
      </c>
      <c r="F16">
        <f>+[3]P14_P15_T9!G23</f>
        <v>377483.56854335999</v>
      </c>
      <c r="G16">
        <f>+[3]P14_P15_T9!H23</f>
        <v>42975.20026071</v>
      </c>
      <c r="H16">
        <f>+[3]P14_P15_T9!I23</f>
        <v>25035.068871080002</v>
      </c>
      <c r="I16">
        <f>+[3]P14_P15_T9!J23</f>
        <v>14487.302397839998</v>
      </c>
      <c r="J16">
        <f>+[3]P14_P15_T9!K23</f>
        <v>37206.5184477</v>
      </c>
      <c r="K16">
        <f>+[3]P14_P15_T9!L23</f>
        <v>10758.75716345</v>
      </c>
      <c r="L16">
        <f>+[3]P14_P15_T9!M23</f>
        <v>8801.2242436700017</v>
      </c>
      <c r="M16">
        <f>+[3]P14_P15_T9!N23</f>
        <v>63219.002095069998</v>
      </c>
      <c r="N16">
        <f>+[3]P14_P15_T9!O23</f>
        <v>655226.76048669987</v>
      </c>
      <c r="O16">
        <f>+[3]P14_P15_T9!P23</f>
        <v>69225.866572169994</v>
      </c>
      <c r="P16">
        <f>+[3]P14_P15_T9!Q23</f>
        <v>70232.676758799993</v>
      </c>
      <c r="Q16">
        <f>+[3]P14_P15_T9!R23</f>
        <v>8919.3360907200004</v>
      </c>
      <c r="R16">
        <f>+[3]P14_P15_T9!S23</f>
        <v>10716.451390989998</v>
      </c>
      <c r="S16">
        <f>+[3]P14_P15_T9!T23</f>
        <v>3352961.82733538</v>
      </c>
      <c r="T16">
        <f>+[3]P14_P15_T9!U23</f>
        <v>319774.87299027003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465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284.33711387</v>
      </c>
      <c r="D26" s="1">
        <f t="shared" ref="D26:D37" si="2">+O5</f>
        <v>0.30056587000000001</v>
      </c>
      <c r="E26">
        <f t="shared" ref="E26:E37" si="3">+C5</f>
        <v>1801664</v>
      </c>
      <c r="F26" s="2">
        <f>+D26/C26</f>
        <v>1.0570757573962711E-3</v>
      </c>
      <c r="G26" s="1">
        <f t="shared" ref="G26:G37" si="4">+C26*$H$25</f>
        <v>132216.75794955</v>
      </c>
      <c r="I26">
        <f>+C26*1000000/$H$25</f>
        <v>611477.66423655918</v>
      </c>
      <c r="J26">
        <f>+I26/E26</f>
        <v>0.33939606066200978</v>
      </c>
      <c r="K26">
        <f>+J26/12</f>
        <v>2.8283005055167482E-2</v>
      </c>
      <c r="N26">
        <f>+C26*1000000/E26</f>
        <v>157.81916820783454</v>
      </c>
      <c r="O26" s="3">
        <f>+F26</f>
        <v>1.0570757573962711E-3</v>
      </c>
    </row>
    <row r="27" spans="2:15" x14ac:dyDescent="0.25">
      <c r="B27" t="str">
        <f t="shared" si="0"/>
        <v>1/2 a 1 Salário Mín.</v>
      </c>
      <c r="C27" s="1">
        <f t="shared" si="1"/>
        <v>2722.6666578000004</v>
      </c>
      <c r="D27" s="1">
        <f t="shared" si="2"/>
        <v>7.624083999999999E-2</v>
      </c>
      <c r="E27">
        <f t="shared" si="3"/>
        <v>538508</v>
      </c>
      <c r="F27" s="2">
        <f t="shared" ref="F27:F37" si="5">+D27/C27</f>
        <v>2.8002267476109238E-5</v>
      </c>
      <c r="G27" s="1">
        <f t="shared" si="4"/>
        <v>1266039.9958770003</v>
      </c>
      <c r="I27">
        <f t="shared" ref="I27:I37" si="6">+C27*1000000/$H$25</f>
        <v>5855197.1135483878</v>
      </c>
      <c r="J27">
        <f t="shared" ref="J27:J37" si="7">+I27/E27</f>
        <v>10.872999312077793</v>
      </c>
      <c r="K27">
        <f t="shared" ref="K27:K37" si="8">+J27/12</f>
        <v>0.90608327600648275</v>
      </c>
      <c r="N27">
        <f t="shared" ref="N27:N37" si="9">+C27*1000000/E27</f>
        <v>5055.944680116173</v>
      </c>
      <c r="O27" s="3">
        <f t="shared" ref="O27:O37" si="10">+F27</f>
        <v>2.8002267476109238E-5</v>
      </c>
    </row>
    <row r="28" spans="2:15" x14ac:dyDescent="0.25">
      <c r="B28" t="str">
        <f t="shared" si="0"/>
        <v>1 a 2 Salários Mín.</v>
      </c>
      <c r="C28" s="1">
        <f t="shared" si="1"/>
        <v>8976.572643569998</v>
      </c>
      <c r="D28" s="1">
        <f t="shared" si="2"/>
        <v>0.23426264999999999</v>
      </c>
      <c r="E28">
        <f t="shared" si="3"/>
        <v>1069574</v>
      </c>
      <c r="F28" s="2">
        <f t="shared" si="5"/>
        <v>2.6097115157621379E-5</v>
      </c>
      <c r="G28" s="1">
        <f t="shared" si="4"/>
        <v>4174106.2792600491</v>
      </c>
      <c r="I28">
        <f t="shared" si="6"/>
        <v>19304457.297999997</v>
      </c>
      <c r="J28">
        <f t="shared" si="7"/>
        <v>18.048734634536739</v>
      </c>
      <c r="K28">
        <f t="shared" si="8"/>
        <v>1.5040612195447283</v>
      </c>
      <c r="N28">
        <f t="shared" si="9"/>
        <v>8392.6616050595821</v>
      </c>
      <c r="O28" s="3">
        <f t="shared" si="10"/>
        <v>2.6097115157621379E-5</v>
      </c>
    </row>
    <row r="29" spans="2:15" x14ac:dyDescent="0.25">
      <c r="B29" t="str">
        <f t="shared" si="0"/>
        <v>2 a 3 Salários Mín.</v>
      </c>
      <c r="C29" s="1">
        <f t="shared" si="1"/>
        <v>25814.321863890003</v>
      </c>
      <c r="D29" s="1">
        <f t="shared" si="2"/>
        <v>0.98928494999999994</v>
      </c>
      <c r="E29">
        <f t="shared" si="3"/>
        <v>1809431</v>
      </c>
      <c r="F29" s="2">
        <f t="shared" si="5"/>
        <v>3.8323104330075279E-5</v>
      </c>
      <c r="G29" s="1">
        <f t="shared" si="4"/>
        <v>12003659.666708851</v>
      </c>
      <c r="I29">
        <f t="shared" si="6"/>
        <v>55514670.675032265</v>
      </c>
      <c r="J29">
        <f t="shared" si="7"/>
        <v>30.680733708570411</v>
      </c>
      <c r="K29">
        <f t="shared" si="8"/>
        <v>2.5567278090475343</v>
      </c>
      <c r="N29">
        <f t="shared" si="9"/>
        <v>14266.541174485241</v>
      </c>
      <c r="O29" s="3">
        <f t="shared" si="10"/>
        <v>3.8323104330075279E-5</v>
      </c>
    </row>
    <row r="30" spans="2:15" x14ac:dyDescent="0.25">
      <c r="B30" t="str">
        <f t="shared" si="0"/>
        <v>3 a 5 Salários Mín.</v>
      </c>
      <c r="C30" s="1">
        <f t="shared" si="1"/>
        <v>161067.48473126997</v>
      </c>
      <c r="D30" s="1">
        <f t="shared" si="2"/>
        <v>170.65536416</v>
      </c>
      <c r="E30">
        <f t="shared" si="3"/>
        <v>7406009</v>
      </c>
      <c r="F30" s="2">
        <f t="shared" si="5"/>
        <v>1.059527094774757E-3</v>
      </c>
      <c r="G30" s="1">
        <f t="shared" si="4"/>
        <v>74896380.400040537</v>
      </c>
      <c r="I30">
        <f t="shared" si="6"/>
        <v>346381687.59412897</v>
      </c>
      <c r="J30">
        <f t="shared" si="7"/>
        <v>46.770357367122962</v>
      </c>
      <c r="K30">
        <f t="shared" si="8"/>
        <v>3.89752978059358</v>
      </c>
      <c r="N30">
        <f t="shared" si="9"/>
        <v>21748.216175712176</v>
      </c>
      <c r="O30" s="3">
        <f t="shared" si="10"/>
        <v>1.059527094774757E-3</v>
      </c>
    </row>
    <row r="31" spans="2:15" x14ac:dyDescent="0.25">
      <c r="B31" t="str">
        <f t="shared" si="0"/>
        <v>5 a 10 Salários Mín.</v>
      </c>
      <c r="C31" s="1">
        <f t="shared" si="1"/>
        <v>248430.08468346999</v>
      </c>
      <c r="D31" s="1">
        <f t="shared" si="2"/>
        <v>4134.2753716900006</v>
      </c>
      <c r="E31">
        <f t="shared" si="3"/>
        <v>6429074</v>
      </c>
      <c r="F31" s="2">
        <f t="shared" si="5"/>
        <v>1.6641605129900303E-2</v>
      </c>
      <c r="G31" s="1">
        <f t="shared" si="4"/>
        <v>115519989.37781355</v>
      </c>
      <c r="I31">
        <f t="shared" si="6"/>
        <v>534258246.6311183</v>
      </c>
      <c r="J31">
        <f t="shared" si="7"/>
        <v>83.10034176478888</v>
      </c>
      <c r="K31">
        <f t="shared" si="8"/>
        <v>6.9250284803990736</v>
      </c>
      <c r="N31">
        <f t="shared" si="9"/>
        <v>38641.658920626825</v>
      </c>
      <c r="O31" s="3">
        <f t="shared" si="10"/>
        <v>1.6641605129900303E-2</v>
      </c>
    </row>
    <row r="32" spans="2:15" x14ac:dyDescent="0.25">
      <c r="B32" t="str">
        <f t="shared" si="0"/>
        <v>10 a 20 Salários Mín.</v>
      </c>
      <c r="C32" s="1">
        <f t="shared" si="1"/>
        <v>241334.41161789</v>
      </c>
      <c r="D32" s="1">
        <f t="shared" si="2"/>
        <v>14450.759699</v>
      </c>
      <c r="E32">
        <f t="shared" si="3"/>
        <v>3160810</v>
      </c>
      <c r="F32" s="2">
        <f t="shared" si="5"/>
        <v>5.9878570992520537E-2</v>
      </c>
      <c r="G32" s="1">
        <f t="shared" si="4"/>
        <v>112220501.40231885</v>
      </c>
      <c r="I32">
        <f t="shared" si="6"/>
        <v>518998734.66212904</v>
      </c>
      <c r="J32">
        <f t="shared" si="7"/>
        <v>164.19801717348687</v>
      </c>
      <c r="K32">
        <f t="shared" si="8"/>
        <v>13.683168097790572</v>
      </c>
      <c r="N32">
        <f t="shared" si="9"/>
        <v>76352.077985671393</v>
      </c>
      <c r="O32" s="3">
        <f t="shared" si="10"/>
        <v>5.9878570992520537E-2</v>
      </c>
    </row>
    <row r="33" spans="2:15" x14ac:dyDescent="0.25">
      <c r="B33" t="str">
        <f t="shared" si="0"/>
        <v>20 a 40 Salários Mín.</v>
      </c>
      <c r="C33" s="1">
        <f t="shared" si="1"/>
        <v>216935.30390588002</v>
      </c>
      <c r="D33" s="1">
        <f t="shared" si="2"/>
        <v>21810.967749399999</v>
      </c>
      <c r="E33">
        <f t="shared" si="3"/>
        <v>1429716</v>
      </c>
      <c r="F33" s="2">
        <f t="shared" si="5"/>
        <v>0.100541347381904</v>
      </c>
      <c r="G33" s="1">
        <f t="shared" si="4"/>
        <v>100874916.31623422</v>
      </c>
      <c r="I33">
        <f t="shared" si="6"/>
        <v>466527535.28146243</v>
      </c>
      <c r="J33">
        <f t="shared" si="7"/>
        <v>326.30783685813299</v>
      </c>
      <c r="K33">
        <f t="shared" si="8"/>
        <v>27.192319738177748</v>
      </c>
      <c r="N33">
        <f t="shared" si="9"/>
        <v>151733.14413903182</v>
      </c>
      <c r="O33" s="3">
        <f t="shared" si="10"/>
        <v>0.100541347381904</v>
      </c>
    </row>
    <row r="34" spans="2:15" x14ac:dyDescent="0.25">
      <c r="B34" t="str">
        <f t="shared" si="0"/>
        <v>40 a 80 Salários Mín.</v>
      </c>
      <c r="C34" s="1">
        <f t="shared" si="1"/>
        <v>158970.88997465</v>
      </c>
      <c r="D34" s="1">
        <f t="shared" si="2"/>
        <v>16916.60387771</v>
      </c>
      <c r="E34">
        <f t="shared" si="3"/>
        <v>539949</v>
      </c>
      <c r="F34" s="2">
        <f t="shared" si="5"/>
        <v>0.10641321741614189</v>
      </c>
      <c r="G34" s="1">
        <f t="shared" si="4"/>
        <v>73921463.838212252</v>
      </c>
      <c r="I34">
        <f t="shared" si="6"/>
        <v>341872881.66591394</v>
      </c>
      <c r="J34">
        <f t="shared" si="7"/>
        <v>633.15772724074668</v>
      </c>
      <c r="K34">
        <f t="shared" si="8"/>
        <v>52.763143936728888</v>
      </c>
      <c r="N34">
        <f t="shared" si="9"/>
        <v>294418.34316694725</v>
      </c>
      <c r="O34" s="3">
        <f t="shared" si="10"/>
        <v>0.10641321741614189</v>
      </c>
    </row>
    <row r="35" spans="2:15" x14ac:dyDescent="0.25">
      <c r="B35" t="str">
        <f t="shared" si="0"/>
        <v>80 a 160 Salários Mín.</v>
      </c>
      <c r="C35" s="1">
        <f t="shared" si="1"/>
        <v>78958.423298769994</v>
      </c>
      <c r="D35" s="1">
        <f t="shared" si="2"/>
        <v>6058.3535675799994</v>
      </c>
      <c r="E35">
        <f t="shared" si="3"/>
        <v>134233</v>
      </c>
      <c r="F35" s="2">
        <f t="shared" si="5"/>
        <v>7.6728401030196056E-2</v>
      </c>
      <c r="G35" s="1">
        <f t="shared" si="4"/>
        <v>36715666.833928049</v>
      </c>
      <c r="I35">
        <f t="shared" si="6"/>
        <v>169803060.85756987</v>
      </c>
      <c r="J35">
        <f t="shared" si="7"/>
        <v>1264.9874535886845</v>
      </c>
      <c r="K35">
        <f t="shared" si="8"/>
        <v>105.41562113239037</v>
      </c>
      <c r="N35">
        <f t="shared" si="9"/>
        <v>588219.16591873823</v>
      </c>
      <c r="O35" s="3">
        <f t="shared" si="10"/>
        <v>7.6728401030196056E-2</v>
      </c>
    </row>
    <row r="36" spans="2:15" x14ac:dyDescent="0.25">
      <c r="B36" t="str">
        <f t="shared" si="0"/>
        <v>&gt; 160 Salários Mín.</v>
      </c>
      <c r="C36" s="1">
        <f t="shared" si="1"/>
        <v>188640.86838067998</v>
      </c>
      <c r="D36" s="1">
        <f t="shared" si="2"/>
        <v>5682.6505883200007</v>
      </c>
      <c r="E36">
        <f t="shared" si="3"/>
        <v>64646</v>
      </c>
      <c r="F36" s="2">
        <f t="shared" si="5"/>
        <v>3.0124175302524214E-2</v>
      </c>
      <c r="G36" s="1">
        <f t="shared" si="4"/>
        <v>87718003.797016189</v>
      </c>
      <c r="I36">
        <f t="shared" si="6"/>
        <v>405679286.84017205</v>
      </c>
      <c r="J36">
        <f t="shared" si="7"/>
        <v>6275.3965727217783</v>
      </c>
      <c r="K36">
        <f t="shared" si="8"/>
        <v>522.94971439348149</v>
      </c>
      <c r="N36">
        <f t="shared" si="9"/>
        <v>2918059.4063156266</v>
      </c>
      <c r="O36" s="3">
        <f t="shared" si="10"/>
        <v>3.0124175302524214E-2</v>
      </c>
    </row>
    <row r="37" spans="2:15" x14ac:dyDescent="0.25">
      <c r="B37" t="str">
        <f t="shared" si="0"/>
        <v xml:space="preserve">    Total</v>
      </c>
      <c r="C37" s="1">
        <f t="shared" si="1"/>
        <v>1332135.3648717401</v>
      </c>
      <c r="D37" s="1">
        <f t="shared" si="2"/>
        <v>69225.866572169994</v>
      </c>
      <c r="E37">
        <f t="shared" si="3"/>
        <v>24383614</v>
      </c>
      <c r="F37" s="2">
        <f t="shared" si="5"/>
        <v>5.1966090232005185E-2</v>
      </c>
      <c r="G37" s="1">
        <f t="shared" si="4"/>
        <v>619442944.66535914</v>
      </c>
      <c r="I37">
        <f t="shared" si="6"/>
        <v>2864807236.2833118</v>
      </c>
      <c r="J37">
        <f t="shared" si="7"/>
        <v>117.48903326157115</v>
      </c>
      <c r="K37">
        <f t="shared" si="8"/>
        <v>9.790752771797596</v>
      </c>
      <c r="N37">
        <f t="shared" si="9"/>
        <v>54632.400466630585</v>
      </c>
      <c r="O37" s="3">
        <f t="shared" si="10"/>
        <v>5.1966090232005185E-2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T37"/>
  <sheetViews>
    <sheetView topLeftCell="A10" workbookViewId="0">
      <selection activeCell="N25" sqref="N25:O37"/>
    </sheetView>
  </sheetViews>
  <sheetFormatPr baseColWidth="10" defaultColWidth="8.85546875" defaultRowHeight="15" x14ac:dyDescent="0.25"/>
  <sheetData>
    <row r="2" spans="2:20" x14ac:dyDescent="0.25">
      <c r="B2" t="str">
        <f>+[4]P14_P15_T9!C9</f>
        <v>Tabela 9 - Resumo das Declarações Por Faixa de Rendimentos Totais</v>
      </c>
      <c r="C2">
        <f>+[4]P14_P15_T9!D9</f>
        <v>0</v>
      </c>
      <c r="D2">
        <f>+[4]P14_P15_T9!E9</f>
        <v>0</v>
      </c>
      <c r="E2">
        <f>+[4]P14_P15_T9!F9</f>
        <v>0</v>
      </c>
      <c r="F2">
        <f>+[4]P14_P15_T9!G9</f>
        <v>0</v>
      </c>
      <c r="G2">
        <f>+[4]P14_P15_T9!H9</f>
        <v>0</v>
      </c>
      <c r="H2">
        <f>+[4]P14_P15_T9!I9</f>
        <v>0</v>
      </c>
      <c r="I2">
        <f>+[4]P14_P15_T9!J9</f>
        <v>0</v>
      </c>
      <c r="J2">
        <f>+[4]P14_P15_T9!K9</f>
        <v>0</v>
      </c>
      <c r="K2">
        <f>+[4]P14_P15_T9!L9</f>
        <v>0</v>
      </c>
      <c r="L2">
        <f>+[4]P14_P15_T9!M9</f>
        <v>0</v>
      </c>
      <c r="M2">
        <f>+[4]P14_P15_T9!N9</f>
        <v>0</v>
      </c>
      <c r="N2">
        <f>+[4]P14_P15_T9!O9</f>
        <v>0</v>
      </c>
      <c r="O2">
        <f>+[4]P14_P15_T9!P9</f>
        <v>0</v>
      </c>
      <c r="P2">
        <f>+[4]P14_P15_T9!Q9</f>
        <v>0</v>
      </c>
      <c r="Q2">
        <f>+[4]P14_P15_T9!R9</f>
        <v>0</v>
      </c>
      <c r="R2">
        <f>+[4]P14_P15_T9!S9</f>
        <v>0</v>
      </c>
      <c r="S2">
        <f>+[4]P14_P15_T9!T9</f>
        <v>0</v>
      </c>
      <c r="T2" t="str">
        <f>+[4]P14_P15_T9!U9</f>
        <v>Valores R$ milhões</v>
      </c>
    </row>
    <row r="3" spans="2:20" x14ac:dyDescent="0.25">
      <c r="B3" t="str">
        <f>+[4]P14_P15_T9!C10</f>
        <v>Faixa de Rendimento Total</v>
      </c>
      <c r="C3" t="str">
        <f>+[4]P14_P15_T9!D10</f>
        <v>Qtde Declarantes</v>
      </c>
      <c r="D3" t="str">
        <f>+[4]P14_P15_T9!E10</f>
        <v>Rendim. Tribut.</v>
      </c>
      <c r="E3" t="str">
        <f>+[4]P14_P15_T9!F10</f>
        <v>Rendim. Tribut. Exclus.</v>
      </c>
      <c r="F3" t="str">
        <f>+[4]P14_P15_T9!G10</f>
        <v>Rendim. Isentos</v>
      </c>
      <c r="G3" t="str">
        <f>+[4]P14_P15_T9!H10</f>
        <v>DEDUÇÕES</v>
      </c>
      <c r="H3">
        <f>+[4]P14_P15_T9!I10</f>
        <v>0</v>
      </c>
      <c r="I3">
        <f>+[4]P14_P15_T9!J10</f>
        <v>0</v>
      </c>
      <c r="J3">
        <f>+[4]P14_P15_T9!K10</f>
        <v>0</v>
      </c>
      <c r="K3">
        <f>+[4]P14_P15_T9!L10</f>
        <v>0</v>
      </c>
      <c r="L3">
        <f>+[4]P14_P15_T9!M10</f>
        <v>0</v>
      </c>
      <c r="M3">
        <f>+[4]P14_P15_T9!N10</f>
        <v>0</v>
      </c>
      <c r="N3" t="str">
        <f>+[4]P14_P15_T9!O10</f>
        <v>Base de Cálculo (RTL)</v>
      </c>
      <c r="O3" t="str">
        <f>+[4]P14_P15_T9!P10</f>
        <v>Imposto Devido</v>
      </c>
      <c r="P3" t="str">
        <f>+[4]P14_P15_T9!Q10</f>
        <v>Imposto Pago</v>
      </c>
      <c r="Q3" t="str">
        <f>+[4]P14_P15_T9!R10</f>
        <v>Imposto a Pagar</v>
      </c>
      <c r="R3" t="str">
        <f>+[4]P14_P15_T9!S10</f>
        <v>Imposto a Restituir</v>
      </c>
      <c r="S3" t="str">
        <f>+[4]P14_P15_T9!T10</f>
        <v>Bens e Direitos</v>
      </c>
      <c r="T3" t="str">
        <f>+[4]P14_P15_T9!U10</f>
        <v>Dívidas e Ônus</v>
      </c>
    </row>
    <row r="4" spans="2:20" x14ac:dyDescent="0.25">
      <c r="B4">
        <f>+[4]P14_P15_T9!C11</f>
        <v>0</v>
      </c>
      <c r="C4">
        <f>+[4]P14_P15_T9!D11</f>
        <v>0</v>
      </c>
      <c r="D4">
        <f>+[4]P14_P15_T9!E11</f>
        <v>0</v>
      </c>
      <c r="E4">
        <f>+[4]P14_P15_T9!F11</f>
        <v>0</v>
      </c>
      <c r="F4">
        <f>+[4]P14_P15_T9!G11</f>
        <v>0</v>
      </c>
      <c r="G4" t="str">
        <f>+[4]P14_P15_T9!H11</f>
        <v>Contrib. Previden.</v>
      </c>
      <c r="H4" t="str">
        <f>+[4]P14_P15_T9!I11</f>
        <v>Dependentes</v>
      </c>
      <c r="I4" t="str">
        <f>+[4]P14_P15_T9!J11</f>
        <v>Instrução</v>
      </c>
      <c r="J4" t="str">
        <f>+[4]P14_P15_T9!K11</f>
        <v>Médicas</v>
      </c>
      <c r="K4" t="str">
        <f>+[4]P14_P15_T9!L11</f>
        <v>Livro Caixa</v>
      </c>
      <c r="L4" t="str">
        <f>+[4]P14_P15_T9!M11</f>
        <v>Pensão Aliment.</v>
      </c>
      <c r="M4" t="str">
        <f>+[4]P14_P15_T9!N11</f>
        <v>Desc. Padrão</v>
      </c>
      <c r="N4">
        <f>+[4]P14_P15_T9!O11</f>
        <v>0</v>
      </c>
      <c r="O4">
        <f>+[4]P14_P15_T9!P11</f>
        <v>0</v>
      </c>
      <c r="P4">
        <f>+[4]P14_P15_T9!Q11</f>
        <v>0</v>
      </c>
      <c r="Q4">
        <f>+[4]P14_P15_T9!R11</f>
        <v>0</v>
      </c>
      <c r="R4">
        <f>+[4]P14_P15_T9!S11</f>
        <v>0</v>
      </c>
      <c r="S4">
        <f>+[4]P14_P15_T9!T11</f>
        <v>0</v>
      </c>
      <c r="T4">
        <f>+[4]P14_P15_T9!U11</f>
        <v>0</v>
      </c>
    </row>
    <row r="5" spans="2:20" x14ac:dyDescent="0.25">
      <c r="B5" t="str">
        <f>+[4]P14_P15_T9!C12</f>
        <v>Até 1/2 Salário Mín.</v>
      </c>
      <c r="C5">
        <f>+[4]P14_P15_T9!D12</f>
        <v>1483437</v>
      </c>
      <c r="D5">
        <f>+[4]P14_P15_T9!E12</f>
        <v>169.85338196999999</v>
      </c>
      <c r="E5">
        <f>+[4]P14_P15_T9!F12</f>
        <v>21.228571760000001</v>
      </c>
      <c r="F5">
        <f>+[4]P14_P15_T9!G12</f>
        <v>47.628852240000001</v>
      </c>
      <c r="G5">
        <f>+[4]P14_P15_T9!H12</f>
        <v>32.545420790000001</v>
      </c>
      <c r="H5">
        <f>+[4]P14_P15_T9!I12</f>
        <v>119.08970423999999</v>
      </c>
      <c r="I5">
        <f>+[4]P14_P15_T9!J12</f>
        <v>6.8728539299999998</v>
      </c>
      <c r="J5">
        <f>+[4]P14_P15_T9!K12</f>
        <v>21.799696469999997</v>
      </c>
      <c r="K5">
        <f>+[4]P14_P15_T9!L12</f>
        <v>2.5641859999999999E-2</v>
      </c>
      <c r="L5">
        <f>+[4]P14_P15_T9!M12</f>
        <v>7.3783245599999994</v>
      </c>
      <c r="M5">
        <f>+[4]P14_P15_T9!N12</f>
        <v>17.739225430000033</v>
      </c>
      <c r="N5">
        <f>+[4]P14_P15_T9!O12</f>
        <v>139.86036243000001</v>
      </c>
      <c r="O5">
        <f>+[4]P14_P15_T9!P12</f>
        <v>1.00673E-3</v>
      </c>
      <c r="P5">
        <f>+[4]P14_P15_T9!Q12</f>
        <v>16.626936780000001</v>
      </c>
      <c r="Q5">
        <f>+[4]P14_P15_T9!R12</f>
        <v>2.5320000000000002E-5</v>
      </c>
      <c r="R5">
        <f>+[4]P14_P15_T9!S12</f>
        <v>16.948507110000001</v>
      </c>
      <c r="S5">
        <f>+[4]P14_P15_T9!T12</f>
        <v>57543.019678120007</v>
      </c>
      <c r="T5">
        <f>+[4]P14_P15_T9!U12</f>
        <v>6067.6986380999997</v>
      </c>
    </row>
    <row r="6" spans="2:20" x14ac:dyDescent="0.25">
      <c r="B6" t="str">
        <f>+[4]P14_P15_T9!C13</f>
        <v>1/2 a 1 Salário Mín.</v>
      </c>
      <c r="C6">
        <f>+[4]P14_P15_T9!D13</f>
        <v>522474</v>
      </c>
      <c r="D6">
        <f>+[4]P14_P15_T9!E13</f>
        <v>2720.9683667200002</v>
      </c>
      <c r="E6">
        <f>+[4]P14_P15_T9!F13</f>
        <v>42.341454549999995</v>
      </c>
      <c r="F6">
        <f>+[4]P14_P15_T9!G13</f>
        <v>173.02279120999998</v>
      </c>
      <c r="G6">
        <f>+[4]P14_P15_T9!H13</f>
        <v>76.179086850000004</v>
      </c>
      <c r="H6">
        <f>+[4]P14_P15_T9!I13</f>
        <v>50.71140432</v>
      </c>
      <c r="I6">
        <f>+[4]P14_P15_T9!J13</f>
        <v>4.3527561500000003</v>
      </c>
      <c r="J6">
        <f>+[4]P14_P15_T9!K13</f>
        <v>11.575756779999999</v>
      </c>
      <c r="K6">
        <f>+[4]P14_P15_T9!L13</f>
        <v>0.29700912000000002</v>
      </c>
      <c r="L6">
        <f>+[4]P14_P15_T9!M13</f>
        <v>14.16868618</v>
      </c>
      <c r="M6">
        <f>+[4]P14_P15_T9!N13</f>
        <v>364.13416181999992</v>
      </c>
      <c r="N6">
        <f>+[4]P14_P15_T9!O13</f>
        <v>2246.9772637700003</v>
      </c>
      <c r="O6">
        <f>+[4]P14_P15_T9!P13</f>
        <v>4.1925599999999997E-3</v>
      </c>
      <c r="P6">
        <f>+[4]P14_P15_T9!Q13</f>
        <v>8.2669650399999988</v>
      </c>
      <c r="Q6">
        <f>+[4]P14_P15_T9!R13</f>
        <v>0</v>
      </c>
      <c r="R6">
        <f>+[4]P14_P15_T9!S13</f>
        <v>8.3222037899999997</v>
      </c>
      <c r="S6">
        <f>+[4]P14_P15_T9!T13</f>
        <v>17365.122285379999</v>
      </c>
      <c r="T6">
        <f>+[4]P14_P15_T9!U13</f>
        <v>1379.80772424</v>
      </c>
    </row>
    <row r="7" spans="2:20" x14ac:dyDescent="0.25">
      <c r="B7" t="str">
        <f>+[4]P14_P15_T9!C14</f>
        <v>1 a 2 Salários Mín.</v>
      </c>
      <c r="C7">
        <f>+[4]P14_P15_T9!D14</f>
        <v>1032184</v>
      </c>
      <c r="D7">
        <f>+[4]P14_P15_T9!E14</f>
        <v>8369.4028092900007</v>
      </c>
      <c r="E7">
        <f>+[4]P14_P15_T9!F14</f>
        <v>288.48733254000001</v>
      </c>
      <c r="F7">
        <f>+[4]P14_P15_T9!G14</f>
        <v>1138.3779816000001</v>
      </c>
      <c r="G7">
        <f>+[4]P14_P15_T9!H14</f>
        <v>167.49228378999999</v>
      </c>
      <c r="H7">
        <f>+[4]P14_P15_T9!I14</f>
        <v>164.51008128000001</v>
      </c>
      <c r="I7">
        <f>+[4]P14_P15_T9!J14</f>
        <v>19.737860469999998</v>
      </c>
      <c r="J7">
        <f>+[4]P14_P15_T9!K14</f>
        <v>52.669962329999997</v>
      </c>
      <c r="K7">
        <f>+[4]P14_P15_T9!L14</f>
        <v>2.0560439800000001</v>
      </c>
      <c r="L7">
        <f>+[4]P14_P15_T9!M14</f>
        <v>7.4833674999999999</v>
      </c>
      <c r="M7">
        <f>+[4]P14_P15_T9!N14</f>
        <v>1046.0947766499999</v>
      </c>
      <c r="N7">
        <f>+[4]P14_P15_T9!O14</f>
        <v>6980.0820841900004</v>
      </c>
      <c r="O7">
        <f>+[4]P14_P15_T9!P14</f>
        <v>8.4718599999999995E-3</v>
      </c>
      <c r="P7">
        <f>+[4]P14_P15_T9!Q14</f>
        <v>49.700802109999998</v>
      </c>
      <c r="Q7">
        <f>+[4]P14_P15_T9!R14</f>
        <v>4.1536999999999998E-4</v>
      </c>
      <c r="R7">
        <f>+[4]P14_P15_T9!S14</f>
        <v>49.920935799999995</v>
      </c>
      <c r="S7">
        <f>+[4]P14_P15_T9!T14</f>
        <v>39522.853699849999</v>
      </c>
      <c r="T7">
        <f>+[4]P14_P15_T9!U14</f>
        <v>3091.8826463699997</v>
      </c>
    </row>
    <row r="8" spans="2:20" x14ac:dyDescent="0.25">
      <c r="B8" t="str">
        <f>+[4]P14_P15_T9!C15</f>
        <v>2 a 3 Salários Mín.</v>
      </c>
      <c r="C8">
        <f>+[4]P14_P15_T9!D15</f>
        <v>1928144</v>
      </c>
      <c r="D8">
        <f>+[4]P14_P15_T9!E15</f>
        <v>27802.520345159999</v>
      </c>
      <c r="E8">
        <f>+[4]P14_P15_T9!F15</f>
        <v>731.58514177000006</v>
      </c>
      <c r="F8">
        <f>+[4]P14_P15_T9!G15</f>
        <v>2355.07815377</v>
      </c>
      <c r="G8">
        <f>+[4]P14_P15_T9!H15</f>
        <v>425.71972701999999</v>
      </c>
      <c r="H8">
        <f>+[4]P14_P15_T9!I15</f>
        <v>366.41900951999997</v>
      </c>
      <c r="I8">
        <f>+[4]P14_P15_T9!J15</f>
        <v>49.249105979999996</v>
      </c>
      <c r="J8">
        <f>+[4]P14_P15_T9!K15</f>
        <v>110.32553236</v>
      </c>
      <c r="K8">
        <f>+[4]P14_P15_T9!L15</f>
        <v>11.019275589999999</v>
      </c>
      <c r="L8">
        <f>+[4]P14_P15_T9!M15</f>
        <v>19.851122650000001</v>
      </c>
      <c r="M8">
        <f>+[4]P14_P15_T9!N15</f>
        <v>3674.24648325</v>
      </c>
      <c r="N8">
        <f>+[4]P14_P15_T9!O15</f>
        <v>23254.952072070002</v>
      </c>
      <c r="O8">
        <f>+[4]P14_P15_T9!P15</f>
        <v>5.5064920000000003E-2</v>
      </c>
      <c r="P8">
        <f>+[4]P14_P15_T9!Q15</f>
        <v>114.95057439</v>
      </c>
      <c r="Q8">
        <f>+[4]P14_P15_T9!R15</f>
        <v>1.854898E-2</v>
      </c>
      <c r="R8">
        <f>+[4]P14_P15_T9!S15</f>
        <v>115.71896328</v>
      </c>
      <c r="S8">
        <f>+[4]P14_P15_T9!T15</f>
        <v>81210.158325989993</v>
      </c>
      <c r="T8">
        <f>+[4]P14_P15_T9!U15</f>
        <v>6544.3004891600003</v>
      </c>
    </row>
    <row r="9" spans="2:20" x14ac:dyDescent="0.25">
      <c r="B9" t="str">
        <f>+[4]P14_P15_T9!C16</f>
        <v>3 a 5 Salários Mín.</v>
      </c>
      <c r="C9">
        <f>+[4]P14_P15_T9!D16</f>
        <v>6794781</v>
      </c>
      <c r="D9">
        <f>+[4]P14_P15_T9!E16</f>
        <v>144414.05122374001</v>
      </c>
      <c r="E9">
        <f>+[4]P14_P15_T9!F16</f>
        <v>6848.7196809699999</v>
      </c>
      <c r="F9">
        <f>+[4]P14_P15_T9!G16</f>
        <v>12688.25396736</v>
      </c>
      <c r="G9">
        <f>+[4]P14_P15_T9!H16</f>
        <v>3970.5906208800002</v>
      </c>
      <c r="H9">
        <f>+[4]P14_P15_T9!I16</f>
        <v>4765.7798049599996</v>
      </c>
      <c r="I9">
        <f>+[4]P14_P15_T9!J16</f>
        <v>1143.3452635199999</v>
      </c>
      <c r="J9">
        <f>+[4]P14_P15_T9!K16</f>
        <v>1992.274206</v>
      </c>
      <c r="K9">
        <f>+[4]P14_P15_T9!L16</f>
        <v>176.17142035000001</v>
      </c>
      <c r="L9">
        <f>+[4]P14_P15_T9!M16</f>
        <v>480.18047153999998</v>
      </c>
      <c r="M9">
        <f>+[4]P14_P15_T9!N16</f>
        <v>20615.691643569997</v>
      </c>
      <c r="N9">
        <f>+[4]P14_P15_T9!O16</f>
        <v>111964.0728734</v>
      </c>
      <c r="O9">
        <f>+[4]P14_P15_T9!P16</f>
        <v>303.21611963999999</v>
      </c>
      <c r="P9">
        <f>+[4]P14_P15_T9!Q16</f>
        <v>1050.0806103499999</v>
      </c>
      <c r="Q9">
        <f>+[4]P14_P15_T9!R16</f>
        <v>93.617757059999988</v>
      </c>
      <c r="R9">
        <f>+[4]P14_P15_T9!S16</f>
        <v>854.31488417000014</v>
      </c>
      <c r="S9">
        <f>+[4]P14_P15_T9!T16</f>
        <v>323298.18429862004</v>
      </c>
      <c r="T9">
        <f>+[4]P14_P15_T9!U16</f>
        <v>146671.33769812001</v>
      </c>
    </row>
    <row r="10" spans="2:20" x14ac:dyDescent="0.25">
      <c r="B10" t="str">
        <f>+[4]P14_P15_T9!C17</f>
        <v>5 a 10 Salários Mín.</v>
      </c>
      <c r="C10">
        <f>+[4]P14_P15_T9!D17</f>
        <v>6672144</v>
      </c>
      <c r="D10">
        <f>+[4]P14_P15_T9!E17</f>
        <v>230350.30427627001</v>
      </c>
      <c r="E10">
        <f>+[4]P14_P15_T9!F17</f>
        <v>15623.834375310002</v>
      </c>
      <c r="F10">
        <f>+[4]P14_P15_T9!G17</f>
        <v>37934.01077357</v>
      </c>
      <c r="G10">
        <f>+[4]P14_P15_T9!H17</f>
        <v>11370.343112009999</v>
      </c>
      <c r="H10">
        <f>+[4]P14_P15_T9!I17</f>
        <v>10903.387724280001</v>
      </c>
      <c r="I10">
        <f>+[4]P14_P15_T9!J17</f>
        <v>5972.3088426800005</v>
      </c>
      <c r="J10">
        <f>+[4]P14_P15_T9!K17</f>
        <v>10199.286228049999</v>
      </c>
      <c r="K10">
        <f>+[4]P14_P15_T9!L17</f>
        <v>1142.6095811500002</v>
      </c>
      <c r="L10">
        <f>+[4]P14_P15_T9!M17</f>
        <v>2163.39570809</v>
      </c>
      <c r="M10">
        <f>+[4]P14_P15_T9!N17</f>
        <v>22580.309253359999</v>
      </c>
      <c r="N10">
        <f>+[4]P14_P15_T9!O17</f>
        <v>166819.76890273998</v>
      </c>
      <c r="O10">
        <f>+[4]P14_P15_T9!P17</f>
        <v>5610.3828147300001</v>
      </c>
      <c r="P10">
        <f>+[4]P14_P15_T9!Q17</f>
        <v>7752.7463684700006</v>
      </c>
      <c r="Q10">
        <f>+[4]P14_P15_T9!R17</f>
        <v>1173.3908646699999</v>
      </c>
      <c r="R10">
        <f>+[4]P14_P15_T9!S17</f>
        <v>3408.5507935700002</v>
      </c>
      <c r="S10">
        <f>+[4]P14_P15_T9!T17</f>
        <v>510417.38288891001</v>
      </c>
      <c r="T10">
        <f>+[4]P14_P15_T9!U17</f>
        <v>119999.77316667</v>
      </c>
    </row>
    <row r="11" spans="2:20" x14ac:dyDescent="0.25">
      <c r="B11" t="str">
        <f>+[4]P14_P15_T9!C18</f>
        <v>10 a 20 Salários Mín.</v>
      </c>
      <c r="C11">
        <f>+[4]P14_P15_T9!D18</f>
        <v>3290290</v>
      </c>
      <c r="D11">
        <f>+[4]P14_P15_T9!E18</f>
        <v>205362.18946912</v>
      </c>
      <c r="E11">
        <f>+[4]P14_P15_T9!F18</f>
        <v>16582.746243819998</v>
      </c>
      <c r="F11">
        <f>+[4]P14_P15_T9!G18</f>
        <v>55753.431101959999</v>
      </c>
      <c r="G11">
        <f>+[4]P14_P15_T9!H18</f>
        <v>10414.294155090001</v>
      </c>
      <c r="H11">
        <f>+[4]P14_P15_T9!I18</f>
        <v>5598.4240303199995</v>
      </c>
      <c r="I11">
        <f>+[4]P14_P15_T9!J18</f>
        <v>4860.1269706700004</v>
      </c>
      <c r="J11">
        <f>+[4]P14_P15_T9!K18</f>
        <v>10901.50430769</v>
      </c>
      <c r="K11">
        <f>+[4]P14_P15_T9!L18</f>
        <v>2104.3249629100001</v>
      </c>
      <c r="L11">
        <f>+[4]P14_P15_T9!M18</f>
        <v>2435.7807358000005</v>
      </c>
      <c r="M11">
        <f>+[4]P14_P15_T9!N18</f>
        <v>16762.709406440001</v>
      </c>
      <c r="N11">
        <f>+[4]P14_P15_T9!O18</f>
        <v>152916.43807927001</v>
      </c>
      <c r="O11">
        <f>+[4]P14_P15_T9!P18</f>
        <v>18000.535853230002</v>
      </c>
      <c r="P11">
        <f>+[4]P14_P15_T9!Q18</f>
        <v>19041.19368402</v>
      </c>
      <c r="Q11">
        <f>+[4]P14_P15_T9!R18</f>
        <v>2604.83553643</v>
      </c>
      <c r="R11">
        <f>+[4]P14_P15_T9!S18</f>
        <v>3821.44616847</v>
      </c>
      <c r="S11">
        <f>+[4]P14_P15_T9!T18</f>
        <v>563781.11293665995</v>
      </c>
      <c r="T11">
        <f>+[4]P14_P15_T9!U18</f>
        <v>68107.779721240004</v>
      </c>
    </row>
    <row r="12" spans="2:20" x14ac:dyDescent="0.25">
      <c r="B12" t="str">
        <f>+[4]P14_P15_T9!C19</f>
        <v>20 a 40 Salários Mín.</v>
      </c>
      <c r="C12">
        <f>+[4]P14_P15_T9!D19</f>
        <v>1471436</v>
      </c>
      <c r="D12">
        <f>+[4]P14_P15_T9!E19</f>
        <v>162617.4478237</v>
      </c>
      <c r="E12">
        <f>+[4]P14_P15_T9!F19</f>
        <v>17093.172843299999</v>
      </c>
      <c r="F12">
        <f>+[4]P14_P15_T9!G19</f>
        <v>67077.59977008999</v>
      </c>
      <c r="G12">
        <f>+[4]P14_P15_T9!H19</f>
        <v>10874.57273118</v>
      </c>
      <c r="H12">
        <f>+[4]P14_P15_T9!I19</f>
        <v>2575.45002312</v>
      </c>
      <c r="I12">
        <f>+[4]P14_P15_T9!J19</f>
        <v>2339.26634289</v>
      </c>
      <c r="J12">
        <f>+[4]P14_P15_T9!K19</f>
        <v>7827.0977580299996</v>
      </c>
      <c r="K12">
        <f>+[4]P14_P15_T9!L19</f>
        <v>2433.12829831</v>
      </c>
      <c r="L12">
        <f>+[4]P14_P15_T9!M19</f>
        <v>2426.7666082399996</v>
      </c>
      <c r="M12">
        <f>+[4]P14_P15_T9!N19</f>
        <v>4849.5468032499994</v>
      </c>
      <c r="N12">
        <f>+[4]P14_P15_T9!O19</f>
        <v>129933.67053090999</v>
      </c>
      <c r="O12">
        <f>+[4]P14_P15_T9!P19</f>
        <v>24900.15387246</v>
      </c>
      <c r="P12">
        <f>+[4]P14_P15_T9!Q19</f>
        <v>24262.208445669999</v>
      </c>
      <c r="Q12">
        <f>+[4]P14_P15_T9!R19</f>
        <v>2626.0383579199997</v>
      </c>
      <c r="R12">
        <f>+[4]P14_P15_T9!S19</f>
        <v>2175.6485760800001</v>
      </c>
      <c r="S12">
        <f>+[4]P14_P15_T9!T19</f>
        <v>575865.57750605</v>
      </c>
      <c r="T12">
        <f>+[4]P14_P15_T9!U19</f>
        <v>51786.741373890007</v>
      </c>
    </row>
    <row r="13" spans="2:20" x14ac:dyDescent="0.25">
      <c r="B13" t="str">
        <f>+[4]P14_P15_T9!C20</f>
        <v>40 a 80 Salários Mín.</v>
      </c>
      <c r="C13">
        <f>+[4]P14_P15_T9!D20</f>
        <v>556854</v>
      </c>
      <c r="D13">
        <f>+[4]P14_P15_T9!E20</f>
        <v>99156.993297469991</v>
      </c>
      <c r="E13">
        <f>+[4]P14_P15_T9!F20</f>
        <v>15419.458770559999</v>
      </c>
      <c r="F13">
        <f>+[4]P14_P15_T9!G20</f>
        <v>66371.645820360005</v>
      </c>
      <c r="G13">
        <f>+[4]P14_P15_T9!H20</f>
        <v>7147.0040591100005</v>
      </c>
      <c r="H13">
        <f>+[4]P14_P15_T9!I20</f>
        <v>928.59517872000004</v>
      </c>
      <c r="I13">
        <f>+[4]P14_P15_T9!J20</f>
        <v>819.7385415</v>
      </c>
      <c r="J13">
        <f>+[4]P14_P15_T9!K20</f>
        <v>4025.1518914899998</v>
      </c>
      <c r="K13">
        <f>+[4]P14_P15_T9!L20</f>
        <v>2010.79736525</v>
      </c>
      <c r="L13">
        <f>+[4]P14_P15_T9!M20</f>
        <v>1571.7684873300002</v>
      </c>
      <c r="M13">
        <f>+[4]P14_P15_T9!N20</f>
        <v>1305.472636030001</v>
      </c>
      <c r="N13">
        <f>+[4]P14_P15_T9!O20</f>
        <v>81856.59491349</v>
      </c>
      <c r="O13">
        <f>+[4]P14_P15_T9!P20</f>
        <v>18559.720521540003</v>
      </c>
      <c r="P13">
        <f>+[4]P14_P15_T9!Q20</f>
        <v>17661.826419160003</v>
      </c>
      <c r="Q13">
        <f>+[4]P14_P15_T9!R20</f>
        <v>1783.69510412</v>
      </c>
      <c r="R13">
        <f>+[4]P14_P15_T9!S20</f>
        <v>1098.9581953700001</v>
      </c>
      <c r="S13">
        <f>+[4]P14_P15_T9!T20</f>
        <v>480246.94087716006</v>
      </c>
      <c r="T13">
        <f>+[4]P14_P15_T9!U20</f>
        <v>32747.32008908</v>
      </c>
    </row>
    <row r="14" spans="2:20" x14ac:dyDescent="0.25">
      <c r="B14" t="str">
        <f>+[4]P14_P15_T9!C21</f>
        <v>80 a 160 Salários Mín.</v>
      </c>
      <c r="C14">
        <f>+[4]P14_P15_T9!D21</f>
        <v>140574</v>
      </c>
      <c r="D14">
        <f>+[4]P14_P15_T9!E21</f>
        <v>31341.592433230002</v>
      </c>
      <c r="E14">
        <f>+[4]P14_P15_T9!F21</f>
        <v>9955.7552782300008</v>
      </c>
      <c r="F14">
        <f>+[4]P14_P15_T9!G21</f>
        <v>49531.582711859999</v>
      </c>
      <c r="G14">
        <f>+[4]P14_P15_T9!H21</f>
        <v>1686.8438701700002</v>
      </c>
      <c r="H14">
        <f>+[4]P14_P15_T9!I21</f>
        <v>202.83295931999999</v>
      </c>
      <c r="I14">
        <f>+[4]P14_P15_T9!J21</f>
        <v>172.50620627000001</v>
      </c>
      <c r="J14">
        <f>+[4]P14_P15_T9!K21</f>
        <v>1085.31516698</v>
      </c>
      <c r="K14">
        <f>+[4]P14_P15_T9!L21</f>
        <v>930.21402839999996</v>
      </c>
      <c r="L14">
        <f>+[4]P14_P15_T9!M21</f>
        <v>404.48506266999999</v>
      </c>
      <c r="M14">
        <f>+[4]P14_P15_T9!N21</f>
        <v>405.2571073500003</v>
      </c>
      <c r="N14">
        <f>+[4]P14_P15_T9!O21</f>
        <v>26592.055805380001</v>
      </c>
      <c r="O14">
        <f>+[4]P14_P15_T9!P21</f>
        <v>6417.9848962899996</v>
      </c>
      <c r="P14">
        <f>+[4]P14_P15_T9!Q21</f>
        <v>5852.3316235499997</v>
      </c>
      <c r="Q14">
        <f>+[4]P14_P15_T9!R21</f>
        <v>780.83116078</v>
      </c>
      <c r="R14">
        <f>+[4]P14_P15_T9!S21</f>
        <v>344.33922005000005</v>
      </c>
      <c r="S14">
        <f>+[4]P14_P15_T9!T21</f>
        <v>292602.54080814996</v>
      </c>
      <c r="T14">
        <f>+[4]P14_P15_T9!U21</f>
        <v>16383.056991930003</v>
      </c>
    </row>
    <row r="15" spans="2:20" x14ac:dyDescent="0.25">
      <c r="B15" t="str">
        <f>+[4]P14_P15_T9!C22</f>
        <v>&gt; 160 Salários Mín.</v>
      </c>
      <c r="C15">
        <f>+[4]P14_P15_T9!D22</f>
        <v>70665</v>
      </c>
      <c r="D15">
        <f>+[4]P14_P15_T9!E22</f>
        <v>30298.90519695</v>
      </c>
      <c r="E15">
        <f>+[4]P14_P15_T9!F22</f>
        <v>54432.593685990003</v>
      </c>
      <c r="F15">
        <f>+[4]P14_P15_T9!G22</f>
        <v>151288.15428640001</v>
      </c>
      <c r="G15">
        <f>+[4]P14_P15_T9!H22</f>
        <v>893.58505446999993</v>
      </c>
      <c r="H15">
        <f>+[4]P14_P15_T9!I22</f>
        <v>94.978098720000006</v>
      </c>
      <c r="I15">
        <f>+[4]P14_P15_T9!J22</f>
        <v>76.911112290000005</v>
      </c>
      <c r="J15">
        <f>+[4]P14_P15_T9!K22</f>
        <v>642.55607283000006</v>
      </c>
      <c r="K15">
        <f>+[4]P14_P15_T9!L22</f>
        <v>3289.1316051199997</v>
      </c>
      <c r="L15">
        <f>+[4]P14_P15_T9!M22</f>
        <v>296.10159493999998</v>
      </c>
      <c r="M15">
        <f>+[4]P14_P15_T9!N22</f>
        <v>226.5891117400015</v>
      </c>
      <c r="N15">
        <f>+[4]P14_P15_T9!O22</f>
        <v>24922.109023940004</v>
      </c>
      <c r="O15">
        <f>+[4]P14_P15_T9!P22</f>
        <v>6409.4209059900004</v>
      </c>
      <c r="P15">
        <f>+[4]P14_P15_T9!Q22</f>
        <v>5410.2133176699999</v>
      </c>
      <c r="Q15">
        <f>+[4]P14_P15_T9!R22</f>
        <v>1156.6633437600001</v>
      </c>
      <c r="R15">
        <f>+[4]P14_P15_T9!S22</f>
        <v>252.98329483000001</v>
      </c>
      <c r="S15">
        <f>+[4]P14_P15_T9!T22</f>
        <v>881772.06906737993</v>
      </c>
      <c r="T15">
        <f>+[4]P14_P15_T9!U22</f>
        <v>36529.776728149998</v>
      </c>
    </row>
    <row r="16" spans="2:20" x14ac:dyDescent="0.25">
      <c r="B16" t="str">
        <f>+[4]P14_P15_T9!C23</f>
        <v xml:space="preserve">    Total</v>
      </c>
      <c r="C16">
        <f>+[4]P14_P15_T9!D23</f>
        <v>23962983</v>
      </c>
      <c r="D16">
        <f>+[4]P14_P15_T9!E23</f>
        <v>942604.22862362012</v>
      </c>
      <c r="E16">
        <f>+[4]P14_P15_T9!F23</f>
        <v>137039.92337880001</v>
      </c>
      <c r="F16">
        <f>+[4]P14_P15_T9!G23</f>
        <v>444358.78621042002</v>
      </c>
      <c r="G16">
        <f>+[4]P14_P15_T9!H23</f>
        <v>47059.170121360003</v>
      </c>
      <c r="H16">
        <f>+[4]P14_P15_T9!I23</f>
        <v>25770.178018799998</v>
      </c>
      <c r="I16">
        <f>+[4]P14_P15_T9!J23</f>
        <v>15464.41585635</v>
      </c>
      <c r="J16">
        <f>+[4]P14_P15_T9!K23</f>
        <v>36869.556579009994</v>
      </c>
      <c r="K16">
        <f>+[4]P14_P15_T9!L23</f>
        <v>12099.77523204</v>
      </c>
      <c r="L16">
        <f>+[4]P14_P15_T9!M23</f>
        <v>9827.3601695000016</v>
      </c>
      <c r="M16">
        <f>+[4]P14_P15_T9!N23</f>
        <v>71847.790608889991</v>
      </c>
      <c r="N16">
        <f>+[4]P14_P15_T9!O23</f>
        <v>727626.58191159007</v>
      </c>
      <c r="O16">
        <f>+[4]P14_P15_T9!P23</f>
        <v>80201.483719950003</v>
      </c>
      <c r="P16">
        <f>+[4]P14_P15_T9!Q23</f>
        <v>81220.145747210001</v>
      </c>
      <c r="Q16">
        <f>+[4]P14_P15_T9!R23</f>
        <v>10219.091114410001</v>
      </c>
      <c r="R16">
        <f>+[4]P14_P15_T9!S23</f>
        <v>12147.151742520002</v>
      </c>
      <c r="S16">
        <f>+[4]P14_P15_T9!T23</f>
        <v>3823624.9623722699</v>
      </c>
      <c r="T16">
        <f>+[4]P14_P15_T9!U23</f>
        <v>489309.47526695009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510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238.68516410999996</v>
      </c>
      <c r="D26" s="1">
        <f t="shared" ref="D26:D37" si="2">+O5</f>
        <v>1.00673E-3</v>
      </c>
      <c r="E26">
        <f t="shared" ref="E26:E37" si="3">+C5</f>
        <v>1483437</v>
      </c>
      <c r="F26" s="2">
        <f>+D26/C26</f>
        <v>4.2178155636688014E-6</v>
      </c>
      <c r="G26" s="1">
        <f t="shared" ref="G26:G37" si="4">+C26*$H$25</f>
        <v>121729.43369609998</v>
      </c>
      <c r="I26">
        <f>+C26*1000000/$H$25</f>
        <v>468010.12570588227</v>
      </c>
      <c r="J26">
        <f>+I26/E26</f>
        <v>0.31549039541678026</v>
      </c>
      <c r="K26">
        <f>+J26/12</f>
        <v>2.6290866284731689E-2</v>
      </c>
      <c r="N26">
        <f>+C26*1000000/E26</f>
        <v>160.90010166255794</v>
      </c>
      <c r="O26" s="3">
        <f>+F26</f>
        <v>4.2178155636688014E-6</v>
      </c>
    </row>
    <row r="27" spans="2:15" x14ac:dyDescent="0.25">
      <c r="B27" t="str">
        <f t="shared" si="0"/>
        <v>1/2 a 1 Salário Mín.</v>
      </c>
      <c r="C27" s="1">
        <f t="shared" si="1"/>
        <v>2936.0356033600001</v>
      </c>
      <c r="D27" s="1">
        <f t="shared" si="2"/>
        <v>4.1925599999999997E-3</v>
      </c>
      <c r="E27">
        <f t="shared" si="3"/>
        <v>522474</v>
      </c>
      <c r="F27" s="2">
        <f t="shared" ref="F27:F37" si="5">+D27/C27</f>
        <v>1.4279663350137964E-6</v>
      </c>
      <c r="G27" s="1">
        <f t="shared" si="4"/>
        <v>1497378.1577136</v>
      </c>
      <c r="I27">
        <f t="shared" ref="I27:I37" si="6">+C27*1000000/$H$25</f>
        <v>5756932.5556078432</v>
      </c>
      <c r="J27">
        <f t="shared" ref="J27:J37" si="7">+I27/E27</f>
        <v>11.018601032028087</v>
      </c>
      <c r="K27">
        <f t="shared" ref="K27:K37" si="8">+J27/12</f>
        <v>0.91821675266900726</v>
      </c>
      <c r="N27">
        <f t="shared" ref="N27:N37" si="9">+C27*1000000/E27</f>
        <v>5619.4865263343254</v>
      </c>
      <c r="O27" s="3">
        <f t="shared" ref="O27:O37" si="10">+F27</f>
        <v>1.4279663350137964E-6</v>
      </c>
    </row>
    <row r="28" spans="2:15" x14ac:dyDescent="0.25">
      <c r="B28" t="str">
        <f t="shared" si="0"/>
        <v>1 a 2 Salários Mín.</v>
      </c>
      <c r="C28" s="1">
        <f t="shared" si="1"/>
        <v>9794.2120794500024</v>
      </c>
      <c r="D28" s="1">
        <f t="shared" si="2"/>
        <v>8.4718599999999995E-3</v>
      </c>
      <c r="E28">
        <f t="shared" si="3"/>
        <v>1032184</v>
      </c>
      <c r="F28" s="2">
        <f t="shared" si="5"/>
        <v>8.6498637473610233E-7</v>
      </c>
      <c r="G28" s="1">
        <f t="shared" si="4"/>
        <v>4995048.1605195012</v>
      </c>
      <c r="I28">
        <f t="shared" si="6"/>
        <v>19204337.410686281</v>
      </c>
      <c r="J28">
        <f t="shared" si="7"/>
        <v>18.605536813868728</v>
      </c>
      <c r="K28">
        <f t="shared" si="8"/>
        <v>1.5504614011557274</v>
      </c>
      <c r="N28">
        <f t="shared" si="9"/>
        <v>9488.8237750730514</v>
      </c>
      <c r="O28" s="3">
        <f t="shared" si="10"/>
        <v>8.6498637473610233E-7</v>
      </c>
    </row>
    <row r="29" spans="2:15" x14ac:dyDescent="0.25">
      <c r="B29" t="str">
        <f t="shared" si="0"/>
        <v>2 a 3 Salários Mín.</v>
      </c>
      <c r="C29" s="1">
        <f t="shared" si="1"/>
        <v>30878.164365109998</v>
      </c>
      <c r="D29" s="1">
        <f t="shared" si="2"/>
        <v>5.5064920000000003E-2</v>
      </c>
      <c r="E29">
        <f t="shared" si="3"/>
        <v>1928144</v>
      </c>
      <c r="F29" s="2">
        <f t="shared" si="5"/>
        <v>1.7832964210210377E-6</v>
      </c>
      <c r="G29" s="1">
        <f t="shared" si="4"/>
        <v>15747863.826206099</v>
      </c>
      <c r="I29">
        <f t="shared" si="6"/>
        <v>60545420.323745094</v>
      </c>
      <c r="J29">
        <f t="shared" si="7"/>
        <v>31.400881014978701</v>
      </c>
      <c r="K29">
        <f t="shared" si="8"/>
        <v>2.6167400845815583</v>
      </c>
      <c r="N29">
        <f t="shared" si="9"/>
        <v>16014.449317639137</v>
      </c>
      <c r="O29" s="3">
        <f t="shared" si="10"/>
        <v>1.7832964210210377E-6</v>
      </c>
    </row>
    <row r="30" spans="2:15" x14ac:dyDescent="0.25">
      <c r="B30" t="str">
        <f t="shared" si="0"/>
        <v>3 a 5 Salários Mín.</v>
      </c>
      <c r="C30" s="1">
        <f t="shared" si="1"/>
        <v>163774.85345172003</v>
      </c>
      <c r="D30" s="1">
        <f t="shared" si="2"/>
        <v>303.21611963999999</v>
      </c>
      <c r="E30">
        <f t="shared" si="3"/>
        <v>6794781</v>
      </c>
      <c r="F30" s="2">
        <f t="shared" si="5"/>
        <v>1.851420491298968E-3</v>
      </c>
      <c r="G30" s="1">
        <f t="shared" si="4"/>
        <v>83525175.260377213</v>
      </c>
      <c r="I30">
        <f t="shared" si="6"/>
        <v>321127163.63082361</v>
      </c>
      <c r="J30">
        <f t="shared" si="7"/>
        <v>47.260855593553877</v>
      </c>
      <c r="K30">
        <f t="shared" si="8"/>
        <v>3.9384046327961566</v>
      </c>
      <c r="N30">
        <f t="shared" si="9"/>
        <v>24103.036352712475</v>
      </c>
      <c r="O30" s="3">
        <f t="shared" si="10"/>
        <v>1.851420491298968E-3</v>
      </c>
    </row>
    <row r="31" spans="2:15" x14ac:dyDescent="0.25">
      <c r="B31" t="str">
        <f t="shared" si="0"/>
        <v>5 a 10 Salários Mín.</v>
      </c>
      <c r="C31" s="1">
        <f t="shared" si="1"/>
        <v>282765.53984400001</v>
      </c>
      <c r="D31" s="1">
        <f t="shared" si="2"/>
        <v>5610.3828147300001</v>
      </c>
      <c r="E31">
        <f t="shared" si="3"/>
        <v>6672144</v>
      </c>
      <c r="F31" s="2">
        <f t="shared" si="5"/>
        <v>1.984111224382297E-2</v>
      </c>
      <c r="G31" s="1">
        <f t="shared" si="4"/>
        <v>144210425.32043999</v>
      </c>
      <c r="I31">
        <f t="shared" si="6"/>
        <v>554442234.98823524</v>
      </c>
      <c r="J31">
        <f t="shared" si="7"/>
        <v>83.098061880594187</v>
      </c>
      <c r="K31">
        <f t="shared" si="8"/>
        <v>6.9248384900495159</v>
      </c>
      <c r="N31">
        <f t="shared" si="9"/>
        <v>42380.011559103041</v>
      </c>
      <c r="O31" s="3">
        <f t="shared" si="10"/>
        <v>1.984111224382297E-2</v>
      </c>
    </row>
    <row r="32" spans="2:15" x14ac:dyDescent="0.25">
      <c r="B32" t="str">
        <f t="shared" si="0"/>
        <v>10 a 20 Salários Mín.</v>
      </c>
      <c r="C32" s="1">
        <f t="shared" si="1"/>
        <v>275594.04185199004</v>
      </c>
      <c r="D32" s="1">
        <f t="shared" si="2"/>
        <v>18000.535853230002</v>
      </c>
      <c r="E32">
        <f t="shared" si="3"/>
        <v>3290290</v>
      </c>
      <c r="F32" s="2">
        <f t="shared" si="5"/>
        <v>6.531540280140502E-2</v>
      </c>
      <c r="G32" s="1">
        <f t="shared" si="4"/>
        <v>140552961.34451491</v>
      </c>
      <c r="I32">
        <f t="shared" si="6"/>
        <v>540380474.21958828</v>
      </c>
      <c r="J32">
        <f t="shared" si="7"/>
        <v>164.23490762807785</v>
      </c>
      <c r="K32">
        <f t="shared" si="8"/>
        <v>13.686242302339821</v>
      </c>
      <c r="N32">
        <f t="shared" si="9"/>
        <v>83759.802890319712</v>
      </c>
      <c r="O32" s="3">
        <f t="shared" si="10"/>
        <v>6.531540280140502E-2</v>
      </c>
    </row>
    <row r="33" spans="2:15" x14ac:dyDescent="0.25">
      <c r="B33" t="str">
        <f t="shared" si="0"/>
        <v>20 a 40 Salários Mín.</v>
      </c>
      <c r="C33" s="1">
        <f t="shared" si="1"/>
        <v>244355.09213877999</v>
      </c>
      <c r="D33" s="1">
        <f t="shared" si="2"/>
        <v>24900.15387246</v>
      </c>
      <c r="E33">
        <f t="shared" si="3"/>
        <v>1471436</v>
      </c>
      <c r="F33" s="2">
        <f t="shared" si="5"/>
        <v>0.10190151412239901</v>
      </c>
      <c r="G33" s="1">
        <f t="shared" si="4"/>
        <v>124621096.99077779</v>
      </c>
      <c r="I33">
        <f t="shared" si="6"/>
        <v>479127631.64466667</v>
      </c>
      <c r="J33">
        <f t="shared" si="7"/>
        <v>325.61907663307591</v>
      </c>
      <c r="K33">
        <f t="shared" si="8"/>
        <v>27.134923052756324</v>
      </c>
      <c r="N33">
        <f t="shared" si="9"/>
        <v>166065.7290828687</v>
      </c>
      <c r="O33" s="3">
        <f t="shared" si="10"/>
        <v>0.10190151412239901</v>
      </c>
    </row>
    <row r="34" spans="2:15" x14ac:dyDescent="0.25">
      <c r="B34" t="str">
        <f t="shared" si="0"/>
        <v>40 a 80 Salários Mín.</v>
      </c>
      <c r="C34" s="1">
        <f t="shared" si="1"/>
        <v>178937.30052314</v>
      </c>
      <c r="D34" s="1">
        <f t="shared" si="2"/>
        <v>18559.720521540003</v>
      </c>
      <c r="E34">
        <f t="shared" si="3"/>
        <v>556854</v>
      </c>
      <c r="F34" s="2">
        <f t="shared" si="5"/>
        <v>0.10372192084757575</v>
      </c>
      <c r="G34" s="1">
        <f t="shared" si="4"/>
        <v>91258023.266801402</v>
      </c>
      <c r="I34">
        <f t="shared" si="6"/>
        <v>350857452.00615686</v>
      </c>
      <c r="J34">
        <f t="shared" si="7"/>
        <v>630.07081210902118</v>
      </c>
      <c r="K34">
        <f t="shared" si="8"/>
        <v>52.5059010090851</v>
      </c>
      <c r="N34">
        <f t="shared" si="9"/>
        <v>321336.11417560081</v>
      </c>
      <c r="O34" s="3">
        <f t="shared" si="10"/>
        <v>0.10372192084757575</v>
      </c>
    </row>
    <row r="35" spans="2:15" x14ac:dyDescent="0.25">
      <c r="B35" t="str">
        <f t="shared" si="0"/>
        <v>80 a 160 Salários Mín.</v>
      </c>
      <c r="C35" s="1">
        <f t="shared" si="1"/>
        <v>89898.716394920004</v>
      </c>
      <c r="D35" s="1">
        <f t="shared" si="2"/>
        <v>6417.9848962899996</v>
      </c>
      <c r="E35">
        <f t="shared" si="3"/>
        <v>140574</v>
      </c>
      <c r="F35" s="2">
        <f t="shared" si="5"/>
        <v>7.1391285144674951E-2</v>
      </c>
      <c r="G35" s="1">
        <f t="shared" si="4"/>
        <v>45848345.361409202</v>
      </c>
      <c r="I35">
        <f t="shared" si="6"/>
        <v>176271992.93121567</v>
      </c>
      <c r="J35">
        <f t="shared" si="7"/>
        <v>1253.9444913797408</v>
      </c>
      <c r="K35">
        <f t="shared" si="8"/>
        <v>104.49537428164507</v>
      </c>
      <c r="N35">
        <f t="shared" si="9"/>
        <v>639511.69060366775</v>
      </c>
      <c r="O35" s="3">
        <f t="shared" si="10"/>
        <v>7.1391285144674951E-2</v>
      </c>
    </row>
    <row r="36" spans="2:15" x14ac:dyDescent="0.25">
      <c r="B36" t="str">
        <f t="shared" si="0"/>
        <v>&gt; 160 Salários Mín.</v>
      </c>
      <c r="C36" s="1">
        <f t="shared" si="1"/>
        <v>232730.52156422002</v>
      </c>
      <c r="D36" s="1">
        <f t="shared" si="2"/>
        <v>6409.4209059900004</v>
      </c>
      <c r="E36">
        <f t="shared" si="3"/>
        <v>70665</v>
      </c>
      <c r="F36" s="2">
        <f t="shared" si="5"/>
        <v>2.7540095999919696E-2</v>
      </c>
      <c r="G36" s="1">
        <f t="shared" si="4"/>
        <v>118692565.9977522</v>
      </c>
      <c r="I36">
        <f t="shared" si="6"/>
        <v>456334356.00827456</v>
      </c>
      <c r="J36">
        <f t="shared" si="7"/>
        <v>6457.7139462007299</v>
      </c>
      <c r="K36">
        <f t="shared" si="8"/>
        <v>538.14282885006082</v>
      </c>
      <c r="N36">
        <f t="shared" si="9"/>
        <v>3293434.1125623723</v>
      </c>
      <c r="O36" s="3">
        <f t="shared" si="10"/>
        <v>2.7540095999919696E-2</v>
      </c>
    </row>
    <row r="37" spans="2:15" x14ac:dyDescent="0.25">
      <c r="B37" t="str">
        <f t="shared" si="0"/>
        <v xml:space="preserve">    Total</v>
      </c>
      <c r="C37" s="1">
        <f t="shared" si="1"/>
        <v>1511903.1629808</v>
      </c>
      <c r="D37" s="1">
        <f t="shared" si="2"/>
        <v>80201.483719950003</v>
      </c>
      <c r="E37">
        <f t="shared" si="3"/>
        <v>23962983</v>
      </c>
      <c r="F37" s="2">
        <f t="shared" si="5"/>
        <v>5.3046706749279089E-2</v>
      </c>
      <c r="G37" s="1">
        <f t="shared" si="4"/>
        <v>771070613.12020802</v>
      </c>
      <c r="I37">
        <f t="shared" si="6"/>
        <v>2964516005.8447061</v>
      </c>
      <c r="J37">
        <f t="shared" si="7"/>
        <v>123.71231101923772</v>
      </c>
      <c r="K37">
        <f t="shared" si="8"/>
        <v>10.309359251603142</v>
      </c>
      <c r="N37">
        <f t="shared" si="9"/>
        <v>63093.27861981123</v>
      </c>
      <c r="O37" s="3">
        <f t="shared" si="10"/>
        <v>5.3046706749279089E-2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37"/>
  <sheetViews>
    <sheetView topLeftCell="A13" workbookViewId="0">
      <selection activeCell="N25" sqref="N25:O37"/>
    </sheetView>
  </sheetViews>
  <sheetFormatPr baseColWidth="10" defaultColWidth="8.85546875" defaultRowHeight="15" x14ac:dyDescent="0.25"/>
  <sheetData>
    <row r="2" spans="2:20" x14ac:dyDescent="0.25">
      <c r="B2" t="str">
        <f>+[5]P14_P15_T9!C9</f>
        <v>Tabela 9 - Resumo das Declarações Por Faixa de Rendimentos Totais</v>
      </c>
      <c r="C2">
        <f>+[5]P14_P15_T9!D9</f>
        <v>0</v>
      </c>
      <c r="D2">
        <f>+[5]P14_P15_T9!E9</f>
        <v>0</v>
      </c>
      <c r="E2">
        <f>+[5]P14_P15_T9!F9</f>
        <v>0</v>
      </c>
      <c r="F2">
        <f>+[5]P14_P15_T9!G9</f>
        <v>0</v>
      </c>
      <c r="G2">
        <f>+[5]P14_P15_T9!H9</f>
        <v>0</v>
      </c>
      <c r="H2">
        <f>+[5]P14_P15_T9!I9</f>
        <v>0</v>
      </c>
      <c r="I2">
        <f>+[5]P14_P15_T9!J9</f>
        <v>0</v>
      </c>
      <c r="J2">
        <f>+[5]P14_P15_T9!K9</f>
        <v>0</v>
      </c>
      <c r="K2">
        <f>+[5]P14_P15_T9!L9</f>
        <v>0</v>
      </c>
      <c r="L2">
        <f>+[5]P14_P15_T9!M9</f>
        <v>0</v>
      </c>
      <c r="M2">
        <f>+[5]P14_P15_T9!N9</f>
        <v>0</v>
      </c>
      <c r="N2">
        <f>+[5]P14_P15_T9!O9</f>
        <v>0</v>
      </c>
      <c r="O2">
        <f>+[5]P14_P15_T9!P9</f>
        <v>0</v>
      </c>
      <c r="P2">
        <f>+[5]P14_P15_T9!Q9</f>
        <v>0</v>
      </c>
      <c r="Q2">
        <f>+[5]P14_P15_T9!R9</f>
        <v>0</v>
      </c>
      <c r="R2">
        <f>+[5]P14_P15_T9!S9</f>
        <v>0</v>
      </c>
      <c r="S2">
        <f>+[5]P14_P15_T9!T9</f>
        <v>0</v>
      </c>
      <c r="T2" t="str">
        <f>+[5]P14_P15_T9!U9</f>
        <v>Valores R$ milhões</v>
      </c>
    </row>
    <row r="3" spans="2:20" x14ac:dyDescent="0.25">
      <c r="B3" t="str">
        <f>+[5]P14_P15_T9!C10</f>
        <v>Faixa de Rendimento Total</v>
      </c>
      <c r="C3" t="str">
        <f>+[5]P14_P15_T9!D10</f>
        <v>Qtde Declarantes</v>
      </c>
      <c r="D3" t="str">
        <f>+[5]P14_P15_T9!E10</f>
        <v>Rendim. Tribut.</v>
      </c>
      <c r="E3" t="str">
        <f>+[5]P14_P15_T9!F10</f>
        <v>Rendim. Tribut. Exclus.</v>
      </c>
      <c r="F3" t="str">
        <f>+[5]P14_P15_T9!G10</f>
        <v>Rendim. Isentos</v>
      </c>
      <c r="G3" t="str">
        <f>+[5]P14_P15_T9!H10</f>
        <v>DEDUÇÕES</v>
      </c>
      <c r="H3">
        <f>+[5]P14_P15_T9!I10</f>
        <v>0</v>
      </c>
      <c r="I3">
        <f>+[5]P14_P15_T9!J10</f>
        <v>0</v>
      </c>
      <c r="J3">
        <f>+[5]P14_P15_T9!K10</f>
        <v>0</v>
      </c>
      <c r="K3">
        <f>+[5]P14_P15_T9!L10</f>
        <v>0</v>
      </c>
      <c r="L3">
        <f>+[5]P14_P15_T9!M10</f>
        <v>0</v>
      </c>
      <c r="M3">
        <f>+[5]P14_P15_T9!N10</f>
        <v>0</v>
      </c>
      <c r="N3" t="str">
        <f>+[5]P14_P15_T9!O10</f>
        <v>Base de Cálculo (RTL)</v>
      </c>
      <c r="O3" t="str">
        <f>+[5]P14_P15_T9!P10</f>
        <v>Imposto Devido</v>
      </c>
      <c r="P3" t="str">
        <f>+[5]P14_P15_T9!Q10</f>
        <v>Imposto Pago</v>
      </c>
      <c r="Q3" t="str">
        <f>+[5]P14_P15_T9!R10</f>
        <v>Imposto a Pagar</v>
      </c>
      <c r="R3" t="str">
        <f>+[5]P14_P15_T9!S10</f>
        <v>Imposto a Restituir</v>
      </c>
      <c r="S3" t="str">
        <f>+[5]P14_P15_T9!T10</f>
        <v>Bens e Direitos</v>
      </c>
      <c r="T3" t="str">
        <f>+[5]P14_P15_T9!U10</f>
        <v>Dívidas e Ônus</v>
      </c>
    </row>
    <row r="4" spans="2:20" x14ac:dyDescent="0.25">
      <c r="B4">
        <f>+[5]P14_P15_T9!C11</f>
        <v>0</v>
      </c>
      <c r="C4">
        <f>+[5]P14_P15_T9!D11</f>
        <v>0</v>
      </c>
      <c r="D4">
        <f>+[5]P14_P15_T9!E11</f>
        <v>0</v>
      </c>
      <c r="E4">
        <f>+[5]P14_P15_T9!F11</f>
        <v>0</v>
      </c>
      <c r="F4">
        <f>+[5]P14_P15_T9!G11</f>
        <v>0</v>
      </c>
      <c r="G4" t="str">
        <f>+[5]P14_P15_T9!H11</f>
        <v>Contrib. Previden.</v>
      </c>
      <c r="H4" t="str">
        <f>+[5]P14_P15_T9!I11</f>
        <v>Dependentes</v>
      </c>
      <c r="I4" t="str">
        <f>+[5]P14_P15_T9!J11</f>
        <v>Instrução</v>
      </c>
      <c r="J4" t="str">
        <f>+[5]P14_P15_T9!K11</f>
        <v>Médicas</v>
      </c>
      <c r="K4" t="str">
        <f>+[5]P14_P15_T9!L11</f>
        <v>Livro Caixa</v>
      </c>
      <c r="L4" t="str">
        <f>+[5]P14_P15_T9!M11</f>
        <v>Pensão Aliment.</v>
      </c>
      <c r="M4" t="str">
        <f>+[5]P14_P15_T9!N11</f>
        <v>Desc. Padrão</v>
      </c>
      <c r="N4">
        <f>+[5]P14_P15_T9!O11</f>
        <v>0</v>
      </c>
      <c r="O4">
        <f>+[5]P14_P15_T9!P11</f>
        <v>0</v>
      </c>
      <c r="P4">
        <f>+[5]P14_P15_T9!Q11</f>
        <v>0</v>
      </c>
      <c r="Q4">
        <f>+[5]P14_P15_T9!R11</f>
        <v>0</v>
      </c>
      <c r="R4">
        <f>+[5]P14_P15_T9!S11</f>
        <v>0</v>
      </c>
      <c r="S4">
        <f>+[5]P14_P15_T9!T11</f>
        <v>0</v>
      </c>
      <c r="T4">
        <f>+[5]P14_P15_T9!U11</f>
        <v>0</v>
      </c>
    </row>
    <row r="5" spans="2:20" x14ac:dyDescent="0.25">
      <c r="B5" t="str">
        <f>+[5]P14_P15_T9!C12</f>
        <v>Até 1/2 Salário Mín.</v>
      </c>
      <c r="C5">
        <f>+[5]P14_P15_T9!D12</f>
        <v>1423833</v>
      </c>
      <c r="D5">
        <f>+[5]P14_P15_T9!E12</f>
        <v>168.92555284999997</v>
      </c>
      <c r="E5">
        <f>+[5]P14_P15_T9!F12</f>
        <v>24.393364529999999</v>
      </c>
      <c r="F5">
        <f>+[5]P14_P15_T9!G12</f>
        <v>49.526035129999997</v>
      </c>
      <c r="G5">
        <f>+[5]P14_P15_T9!H12</f>
        <v>20.90228162</v>
      </c>
      <c r="H5">
        <f>+[5]P14_P15_T9!I12</f>
        <v>120.62139012</v>
      </c>
      <c r="I5">
        <f>+[5]P14_P15_T9!J12</f>
        <v>6.7074053200000003</v>
      </c>
      <c r="J5">
        <f>+[5]P14_P15_T9!K12</f>
        <v>28.263860430000001</v>
      </c>
      <c r="K5">
        <f>+[5]P14_P15_T9!L12</f>
        <v>4.1766160000000004E-2</v>
      </c>
      <c r="L5">
        <f>+[5]P14_P15_T9!M12</f>
        <v>21.92039415</v>
      </c>
      <c r="M5">
        <f>+[5]P14_P15_T9!N12</f>
        <v>18.203708060000025</v>
      </c>
      <c r="N5">
        <f>+[5]P14_P15_T9!O12</f>
        <v>137.87648364</v>
      </c>
      <c r="O5">
        <f>+[5]P14_P15_T9!P12</f>
        <v>2.70171E-3</v>
      </c>
      <c r="P5">
        <f>+[5]P14_P15_T9!Q12</f>
        <v>21.08000736</v>
      </c>
      <c r="Q5">
        <f>+[5]P14_P15_T9!R12</f>
        <v>1.2822300000000001E-3</v>
      </c>
      <c r="R5">
        <f>+[5]P14_P15_T9!S12</f>
        <v>21.397668960000001</v>
      </c>
      <c r="S5">
        <f>+[5]P14_P15_T9!T12</f>
        <v>73788.343301040004</v>
      </c>
      <c r="T5">
        <f>+[5]P14_P15_T9!U12</f>
        <v>5814.26178179</v>
      </c>
    </row>
    <row r="6" spans="2:20" x14ac:dyDescent="0.25">
      <c r="B6" t="str">
        <f>+[5]P14_P15_T9!C13</f>
        <v>1/2 a 1 Salário Mín.</v>
      </c>
      <c r="C6">
        <f>+[5]P14_P15_T9!D13</f>
        <v>495904</v>
      </c>
      <c r="D6">
        <f>+[5]P14_P15_T9!E13</f>
        <v>2748.9063824300001</v>
      </c>
      <c r="E6">
        <f>+[5]P14_P15_T9!F13</f>
        <v>47.003519189999999</v>
      </c>
      <c r="F6">
        <f>+[5]P14_P15_T9!G13</f>
        <v>170.42299901000001</v>
      </c>
      <c r="G6">
        <f>+[5]P14_P15_T9!H13</f>
        <v>84.283150600000013</v>
      </c>
      <c r="H6">
        <f>+[5]P14_P15_T9!I13</f>
        <v>51.6722058</v>
      </c>
      <c r="I6">
        <f>+[5]P14_P15_T9!J13</f>
        <v>4.6786161699999997</v>
      </c>
      <c r="J6">
        <f>+[5]P14_P15_T9!K13</f>
        <v>12.748863720000001</v>
      </c>
      <c r="K6">
        <f>+[5]P14_P15_T9!L13</f>
        <v>0.21182571</v>
      </c>
      <c r="L6">
        <f>+[5]P14_P15_T9!M13</f>
        <v>2.4154304799999995</v>
      </c>
      <c r="M6">
        <f>+[5]P14_P15_T9!N13</f>
        <v>364.94754370999999</v>
      </c>
      <c r="N6">
        <f>+[5]P14_P15_T9!O13</f>
        <v>2268.5187962700002</v>
      </c>
      <c r="O6">
        <f>+[5]P14_P15_T9!P13</f>
        <v>2.6798140000000002E-2</v>
      </c>
      <c r="P6">
        <f>+[5]P14_P15_T9!Q13</f>
        <v>9.7613299199999997</v>
      </c>
      <c r="Q6">
        <f>+[5]P14_P15_T9!R13</f>
        <v>1.1369010000000001E-2</v>
      </c>
      <c r="R6">
        <f>+[5]P14_P15_T9!S13</f>
        <v>9.82313875</v>
      </c>
      <c r="S6">
        <f>+[5]P14_P15_T9!T13</f>
        <v>19803.502680140002</v>
      </c>
      <c r="T6">
        <f>+[5]P14_P15_T9!U13</f>
        <v>1681.51265528</v>
      </c>
    </row>
    <row r="7" spans="2:20" x14ac:dyDescent="0.25">
      <c r="B7" t="str">
        <f>+[5]P14_P15_T9!C14</f>
        <v>1 a 2 Salários Mín.</v>
      </c>
      <c r="C7">
        <f>+[5]P14_P15_T9!D14</f>
        <v>970222</v>
      </c>
      <c r="D7">
        <f>+[5]P14_P15_T9!E14</f>
        <v>8303.8830300199988</v>
      </c>
      <c r="E7">
        <f>+[5]P14_P15_T9!F14</f>
        <v>307.97334222999996</v>
      </c>
      <c r="F7">
        <f>+[5]P14_P15_T9!G14</f>
        <v>1139.3951840699999</v>
      </c>
      <c r="G7">
        <f>+[5]P14_P15_T9!H14</f>
        <v>176.79980717999999</v>
      </c>
      <c r="H7">
        <f>+[5]P14_P15_T9!I14</f>
        <v>168.12505008000002</v>
      </c>
      <c r="I7">
        <f>+[5]P14_P15_T9!J14</f>
        <v>20.610363260000003</v>
      </c>
      <c r="J7">
        <f>+[5]P14_P15_T9!K14</f>
        <v>62.229545130000005</v>
      </c>
      <c r="K7">
        <f>+[5]P14_P15_T9!L14</f>
        <v>2.9790657700000001</v>
      </c>
      <c r="L7">
        <f>+[5]P14_P15_T9!M14</f>
        <v>7.4437023699999996</v>
      </c>
      <c r="M7">
        <f>+[5]P14_P15_T9!N14</f>
        <v>1040.4893780700004</v>
      </c>
      <c r="N7">
        <f>+[5]P14_P15_T9!O14</f>
        <v>6906.9965637200003</v>
      </c>
      <c r="O7">
        <f>+[5]P14_P15_T9!P14</f>
        <v>0.22026208999999999</v>
      </c>
      <c r="P7">
        <f>+[5]P14_P15_T9!Q14</f>
        <v>43.760481850000005</v>
      </c>
      <c r="Q7">
        <f>+[5]P14_P15_T9!R14</f>
        <v>7.4680860000000002E-2</v>
      </c>
      <c r="R7">
        <f>+[5]P14_P15_T9!S14</f>
        <v>43.923395450000001</v>
      </c>
      <c r="S7">
        <f>+[5]P14_P15_T9!T14</f>
        <v>42752.696665230003</v>
      </c>
      <c r="T7">
        <f>+[5]P14_P15_T9!U14</f>
        <v>3570.2936962399999</v>
      </c>
    </row>
    <row r="8" spans="2:20" x14ac:dyDescent="0.25">
      <c r="B8" t="str">
        <f>+[5]P14_P15_T9!C15</f>
        <v>2 a 3 Salários Mín.</v>
      </c>
      <c r="C8">
        <f>+[5]P14_P15_T9!D15</f>
        <v>1853697</v>
      </c>
      <c r="D8">
        <f>+[5]P14_P15_T9!E15</f>
        <v>28287.665221610001</v>
      </c>
      <c r="E8">
        <f>+[5]P14_P15_T9!F15</f>
        <v>807.37841344000003</v>
      </c>
      <c r="F8">
        <f>+[5]P14_P15_T9!G15</f>
        <v>2377.0271771000002</v>
      </c>
      <c r="G8">
        <f>+[5]P14_P15_T9!H15</f>
        <v>457.13138806000001</v>
      </c>
      <c r="H8">
        <f>+[5]P14_P15_T9!I15</f>
        <v>369.43406820000001</v>
      </c>
      <c r="I8">
        <f>+[5]P14_P15_T9!J15</f>
        <v>50.575414770000002</v>
      </c>
      <c r="J8">
        <f>+[5]P14_P15_T9!K15</f>
        <v>127.40459011</v>
      </c>
      <c r="K8">
        <f>+[5]P14_P15_T9!L15</f>
        <v>11.189459919999999</v>
      </c>
      <c r="L8">
        <f>+[5]P14_P15_T9!M15</f>
        <v>18.407434050000003</v>
      </c>
      <c r="M8">
        <f>+[5]P14_P15_T9!N15</f>
        <v>3720.69567912</v>
      </c>
      <c r="N8">
        <f>+[5]P14_P15_T9!O15</f>
        <v>23655.86980393</v>
      </c>
      <c r="O8">
        <f>+[5]P14_P15_T9!P15</f>
        <v>0.58534321</v>
      </c>
      <c r="P8">
        <f>+[5]P14_P15_T9!Q15</f>
        <v>105.63865177</v>
      </c>
      <c r="Q8">
        <f>+[5]P14_P15_T9!R15</f>
        <v>0.24031100999999999</v>
      </c>
      <c r="R8">
        <f>+[5]P14_P15_T9!S15</f>
        <v>106.2359222</v>
      </c>
      <c r="S8">
        <f>+[5]P14_P15_T9!T15</f>
        <v>89547.32614823</v>
      </c>
      <c r="T8">
        <f>+[5]P14_P15_T9!U15</f>
        <v>7532.9248875600006</v>
      </c>
    </row>
    <row r="9" spans="2:20" x14ac:dyDescent="0.25">
      <c r="B9" t="str">
        <f>+[5]P14_P15_T9!C16</f>
        <v>3 a 5 Salários Mín.</v>
      </c>
      <c r="C9">
        <f>+[5]P14_P15_T9!D16</f>
        <v>7071437</v>
      </c>
      <c r="D9">
        <f>+[5]P14_P15_T9!E16</f>
        <v>160485.32604481</v>
      </c>
      <c r="E9">
        <f>+[5]P14_P15_T9!F16</f>
        <v>7727.60406951</v>
      </c>
      <c r="F9">
        <f>+[5]P14_P15_T9!G16</f>
        <v>13569.85829294</v>
      </c>
      <c r="G9">
        <f>+[5]P14_P15_T9!H16</f>
        <v>4202.7484501400004</v>
      </c>
      <c r="H9">
        <f>+[5]P14_P15_T9!I16</f>
        <v>5062.1131342799999</v>
      </c>
      <c r="I9">
        <f>+[5]P14_P15_T9!J16</f>
        <v>1269.8245904400001</v>
      </c>
      <c r="J9">
        <f>+[5]P14_P15_T9!K16</f>
        <v>2233.80477651</v>
      </c>
      <c r="K9">
        <f>+[5]P14_P15_T9!L16</f>
        <v>200.50116077999999</v>
      </c>
      <c r="L9">
        <f>+[5]P14_P15_T9!M16</f>
        <v>512.65739131999999</v>
      </c>
      <c r="M9">
        <f>+[5]P14_P15_T9!N16</f>
        <v>23205.03378043</v>
      </c>
      <c r="N9">
        <f>+[5]P14_P15_T9!O16</f>
        <v>124389.29305509001</v>
      </c>
      <c r="O9">
        <f>+[5]P14_P15_T9!P16</f>
        <v>408.09824975999993</v>
      </c>
      <c r="P9">
        <f>+[5]P14_P15_T9!Q16</f>
        <v>1297.3115422599999</v>
      </c>
      <c r="Q9">
        <f>+[5]P14_P15_T9!R16</f>
        <v>112.94497671000001</v>
      </c>
      <c r="R9">
        <f>+[5]P14_P15_T9!S16</f>
        <v>1017.3839755400001</v>
      </c>
      <c r="S9">
        <f>+[5]P14_P15_T9!T16</f>
        <v>364008.10967442999</v>
      </c>
      <c r="T9">
        <f>+[5]P14_P15_T9!U16</f>
        <v>123877.75246578001</v>
      </c>
    </row>
    <row r="10" spans="2:20" x14ac:dyDescent="0.25">
      <c r="B10" t="str">
        <f>+[5]P14_P15_T9!C17</f>
        <v>5 a 10 Salários Mín.</v>
      </c>
      <c r="C10">
        <f>+[5]P14_P15_T9!D17</f>
        <v>7122696</v>
      </c>
      <c r="D10">
        <f>+[5]P14_P15_T9!E17</f>
        <v>263331.10824088001</v>
      </c>
      <c r="E10">
        <f>+[5]P14_P15_T9!F17</f>
        <v>18424.974439990001</v>
      </c>
      <c r="F10">
        <f>+[5]P14_P15_T9!G17</f>
        <v>42268.756422869999</v>
      </c>
      <c r="G10">
        <f>+[5]P14_P15_T9!H17</f>
        <v>12258.957256029998</v>
      </c>
      <c r="H10">
        <f>+[5]P14_P15_T9!I17</f>
        <v>11402.083980719999</v>
      </c>
      <c r="I10">
        <f>+[5]P14_P15_T9!J17</f>
        <v>6284.0664519100001</v>
      </c>
      <c r="J10">
        <f>+[5]P14_P15_T9!K17</f>
        <v>11276.003697239999</v>
      </c>
      <c r="K10">
        <f>+[5]P14_P15_T9!L17</f>
        <v>1273.9796101300001</v>
      </c>
      <c r="L10">
        <f>+[5]P14_P15_T9!M17</f>
        <v>2365.9736382299993</v>
      </c>
      <c r="M10">
        <f>+[5]P14_P15_T9!N17</f>
        <v>26938.748317400008</v>
      </c>
      <c r="N10">
        <f>+[5]P14_P15_T9!O17</f>
        <v>192164.97142508999</v>
      </c>
      <c r="O10">
        <f>+[5]P14_P15_T9!P17</f>
        <v>6968.3153321299997</v>
      </c>
      <c r="P10">
        <f>+[5]P14_P15_T9!Q17</f>
        <v>9549.04765864</v>
      </c>
      <c r="Q10">
        <f>+[5]P14_P15_T9!R17</f>
        <v>1368.6487024600001</v>
      </c>
      <c r="R10">
        <f>+[5]P14_P15_T9!S17</f>
        <v>4052.9790570700002</v>
      </c>
      <c r="S10">
        <f>+[5]P14_P15_T9!T17</f>
        <v>575691.23582430999</v>
      </c>
      <c r="T10">
        <f>+[5]P14_P15_T9!U17</f>
        <v>142111.70843386999</v>
      </c>
    </row>
    <row r="11" spans="2:20" x14ac:dyDescent="0.25">
      <c r="B11" t="str">
        <f>+[5]P14_P15_T9!C18</f>
        <v>10 a 20 Salários Mín.</v>
      </c>
      <c r="C11">
        <f>+[5]P14_P15_T9!D18</f>
        <v>3530545</v>
      </c>
      <c r="D11">
        <f>+[5]P14_P15_T9!E18</f>
        <v>234960.23828908999</v>
      </c>
      <c r="E11">
        <f>+[5]P14_P15_T9!F18</f>
        <v>19901.542739799999</v>
      </c>
      <c r="F11">
        <f>+[5]P14_P15_T9!G18</f>
        <v>63021.956434170002</v>
      </c>
      <c r="G11">
        <f>+[5]P14_P15_T9!H18</f>
        <v>10908.05754494</v>
      </c>
      <c r="H11">
        <f>+[5]P14_P15_T9!I18</f>
        <v>5918.9023652400001</v>
      </c>
      <c r="I11">
        <f>+[5]P14_P15_T9!J18</f>
        <v>5107.1671434700002</v>
      </c>
      <c r="J11">
        <f>+[5]P14_P15_T9!K18</f>
        <v>11754.241828</v>
      </c>
      <c r="K11">
        <f>+[5]P14_P15_T9!L18</f>
        <v>2351.32395507</v>
      </c>
      <c r="L11">
        <f>+[5]P14_P15_T9!M18</f>
        <v>2674.3492171000003</v>
      </c>
      <c r="M11">
        <f>+[5]P14_P15_T9!N18</f>
        <v>19544.56849166999</v>
      </c>
      <c r="N11">
        <f>+[5]P14_P15_T9!O18</f>
        <v>177180.04025641002</v>
      </c>
      <c r="O11">
        <f>+[5]P14_P15_T9!P18</f>
        <v>21613.731620099999</v>
      </c>
      <c r="P11">
        <f>+[5]P14_P15_T9!Q18</f>
        <v>22561.25868458</v>
      </c>
      <c r="Q11">
        <f>+[5]P14_P15_T9!R18</f>
        <v>3022.9850569</v>
      </c>
      <c r="R11">
        <f>+[5]P14_P15_T9!S18</f>
        <v>4168.67189581</v>
      </c>
      <c r="S11">
        <f>+[5]P14_P15_T9!T18</f>
        <v>640054.74231026997</v>
      </c>
      <c r="T11">
        <f>+[5]P14_P15_T9!U18</f>
        <v>81541.653211140001</v>
      </c>
    </row>
    <row r="12" spans="2:20" x14ac:dyDescent="0.25">
      <c r="B12" t="str">
        <f>+[5]P14_P15_T9!C19</f>
        <v>20 a 40 Salários Mín.</v>
      </c>
      <c r="C12">
        <f>+[5]P14_P15_T9!D19</f>
        <v>1586574</v>
      </c>
      <c r="D12">
        <f>+[5]P14_P15_T9!E19</f>
        <v>186306.01759186</v>
      </c>
      <c r="E12">
        <f>+[5]P14_P15_T9!F19</f>
        <v>20957.89912165</v>
      </c>
      <c r="F12">
        <f>+[5]P14_P15_T9!G19</f>
        <v>76894.241460770005</v>
      </c>
      <c r="G12">
        <f>+[5]P14_P15_T9!H19</f>
        <v>11728.881893599999</v>
      </c>
      <c r="H12">
        <f>+[5]P14_P15_T9!I19</f>
        <v>2759.66615916</v>
      </c>
      <c r="I12">
        <f>+[5]P14_P15_T9!J19</f>
        <v>2464.22804494</v>
      </c>
      <c r="J12">
        <f>+[5]P14_P15_T9!K19</f>
        <v>8617.2666969500006</v>
      </c>
      <c r="K12">
        <f>+[5]P14_P15_T9!L19</f>
        <v>2668.0838241300003</v>
      </c>
      <c r="L12">
        <f>+[5]P14_P15_T9!M19</f>
        <v>2638.3916178500003</v>
      </c>
      <c r="M12">
        <f>+[5]P14_P15_T9!N19</f>
        <v>5661.9227852699987</v>
      </c>
      <c r="N12">
        <f>+[5]P14_P15_T9!O19</f>
        <v>150396.94623425999</v>
      </c>
      <c r="O12">
        <f>+[5]P14_P15_T9!P19</f>
        <v>29152.637738379999</v>
      </c>
      <c r="P12">
        <f>+[5]P14_P15_T9!Q19</f>
        <v>28161.914027499999</v>
      </c>
      <c r="Q12">
        <f>+[5]P14_P15_T9!R19</f>
        <v>2983.4654966300004</v>
      </c>
      <c r="R12">
        <f>+[5]P14_P15_T9!S19</f>
        <v>2218.3359969799999</v>
      </c>
      <c r="S12">
        <f>+[5]P14_P15_T9!T19</f>
        <v>659766.26696154999</v>
      </c>
      <c r="T12">
        <f>+[5]P14_P15_T9!U19</f>
        <v>64493.56215356</v>
      </c>
    </row>
    <row r="13" spans="2:20" x14ac:dyDescent="0.25">
      <c r="B13" t="str">
        <f>+[5]P14_P15_T9!C20</f>
        <v>40 a 80 Salários Mín.</v>
      </c>
      <c r="C13">
        <f>+[5]P14_P15_T9!D20</f>
        <v>603584</v>
      </c>
      <c r="D13">
        <f>+[5]P14_P15_T9!E20</f>
        <v>112112.21115058</v>
      </c>
      <c r="E13">
        <f>+[5]P14_P15_T9!F20</f>
        <v>19624.511480320001</v>
      </c>
      <c r="F13">
        <f>+[5]P14_P15_T9!G20</f>
        <v>78512.042373520002</v>
      </c>
      <c r="G13">
        <f>+[5]P14_P15_T9!H20</f>
        <v>7633.6540788899993</v>
      </c>
      <c r="H13">
        <f>+[5]P14_P15_T9!I20</f>
        <v>1000.28660292</v>
      </c>
      <c r="I13">
        <f>+[5]P14_P15_T9!J20</f>
        <v>865.7312991</v>
      </c>
      <c r="J13">
        <f>+[5]P14_P15_T9!K20</f>
        <v>4508.3528924700004</v>
      </c>
      <c r="K13">
        <f>+[5]P14_P15_T9!L20</f>
        <v>2295.5761592399999</v>
      </c>
      <c r="L13">
        <f>+[5]P14_P15_T9!M20</f>
        <v>1649.7804285600002</v>
      </c>
      <c r="M13">
        <f>+[5]P14_P15_T9!N20</f>
        <v>1562.3064545099987</v>
      </c>
      <c r="N13">
        <f>+[5]P14_P15_T9!O20</f>
        <v>93074.437277449993</v>
      </c>
      <c r="O13">
        <f>+[5]P14_P15_T9!P20</f>
        <v>21172.87095275</v>
      </c>
      <c r="P13">
        <f>+[5]P14_P15_T9!Q20</f>
        <v>19919.018505930002</v>
      </c>
      <c r="Q13">
        <f>+[5]P14_P15_T9!R20</f>
        <v>2080.97899082</v>
      </c>
      <c r="R13">
        <f>+[5]P14_P15_T9!S20</f>
        <v>1078.62697579</v>
      </c>
      <c r="S13">
        <f>+[5]P14_P15_T9!T20</f>
        <v>557300.15974316001</v>
      </c>
      <c r="T13">
        <f>+[5]P14_P15_T9!U20</f>
        <v>41119.072150480002</v>
      </c>
    </row>
    <row r="14" spans="2:20" x14ac:dyDescent="0.25">
      <c r="B14" t="str">
        <f>+[5]P14_P15_T9!C21</f>
        <v>80 a 160 Salários Mín.</v>
      </c>
      <c r="C14">
        <f>+[5]P14_P15_T9!D21</f>
        <v>158763</v>
      </c>
      <c r="D14">
        <f>+[5]P14_P15_T9!E21</f>
        <v>36978.702526289999</v>
      </c>
      <c r="E14">
        <f>+[5]P14_P15_T9!F21</f>
        <v>13079.051057379998</v>
      </c>
      <c r="F14">
        <f>+[5]P14_P15_T9!G21</f>
        <v>59604.688542560005</v>
      </c>
      <c r="G14">
        <f>+[5]P14_P15_T9!H21</f>
        <v>1895.42429763</v>
      </c>
      <c r="H14">
        <f>+[5]P14_P15_T9!I21</f>
        <v>230.72882328</v>
      </c>
      <c r="I14">
        <f>+[5]P14_P15_T9!J21</f>
        <v>191.23118238000001</v>
      </c>
      <c r="J14">
        <f>+[5]P14_P15_T9!K21</f>
        <v>1255.61172953</v>
      </c>
      <c r="K14">
        <f>+[5]P14_P15_T9!L21</f>
        <v>1085.68195535</v>
      </c>
      <c r="L14">
        <f>+[5]P14_P15_T9!M21</f>
        <v>445.36453294999995</v>
      </c>
      <c r="M14">
        <f>+[5]P14_P15_T9!N21</f>
        <v>493.31707862999974</v>
      </c>
      <c r="N14">
        <f>+[5]P14_P15_T9!O21</f>
        <v>31519.825714589999</v>
      </c>
      <c r="O14">
        <f>+[5]P14_P15_T9!P21</f>
        <v>7634.3976929699993</v>
      </c>
      <c r="P14">
        <f>+[5]P14_P15_T9!Q21</f>
        <v>6905.5847217600003</v>
      </c>
      <c r="Q14">
        <f>+[5]P14_P15_T9!R21</f>
        <v>920.79353020999997</v>
      </c>
      <c r="R14">
        <f>+[5]P14_P15_T9!S21</f>
        <v>343.19630515000006</v>
      </c>
      <c r="S14">
        <f>+[5]P14_P15_T9!T21</f>
        <v>348498.08811509999</v>
      </c>
      <c r="T14">
        <f>+[5]P14_P15_T9!U21</f>
        <v>20169.320518399996</v>
      </c>
    </row>
    <row r="15" spans="2:20" x14ac:dyDescent="0.25">
      <c r="B15" t="str">
        <f>+[5]P14_P15_T9!C22</f>
        <v>&gt; 160 Salários Mín.</v>
      </c>
      <c r="C15">
        <f>+[5]P14_P15_T9!D22</f>
        <v>80930</v>
      </c>
      <c r="D15">
        <f>+[5]P14_P15_T9!E22</f>
        <v>36244.595869750003</v>
      </c>
      <c r="E15">
        <f>+[5]P14_P15_T9!F22</f>
        <v>82126.01250995</v>
      </c>
      <c r="F15">
        <f>+[5]P14_P15_T9!G22</f>
        <v>183149.15145783999</v>
      </c>
      <c r="G15">
        <f>+[5]P14_P15_T9!H22</f>
        <v>1008.17114239</v>
      </c>
      <c r="H15">
        <f>+[5]P14_P15_T9!I22</f>
        <v>109.04356584</v>
      </c>
      <c r="I15">
        <f>+[5]P14_P15_T9!J22</f>
        <v>87.097752200000002</v>
      </c>
      <c r="J15">
        <f>+[5]P14_P15_T9!K22</f>
        <v>773.79545402999997</v>
      </c>
      <c r="K15">
        <f>+[5]P14_P15_T9!L22</f>
        <v>3827.49085285</v>
      </c>
      <c r="L15">
        <f>+[5]P14_P15_T9!M22</f>
        <v>337.67898431999998</v>
      </c>
      <c r="M15">
        <f>+[5]P14_P15_T9!N22</f>
        <v>280.14750952000031</v>
      </c>
      <c r="N15">
        <f>+[5]P14_P15_T9!O22</f>
        <v>29971.546019929996</v>
      </c>
      <c r="O15">
        <f>+[5]P14_P15_T9!P22</f>
        <v>7717.8829212799992</v>
      </c>
      <c r="P15">
        <f>+[5]P14_P15_T9!Q22</f>
        <v>6445.5232865100006</v>
      </c>
      <c r="Q15">
        <f>+[5]P14_P15_T9!R22</f>
        <v>1391.01123495</v>
      </c>
      <c r="R15">
        <f>+[5]P14_P15_T9!S22</f>
        <v>242.72696159</v>
      </c>
      <c r="S15">
        <f>+[5]P14_P15_T9!T22</f>
        <v>1074003.5095347301</v>
      </c>
      <c r="T15">
        <f>+[5]P14_P15_T9!U22</f>
        <v>46683.662374569998</v>
      </c>
    </row>
    <row r="16" spans="2:20" x14ac:dyDescent="0.25">
      <c r="B16" t="str">
        <f>+[5]P14_P15_T9!C23</f>
        <v xml:space="preserve">    Total</v>
      </c>
      <c r="C16">
        <f>+[5]P14_P15_T9!D23</f>
        <v>24898185</v>
      </c>
      <c r="D16">
        <f>+[5]P14_P15_T9!E23</f>
        <v>1069927.57990017</v>
      </c>
      <c r="E16">
        <f>+[5]P14_P15_T9!F23</f>
        <v>183028.34405799001</v>
      </c>
      <c r="F16">
        <f>+[5]P14_P15_T9!G23</f>
        <v>520757.06637997995</v>
      </c>
      <c r="G16">
        <f>+[5]P14_P15_T9!H23</f>
        <v>50375.011291079994</v>
      </c>
      <c r="H16">
        <f>+[5]P14_P15_T9!I23</f>
        <v>27192.677345639993</v>
      </c>
      <c r="I16">
        <f>+[5]P14_P15_T9!J23</f>
        <v>16351.91826396</v>
      </c>
      <c r="J16">
        <f>+[5]P14_P15_T9!K23</f>
        <v>40649.723934119997</v>
      </c>
      <c r="K16">
        <f>+[5]P14_P15_T9!L23</f>
        <v>13717.059635110001</v>
      </c>
      <c r="L16">
        <f>+[5]P14_P15_T9!M23</f>
        <v>10674.38277138</v>
      </c>
      <c r="M16">
        <f>+[5]P14_P15_T9!N23</f>
        <v>82830.380726389994</v>
      </c>
      <c r="N16">
        <f>+[5]P14_P15_T9!O23</f>
        <v>831666.32163038</v>
      </c>
      <c r="O16">
        <f>+[5]P14_P15_T9!P23</f>
        <v>94668.769612520002</v>
      </c>
      <c r="P16">
        <f>+[5]P14_P15_T9!Q23</f>
        <v>95019.898898079991</v>
      </c>
      <c r="Q16">
        <f>+[5]P14_P15_T9!R23</f>
        <v>11881.155631789999</v>
      </c>
      <c r="R16">
        <f>+[5]P14_P15_T9!S23</f>
        <v>13303.301293290004</v>
      </c>
      <c r="S16">
        <f>+[5]P14_P15_T9!T23</f>
        <v>4445213.9809581898</v>
      </c>
      <c r="T16">
        <f>+[5]P14_P15_T9!U23</f>
        <v>538595.72432867007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545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242.80318634999995</v>
      </c>
      <c r="D26" s="1">
        <f t="shared" ref="D26:D37" si="2">+O5</f>
        <v>2.70171E-3</v>
      </c>
      <c r="E26">
        <f t="shared" ref="E26:E37" si="3">+C5</f>
        <v>1423833</v>
      </c>
      <c r="F26" s="2">
        <f>+D26/C26</f>
        <v>1.1127160399392348E-5</v>
      </c>
      <c r="G26" s="1">
        <f t="shared" ref="G26:G37" si="4">+C26*$H$25</f>
        <v>132327.73656074997</v>
      </c>
      <c r="I26">
        <f>+C26*1000000/$H$25</f>
        <v>445510.43366972468</v>
      </c>
      <c r="J26">
        <f>+I26/E26</f>
        <v>0.31289514547683939</v>
      </c>
      <c r="K26">
        <f>+J26/12</f>
        <v>2.6074595456403282E-2</v>
      </c>
      <c r="N26">
        <f>+C26*1000000/E26</f>
        <v>170.52785428487746</v>
      </c>
      <c r="O26" s="3">
        <f>+F26</f>
        <v>1.1127160399392348E-5</v>
      </c>
    </row>
    <row r="27" spans="2:15" x14ac:dyDescent="0.25">
      <c r="B27" t="str">
        <f t="shared" si="0"/>
        <v>1/2 a 1 Salário Mín.</v>
      </c>
      <c r="C27" s="1">
        <f t="shared" si="1"/>
        <v>2966.12107492</v>
      </c>
      <c r="D27" s="1">
        <f t="shared" si="2"/>
        <v>2.6798140000000002E-2</v>
      </c>
      <c r="E27">
        <f t="shared" si="3"/>
        <v>495904</v>
      </c>
      <c r="F27" s="2">
        <f t="shared" ref="F27:F37" si="5">+D27/C27</f>
        <v>9.0347424542414486E-6</v>
      </c>
      <c r="G27" s="1">
        <f t="shared" si="4"/>
        <v>1616535.9858313999</v>
      </c>
      <c r="I27">
        <f t="shared" ref="I27:I37" si="6">+C27*1000000/$H$25</f>
        <v>5442423.990678899</v>
      </c>
      <c r="J27">
        <f t="shared" ref="J27:J37" si="7">+I27/E27</f>
        <v>10.974753159238277</v>
      </c>
      <c r="K27">
        <f t="shared" ref="K27:K37" si="8">+J27/12</f>
        <v>0.91456276326985642</v>
      </c>
      <c r="N27">
        <f t="shared" ref="N27:N37" si="9">+C27*1000000/E27</f>
        <v>5981.2404717848622</v>
      </c>
      <c r="O27" s="3">
        <f t="shared" ref="O27:O37" si="10">+F27</f>
        <v>9.0347424542414486E-6</v>
      </c>
    </row>
    <row r="28" spans="2:15" x14ac:dyDescent="0.25">
      <c r="B28" t="str">
        <f t="shared" si="0"/>
        <v>1 a 2 Salários Mín.</v>
      </c>
      <c r="C28" s="1">
        <f t="shared" si="1"/>
        <v>9748.2724905499981</v>
      </c>
      <c r="D28" s="1">
        <f t="shared" si="2"/>
        <v>0.22026208999999999</v>
      </c>
      <c r="E28">
        <f t="shared" si="3"/>
        <v>970222</v>
      </c>
      <c r="F28" s="2">
        <f t="shared" si="5"/>
        <v>2.2594986979849267E-5</v>
      </c>
      <c r="G28" s="1">
        <f t="shared" si="4"/>
        <v>5312808.5073497491</v>
      </c>
      <c r="I28">
        <f t="shared" si="6"/>
        <v>17886738.514770638</v>
      </c>
      <c r="J28">
        <f t="shared" si="7"/>
        <v>18.435717304669073</v>
      </c>
      <c r="K28">
        <f t="shared" si="8"/>
        <v>1.5363097753890893</v>
      </c>
      <c r="N28">
        <f t="shared" si="9"/>
        <v>10047.465931044644</v>
      </c>
      <c r="O28" s="3">
        <f t="shared" si="10"/>
        <v>2.2594986979849267E-5</v>
      </c>
    </row>
    <row r="29" spans="2:15" x14ac:dyDescent="0.25">
      <c r="B29" t="str">
        <f t="shared" si="0"/>
        <v>2 a 3 Salários Mín.</v>
      </c>
      <c r="C29" s="1">
        <f t="shared" si="1"/>
        <v>31460.881352230004</v>
      </c>
      <c r="D29" s="1">
        <f t="shared" si="2"/>
        <v>0.58534321</v>
      </c>
      <c r="E29">
        <f t="shared" si="3"/>
        <v>1853697</v>
      </c>
      <c r="F29" s="2">
        <f t="shared" si="5"/>
        <v>1.8605429499784495E-5</v>
      </c>
      <c r="G29" s="1">
        <f t="shared" si="4"/>
        <v>17146180.336965352</v>
      </c>
      <c r="I29">
        <f t="shared" si="6"/>
        <v>57726387.80225689</v>
      </c>
      <c r="J29">
        <f t="shared" si="7"/>
        <v>31.141220923514947</v>
      </c>
      <c r="K29">
        <f t="shared" si="8"/>
        <v>2.5951017436262456</v>
      </c>
      <c r="N29">
        <f t="shared" si="9"/>
        <v>16971.965403315648</v>
      </c>
      <c r="O29" s="3">
        <f t="shared" si="10"/>
        <v>1.8605429499784495E-5</v>
      </c>
    </row>
    <row r="30" spans="2:15" x14ac:dyDescent="0.25">
      <c r="B30" t="str">
        <f t="shared" si="0"/>
        <v>3 a 5 Salários Mín.</v>
      </c>
      <c r="C30" s="1">
        <f t="shared" si="1"/>
        <v>181582.28724648003</v>
      </c>
      <c r="D30" s="1">
        <f t="shared" si="2"/>
        <v>408.09824975999993</v>
      </c>
      <c r="E30">
        <f t="shared" si="3"/>
        <v>7071437</v>
      </c>
      <c r="F30" s="2">
        <f t="shared" si="5"/>
        <v>2.2474562687166003E-3</v>
      </c>
      <c r="G30" s="1">
        <f t="shared" si="4"/>
        <v>98962346.54933162</v>
      </c>
      <c r="I30">
        <f t="shared" si="6"/>
        <v>333178508.70913768</v>
      </c>
      <c r="J30">
        <f t="shared" si="7"/>
        <v>47.116096588166968</v>
      </c>
      <c r="K30">
        <f t="shared" si="8"/>
        <v>3.9263413823472475</v>
      </c>
      <c r="N30">
        <f t="shared" si="9"/>
        <v>25678.272640551</v>
      </c>
      <c r="O30" s="3">
        <f t="shared" si="10"/>
        <v>2.2474562687166003E-3</v>
      </c>
    </row>
    <row r="31" spans="2:15" x14ac:dyDescent="0.25">
      <c r="B31" t="str">
        <f t="shared" si="0"/>
        <v>5 a 10 Salários Mín.</v>
      </c>
      <c r="C31" s="1">
        <f t="shared" si="1"/>
        <v>322750.85949360998</v>
      </c>
      <c r="D31" s="1">
        <f t="shared" si="2"/>
        <v>6968.3153321299997</v>
      </c>
      <c r="E31">
        <f t="shared" si="3"/>
        <v>7122696</v>
      </c>
      <c r="F31" s="2">
        <f t="shared" si="5"/>
        <v>2.159038505137726E-2</v>
      </c>
      <c r="G31" s="1">
        <f t="shared" si="4"/>
        <v>175899218.42401743</v>
      </c>
      <c r="I31">
        <f t="shared" si="6"/>
        <v>592203411.91488075</v>
      </c>
      <c r="J31">
        <f t="shared" si="7"/>
        <v>83.143154209428673</v>
      </c>
      <c r="K31">
        <f t="shared" si="8"/>
        <v>6.9285961841190558</v>
      </c>
      <c r="N31">
        <f t="shared" si="9"/>
        <v>45313.019044138622</v>
      </c>
      <c r="O31" s="3">
        <f t="shared" si="10"/>
        <v>2.159038505137726E-2</v>
      </c>
    </row>
    <row r="32" spans="2:15" x14ac:dyDescent="0.25">
      <c r="B32" t="str">
        <f t="shared" si="0"/>
        <v>10 a 20 Salários Mín.</v>
      </c>
      <c r="C32" s="1">
        <f t="shared" si="1"/>
        <v>315532.41350799002</v>
      </c>
      <c r="D32" s="1">
        <f t="shared" si="2"/>
        <v>21613.731620099999</v>
      </c>
      <c r="E32">
        <f t="shared" si="3"/>
        <v>3530545</v>
      </c>
      <c r="F32" s="2">
        <f t="shared" si="5"/>
        <v>6.8499243484386713E-2</v>
      </c>
      <c r="G32" s="1">
        <f t="shared" si="4"/>
        <v>171965165.36185455</v>
      </c>
      <c r="I32">
        <f t="shared" si="6"/>
        <v>578958556.89539444</v>
      </c>
      <c r="J32">
        <f t="shared" si="7"/>
        <v>163.98560474243905</v>
      </c>
      <c r="K32">
        <f t="shared" si="8"/>
        <v>13.66546706186992</v>
      </c>
      <c r="N32">
        <f t="shared" si="9"/>
        <v>89372.154584629287</v>
      </c>
      <c r="O32" s="3">
        <f t="shared" si="10"/>
        <v>6.8499243484386713E-2</v>
      </c>
    </row>
    <row r="33" spans="2:15" x14ac:dyDescent="0.25">
      <c r="B33" t="str">
        <f t="shared" si="0"/>
        <v>20 a 40 Salários Mín.</v>
      </c>
      <c r="C33" s="1">
        <f t="shared" si="1"/>
        <v>281490.07435015001</v>
      </c>
      <c r="D33" s="1">
        <f t="shared" si="2"/>
        <v>29152.637738379999</v>
      </c>
      <c r="E33">
        <f t="shared" si="3"/>
        <v>1586574</v>
      </c>
      <c r="F33" s="2">
        <f t="shared" si="5"/>
        <v>0.10356541986669329</v>
      </c>
      <c r="G33" s="1">
        <f t="shared" si="4"/>
        <v>153412090.52083176</v>
      </c>
      <c r="I33">
        <f t="shared" si="6"/>
        <v>516495549.2663303</v>
      </c>
      <c r="J33">
        <f t="shared" si="7"/>
        <v>325.54141771283929</v>
      </c>
      <c r="K33">
        <f t="shared" si="8"/>
        <v>27.128451476069941</v>
      </c>
      <c r="N33">
        <f t="shared" si="9"/>
        <v>177420.07265349742</v>
      </c>
      <c r="O33" s="3">
        <f t="shared" si="10"/>
        <v>0.10356541986669329</v>
      </c>
    </row>
    <row r="34" spans="2:15" x14ac:dyDescent="0.25">
      <c r="B34" t="str">
        <f t="shared" si="0"/>
        <v>40 a 80 Salários Mín.</v>
      </c>
      <c r="C34" s="1">
        <f t="shared" si="1"/>
        <v>207953.18884518</v>
      </c>
      <c r="D34" s="1">
        <f t="shared" si="2"/>
        <v>21172.87095275</v>
      </c>
      <c r="E34">
        <f t="shared" si="3"/>
        <v>603584</v>
      </c>
      <c r="F34" s="2">
        <f t="shared" si="5"/>
        <v>0.10181556277318297</v>
      </c>
      <c r="G34" s="1">
        <f t="shared" si="4"/>
        <v>113334487.92062311</v>
      </c>
      <c r="I34">
        <f t="shared" si="6"/>
        <v>381565484.1195963</v>
      </c>
      <c r="J34">
        <f t="shared" si="7"/>
        <v>632.16633330173818</v>
      </c>
      <c r="K34">
        <f t="shared" si="8"/>
        <v>52.680527775144846</v>
      </c>
      <c r="N34">
        <f t="shared" si="9"/>
        <v>344530.65164944727</v>
      </c>
      <c r="O34" s="3">
        <f t="shared" si="10"/>
        <v>0.10181556277318297</v>
      </c>
    </row>
    <row r="35" spans="2:15" x14ac:dyDescent="0.25">
      <c r="B35" t="str">
        <f t="shared" si="0"/>
        <v>80 a 160 Salários Mín.</v>
      </c>
      <c r="C35" s="1">
        <f t="shared" si="1"/>
        <v>108576.76017088001</v>
      </c>
      <c r="D35" s="1">
        <f t="shared" si="2"/>
        <v>7634.3976929699993</v>
      </c>
      <c r="E35">
        <f t="shared" si="3"/>
        <v>158763</v>
      </c>
      <c r="F35" s="2">
        <f t="shared" si="5"/>
        <v>7.0313367989198156E-2</v>
      </c>
      <c r="G35" s="1">
        <f t="shared" si="4"/>
        <v>59174334.293129601</v>
      </c>
      <c r="I35">
        <f t="shared" si="6"/>
        <v>199223413.15757799</v>
      </c>
      <c r="J35">
        <f t="shared" si="7"/>
        <v>1254.8478748674313</v>
      </c>
      <c r="K35">
        <f t="shared" si="8"/>
        <v>104.57065623895261</v>
      </c>
      <c r="N35">
        <f t="shared" si="9"/>
        <v>683892.09180275002</v>
      </c>
      <c r="O35" s="3">
        <f t="shared" si="10"/>
        <v>7.0313367989198156E-2</v>
      </c>
    </row>
    <row r="36" spans="2:15" x14ac:dyDescent="0.25">
      <c r="B36" t="str">
        <f t="shared" si="0"/>
        <v>&gt; 160 Salários Mín.</v>
      </c>
      <c r="C36" s="1">
        <f t="shared" si="1"/>
        <v>297692.26898468996</v>
      </c>
      <c r="D36" s="1">
        <f t="shared" si="2"/>
        <v>7717.8829212799992</v>
      </c>
      <c r="E36">
        <f t="shared" si="3"/>
        <v>80930</v>
      </c>
      <c r="F36" s="2">
        <f t="shared" si="5"/>
        <v>2.592570827453004E-2</v>
      </c>
      <c r="G36" s="1">
        <f t="shared" si="4"/>
        <v>162242286.59665602</v>
      </c>
      <c r="I36">
        <f t="shared" si="6"/>
        <v>546224346.76089895</v>
      </c>
      <c r="J36">
        <f t="shared" si="7"/>
        <v>6749.3432195835776</v>
      </c>
      <c r="K36">
        <f t="shared" si="8"/>
        <v>562.4452682986315</v>
      </c>
      <c r="N36">
        <f t="shared" si="9"/>
        <v>3678392.0546730501</v>
      </c>
      <c r="O36" s="3">
        <f t="shared" si="10"/>
        <v>2.592570827453004E-2</v>
      </c>
    </row>
    <row r="37" spans="2:15" x14ac:dyDescent="0.25">
      <c r="B37" t="str">
        <f t="shared" si="0"/>
        <v xml:space="preserve">    Total</v>
      </c>
      <c r="C37" s="1">
        <f t="shared" si="1"/>
        <v>1759995.93070303</v>
      </c>
      <c r="D37" s="1">
        <f t="shared" si="2"/>
        <v>94668.769612520002</v>
      </c>
      <c r="E37">
        <f t="shared" si="3"/>
        <v>24898185</v>
      </c>
      <c r="F37" s="2">
        <f t="shared" si="5"/>
        <v>5.3789198009511638E-2</v>
      </c>
      <c r="G37" s="1">
        <f t="shared" si="4"/>
        <v>959197782.23315132</v>
      </c>
      <c r="I37">
        <f t="shared" si="6"/>
        <v>3229350331.5651927</v>
      </c>
      <c r="J37">
        <f t="shared" si="7"/>
        <v>129.70223859952816</v>
      </c>
      <c r="K37">
        <f t="shared" si="8"/>
        <v>10.808519883294013</v>
      </c>
      <c r="N37">
        <f t="shared" si="9"/>
        <v>70687.720036742845</v>
      </c>
      <c r="O37" s="3">
        <f t="shared" si="10"/>
        <v>5.3789198009511638E-2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37"/>
  <sheetViews>
    <sheetView topLeftCell="A13" workbookViewId="0">
      <selection activeCell="N25" sqref="N25:O37"/>
    </sheetView>
  </sheetViews>
  <sheetFormatPr baseColWidth="10" defaultColWidth="8.85546875" defaultRowHeight="15" x14ac:dyDescent="0.25"/>
  <sheetData>
    <row r="2" spans="2:20" x14ac:dyDescent="0.25">
      <c r="B2" t="str">
        <f>+[6]P14_P15_T9!C9</f>
        <v>Tabela 9 - Resumo das Declarações Por Faixa de Rendimentos Totais</v>
      </c>
      <c r="C2">
        <f>+[6]P14_P15_T9!D9</f>
        <v>0</v>
      </c>
      <c r="D2">
        <f>+[6]P14_P15_T9!E9</f>
        <v>0</v>
      </c>
      <c r="E2">
        <f>+[6]P14_P15_T9!F9</f>
        <v>0</v>
      </c>
      <c r="F2">
        <f>+[6]P14_P15_T9!G9</f>
        <v>0</v>
      </c>
      <c r="G2">
        <f>+[6]P14_P15_T9!H9</f>
        <v>0</v>
      </c>
      <c r="H2">
        <f>+[6]P14_P15_T9!I9</f>
        <v>0</v>
      </c>
      <c r="I2">
        <f>+[6]P14_P15_T9!J9</f>
        <v>0</v>
      </c>
      <c r="J2">
        <f>+[6]P14_P15_T9!K9</f>
        <v>0</v>
      </c>
      <c r="K2">
        <f>+[6]P14_P15_T9!L9</f>
        <v>0</v>
      </c>
      <c r="L2">
        <f>+[6]P14_P15_T9!M9</f>
        <v>0</v>
      </c>
      <c r="M2">
        <f>+[6]P14_P15_T9!N9</f>
        <v>0</v>
      </c>
      <c r="N2">
        <f>+[6]P14_P15_T9!O9</f>
        <v>0</v>
      </c>
      <c r="O2">
        <f>+[6]P14_P15_T9!P9</f>
        <v>0</v>
      </c>
      <c r="P2">
        <f>+[6]P14_P15_T9!Q9</f>
        <v>0</v>
      </c>
      <c r="Q2">
        <f>+[6]P14_P15_T9!R9</f>
        <v>0</v>
      </c>
      <c r="R2">
        <f>+[6]P14_P15_T9!S9</f>
        <v>0</v>
      </c>
      <c r="S2">
        <f>+[6]P14_P15_T9!T9</f>
        <v>0</v>
      </c>
      <c r="T2" t="str">
        <f>+[6]P14_P15_T9!U9</f>
        <v>Valores R$ milhões</v>
      </c>
    </row>
    <row r="3" spans="2:20" x14ac:dyDescent="0.25">
      <c r="B3" t="str">
        <f>+[6]P14_P15_T9!C10</f>
        <v>Faixa de Rendimento Total</v>
      </c>
      <c r="C3" t="str">
        <f>+[6]P14_P15_T9!D10</f>
        <v>Qtde Declarantes</v>
      </c>
      <c r="D3" t="str">
        <f>+[6]P14_P15_T9!E10</f>
        <v>Rendim. Tribut.</v>
      </c>
      <c r="E3" t="str">
        <f>+[6]P14_P15_T9!F10</f>
        <v>Rendim. Tribut. Exclus.</v>
      </c>
      <c r="F3" t="str">
        <f>+[6]P14_P15_T9!G10</f>
        <v>Rendim. Isentos</v>
      </c>
      <c r="G3" t="str">
        <f>+[6]P14_P15_T9!H10</f>
        <v>DEDUÇÕES</v>
      </c>
      <c r="H3">
        <f>+[6]P14_P15_T9!I10</f>
        <v>0</v>
      </c>
      <c r="I3">
        <f>+[6]P14_P15_T9!J10</f>
        <v>0</v>
      </c>
      <c r="J3">
        <f>+[6]P14_P15_T9!K10</f>
        <v>0</v>
      </c>
      <c r="K3">
        <f>+[6]P14_P15_T9!L10</f>
        <v>0</v>
      </c>
      <c r="L3">
        <f>+[6]P14_P15_T9!M10</f>
        <v>0</v>
      </c>
      <c r="M3">
        <f>+[6]P14_P15_T9!N10</f>
        <v>0</v>
      </c>
      <c r="N3" t="str">
        <f>+[6]P14_P15_T9!O10</f>
        <v>Base de Cálculo (RTL)</v>
      </c>
      <c r="O3" t="str">
        <f>+[6]P14_P15_T9!P10</f>
        <v>Imposto Devido</v>
      </c>
      <c r="P3" t="str">
        <f>+[6]P14_P15_T9!Q10</f>
        <v>Imposto Pago</v>
      </c>
      <c r="Q3" t="str">
        <f>+[6]P14_P15_T9!R10</f>
        <v>Imposto a Pagar</v>
      </c>
      <c r="R3" t="str">
        <f>+[6]P14_P15_T9!S10</f>
        <v>Imposto a Restituir</v>
      </c>
      <c r="S3" t="str">
        <f>+[6]P14_P15_T9!T10</f>
        <v>Bens e Direitos</v>
      </c>
      <c r="T3" t="str">
        <f>+[6]P14_P15_T9!U10</f>
        <v>Dívidas e Ônus</v>
      </c>
    </row>
    <row r="4" spans="2:20" x14ac:dyDescent="0.25">
      <c r="B4">
        <f>+[6]P14_P15_T9!C11</f>
        <v>0</v>
      </c>
      <c r="C4">
        <f>+[6]P14_P15_T9!D11</f>
        <v>0</v>
      </c>
      <c r="D4">
        <f>+[6]P14_P15_T9!E11</f>
        <v>0</v>
      </c>
      <c r="E4">
        <f>+[6]P14_P15_T9!F11</f>
        <v>0</v>
      </c>
      <c r="F4">
        <f>+[6]P14_P15_T9!G11</f>
        <v>0</v>
      </c>
      <c r="G4" t="str">
        <f>+[6]P14_P15_T9!H11</f>
        <v>Contrib. Previden.</v>
      </c>
      <c r="H4" t="str">
        <f>+[6]P14_P15_T9!I11</f>
        <v>Dependentes</v>
      </c>
      <c r="I4" t="str">
        <f>+[6]P14_P15_T9!J11</f>
        <v>Instrução</v>
      </c>
      <c r="J4" t="str">
        <f>+[6]P14_P15_T9!K11</f>
        <v>Médicas</v>
      </c>
      <c r="K4" t="str">
        <f>+[6]P14_P15_T9!L11</f>
        <v>Livro Caixa</v>
      </c>
      <c r="L4" t="str">
        <f>+[6]P14_P15_T9!M11</f>
        <v>Pensão Aliment.</v>
      </c>
      <c r="M4" t="str">
        <f>+[6]P14_P15_T9!N11</f>
        <v>Desc. Padrão</v>
      </c>
      <c r="N4">
        <f>+[6]P14_P15_T9!O11</f>
        <v>0</v>
      </c>
      <c r="O4">
        <f>+[6]P14_P15_T9!P11</f>
        <v>0</v>
      </c>
      <c r="P4">
        <f>+[6]P14_P15_T9!Q11</f>
        <v>0</v>
      </c>
      <c r="Q4">
        <f>+[6]P14_P15_T9!R11</f>
        <v>0</v>
      </c>
      <c r="R4">
        <f>+[6]P14_P15_T9!S11</f>
        <v>0</v>
      </c>
      <c r="S4">
        <f>+[6]P14_P15_T9!T11</f>
        <v>0</v>
      </c>
      <c r="T4">
        <f>+[6]P14_P15_T9!U11</f>
        <v>0</v>
      </c>
    </row>
    <row r="5" spans="2:20" x14ac:dyDescent="0.25">
      <c r="B5" t="str">
        <f>+[6]P14_P15_T9!C12</f>
        <v>Até 1/2 Salário Mín.</v>
      </c>
      <c r="C5">
        <f>+[6]P14_P15_T9!D12</f>
        <v>1382975</v>
      </c>
      <c r="D5">
        <f>+[6]P14_P15_T9!E12</f>
        <v>187.10513202999999</v>
      </c>
      <c r="E5">
        <f>+[6]P14_P15_T9!F12</f>
        <v>29.350192759999999</v>
      </c>
      <c r="F5">
        <f>+[6]P14_P15_T9!G12</f>
        <v>55.864122449999996</v>
      </c>
      <c r="G5">
        <f>+[6]P14_P15_T9!H12</f>
        <v>41.477300339999999</v>
      </c>
      <c r="H5">
        <f>+[6]P14_P15_T9!I12</f>
        <v>119.06376768000001</v>
      </c>
      <c r="I5">
        <f>+[6]P14_P15_T9!J12</f>
        <v>10.182528019999999</v>
      </c>
      <c r="J5">
        <f>+[6]P14_P15_T9!K12</f>
        <v>35.66295607</v>
      </c>
      <c r="K5">
        <f>+[6]P14_P15_T9!L12</f>
        <v>5.7345769999999997E-2</v>
      </c>
      <c r="L5">
        <f>+[6]P14_P15_T9!M12</f>
        <v>16.567771229999998</v>
      </c>
      <c r="M5">
        <f>+[6]P14_P15_T9!N12</f>
        <v>20.370092039999975</v>
      </c>
      <c r="N5">
        <f>+[6]P14_P15_T9!O12</f>
        <v>152.37542245999998</v>
      </c>
      <c r="O5">
        <f>+[6]P14_P15_T9!P12</f>
        <v>7.2480399999999999E-3</v>
      </c>
      <c r="P5">
        <f>+[6]P14_P15_T9!Q12</f>
        <v>37.476857610000003</v>
      </c>
      <c r="Q5">
        <f>+[6]P14_P15_T9!R12</f>
        <v>2.0960900000000001E-3</v>
      </c>
      <c r="R5">
        <f>+[6]P14_P15_T9!S12</f>
        <v>37.835441949999996</v>
      </c>
      <c r="S5">
        <f>+[6]P14_P15_T9!T12</f>
        <v>84309.10302255</v>
      </c>
      <c r="T5">
        <f>+[6]P14_P15_T9!U12</f>
        <v>10726.49967191</v>
      </c>
    </row>
    <row r="6" spans="2:20" x14ac:dyDescent="0.25">
      <c r="B6" t="str">
        <f>+[6]P14_P15_T9!C13</f>
        <v>1/2 a 1 Salário Mín.</v>
      </c>
      <c r="C6">
        <f>+[6]P14_P15_T9!D13</f>
        <v>500658</v>
      </c>
      <c r="D6">
        <f>+[6]P14_P15_T9!E13</f>
        <v>3166.13891487</v>
      </c>
      <c r="E6">
        <f>+[6]P14_P15_T9!F13</f>
        <v>57.601547539999999</v>
      </c>
      <c r="F6">
        <f>+[6]P14_P15_T9!G13</f>
        <v>183.72328061000002</v>
      </c>
      <c r="G6">
        <f>+[6]P14_P15_T9!H13</f>
        <v>94.075535150000022</v>
      </c>
      <c r="H6">
        <f>+[6]P14_P15_T9!I13</f>
        <v>56.311115520000001</v>
      </c>
      <c r="I6">
        <f>+[6]P14_P15_T9!J13</f>
        <v>6.4643623899999998</v>
      </c>
      <c r="J6">
        <f>+[6]P14_P15_T9!K13</f>
        <v>20.199559860000001</v>
      </c>
      <c r="K6">
        <f>+[6]P14_P15_T9!L13</f>
        <v>0.32741054999999997</v>
      </c>
      <c r="L6">
        <f>+[6]P14_P15_T9!M13</f>
        <v>3.8199196400000002</v>
      </c>
      <c r="M6">
        <f>+[6]P14_P15_T9!N13</f>
        <v>417.21455100000003</v>
      </c>
      <c r="N6">
        <f>+[6]P14_P15_T9!O13</f>
        <v>2611.5504979300003</v>
      </c>
      <c r="O6">
        <f>+[6]P14_P15_T9!P13</f>
        <v>4.2474729999999995E-2</v>
      </c>
      <c r="P6">
        <f>+[6]P14_P15_T9!Q13</f>
        <v>10.061186599999999</v>
      </c>
      <c r="Q6">
        <f>+[6]P14_P15_T9!R13</f>
        <v>1.8069080000000001E-2</v>
      </c>
      <c r="R6">
        <f>+[6]P14_P15_T9!S13</f>
        <v>10.13574768</v>
      </c>
      <c r="S6">
        <f>+[6]P14_P15_T9!T13</f>
        <v>22656.503381560004</v>
      </c>
      <c r="T6">
        <f>+[6]P14_P15_T9!U13</f>
        <v>2055.45275309</v>
      </c>
    </row>
    <row r="7" spans="2:20" x14ac:dyDescent="0.25">
      <c r="B7" t="str">
        <f>+[6]P14_P15_T9!C14</f>
        <v>1 a 2 Salários Mín.</v>
      </c>
      <c r="C7">
        <f>+[6]P14_P15_T9!D14</f>
        <v>1047405</v>
      </c>
      <c r="D7">
        <f>+[6]P14_P15_T9!E14</f>
        <v>10255.35983852</v>
      </c>
      <c r="E7">
        <f>+[6]P14_P15_T9!F14</f>
        <v>385.22945361999996</v>
      </c>
      <c r="F7">
        <f>+[6]P14_P15_T9!G14</f>
        <v>1333.1357426200002</v>
      </c>
      <c r="G7">
        <f>+[6]P14_P15_T9!H14</f>
        <v>219.54487688</v>
      </c>
      <c r="H7">
        <f>+[6]P14_P15_T9!I14</f>
        <v>198.75161856</v>
      </c>
      <c r="I7">
        <f>+[6]P14_P15_T9!J14</f>
        <v>29.590102659999999</v>
      </c>
      <c r="J7">
        <f>+[6]P14_P15_T9!K14</f>
        <v>93.346457540000003</v>
      </c>
      <c r="K7">
        <f>+[6]P14_P15_T9!L14</f>
        <v>3.6549087500000002</v>
      </c>
      <c r="L7">
        <f>+[6]P14_P15_T9!M14</f>
        <v>18.520273810000003</v>
      </c>
      <c r="M7">
        <f>+[6]P14_P15_T9!N14</f>
        <v>1278.1957668099999</v>
      </c>
      <c r="N7">
        <f>+[6]P14_P15_T9!O14</f>
        <v>8520.9898033499994</v>
      </c>
      <c r="O7">
        <f>+[6]P14_P15_T9!P14</f>
        <v>0.29313312999999996</v>
      </c>
      <c r="P7">
        <f>+[6]P14_P15_T9!Q14</f>
        <v>51.992056640000001</v>
      </c>
      <c r="Q7">
        <f>+[6]P14_P15_T9!R14</f>
        <v>9.7314789999999998E-2</v>
      </c>
      <c r="R7">
        <f>+[6]P14_P15_T9!S14</f>
        <v>52.375777990000003</v>
      </c>
      <c r="S7">
        <f>+[6]P14_P15_T9!T14</f>
        <v>55096.233401289996</v>
      </c>
      <c r="T7">
        <f>+[6]P14_P15_T9!U14</f>
        <v>5602.0975366300008</v>
      </c>
    </row>
    <row r="8" spans="2:20" x14ac:dyDescent="0.25">
      <c r="B8" t="str">
        <f>+[6]P14_P15_T9!C15</f>
        <v>2 a 3 Salários Mín.</v>
      </c>
      <c r="C8">
        <f>+[6]P14_P15_T9!D15</f>
        <v>2185271</v>
      </c>
      <c r="D8">
        <f>+[6]P14_P15_T9!E15</f>
        <v>37732.068081110003</v>
      </c>
      <c r="E8">
        <f>+[6]P14_P15_T9!F15</f>
        <v>1150.07729537</v>
      </c>
      <c r="F8">
        <f>+[6]P14_P15_T9!G15</f>
        <v>3173.2449889500003</v>
      </c>
      <c r="G8">
        <f>+[6]P14_P15_T9!H15</f>
        <v>616.11568051999996</v>
      </c>
      <c r="H8">
        <f>+[6]P14_P15_T9!I15</f>
        <v>485.74360031999998</v>
      </c>
      <c r="I8">
        <f>+[6]P14_P15_T9!J15</f>
        <v>80.268591819999997</v>
      </c>
      <c r="J8">
        <f>+[6]P14_P15_T9!K15</f>
        <v>220.90131940000001</v>
      </c>
      <c r="K8">
        <f>+[6]P14_P15_T9!L15</f>
        <v>18.309780379999999</v>
      </c>
      <c r="L8">
        <f>+[6]P14_P15_T9!M15</f>
        <v>28.29736114</v>
      </c>
      <c r="M8">
        <f>+[6]P14_P15_T9!N15</f>
        <v>5299.0979306400004</v>
      </c>
      <c r="N8">
        <f>+[6]P14_P15_T9!O15</f>
        <v>31146.166341309996</v>
      </c>
      <c r="O8">
        <f>+[6]P14_P15_T9!P15</f>
        <v>1.1925911500000002</v>
      </c>
      <c r="P8">
        <f>+[6]P14_P15_T9!Q15</f>
        <v>141.96887706999999</v>
      </c>
      <c r="Q8">
        <f>+[6]P14_P15_T9!R15</f>
        <v>0.65937692000000003</v>
      </c>
      <c r="R8">
        <f>+[6]P14_P15_T9!S15</f>
        <v>143.38147545000001</v>
      </c>
      <c r="S8">
        <f>+[6]P14_P15_T9!T15</f>
        <v>119589.83527159999</v>
      </c>
      <c r="T8">
        <f>+[6]P14_P15_T9!U15</f>
        <v>9849.0415508799997</v>
      </c>
    </row>
    <row r="9" spans="2:20" x14ac:dyDescent="0.25">
      <c r="B9" t="str">
        <f>+[6]P14_P15_T9!C16</f>
        <v>3 a 5 Salários Mín.</v>
      </c>
      <c r="C9">
        <f>+[6]P14_P15_T9!D16</f>
        <v>7783384</v>
      </c>
      <c r="D9">
        <f>+[6]P14_P15_T9!E16</f>
        <v>196466.69959321001</v>
      </c>
      <c r="E9">
        <f>+[6]P14_P15_T9!F16</f>
        <v>10106.99615182</v>
      </c>
      <c r="F9">
        <f>+[6]P14_P15_T9!G16</f>
        <v>17519.49762568</v>
      </c>
      <c r="G9">
        <f>+[6]P14_P15_T9!H16</f>
        <v>5785.4729573600007</v>
      </c>
      <c r="H9">
        <f>+[6]P14_P15_T9!I16</f>
        <v>6668.2720156800005</v>
      </c>
      <c r="I9">
        <f>+[6]P14_P15_T9!J16</f>
        <v>1978.17226121</v>
      </c>
      <c r="J9">
        <f>+[6]P14_P15_T9!K16</f>
        <v>3549.5029508899997</v>
      </c>
      <c r="K9">
        <f>+[6]P14_P15_T9!L16</f>
        <v>302.11329267000002</v>
      </c>
      <c r="L9">
        <f>+[6]P14_P15_T9!M16</f>
        <v>754.16055619999986</v>
      </c>
      <c r="M9">
        <f>+[6]P14_P15_T9!N16</f>
        <v>27329.392466150002</v>
      </c>
      <c r="N9">
        <f>+[6]P14_P15_T9!O16</f>
        <v>150879.84329304</v>
      </c>
      <c r="O9">
        <f>+[6]P14_P15_T9!P16</f>
        <v>837.82926283999996</v>
      </c>
      <c r="P9">
        <f>+[6]P14_P15_T9!Q16</f>
        <v>1959.2235902799998</v>
      </c>
      <c r="Q9">
        <f>+[6]P14_P15_T9!R16</f>
        <v>213.43121962999999</v>
      </c>
      <c r="R9">
        <f>+[6]P14_P15_T9!S16</f>
        <v>1357.02759717</v>
      </c>
      <c r="S9">
        <f>+[6]P14_P15_T9!T16</f>
        <v>451574.25685216003</v>
      </c>
      <c r="T9">
        <f>+[6]P14_P15_T9!U16</f>
        <v>68941.29601726</v>
      </c>
    </row>
    <row r="10" spans="2:20" x14ac:dyDescent="0.25">
      <c r="B10" t="str">
        <f>+[6]P14_P15_T9!C17</f>
        <v>5 a 10 Salários Mín.</v>
      </c>
      <c r="C10">
        <f>+[6]P14_P15_T9!D17</f>
        <v>7218899</v>
      </c>
      <c r="D10">
        <f>+[6]P14_P15_T9!E17</f>
        <v>303518.06564884004</v>
      </c>
      <c r="E10">
        <f>+[6]P14_P15_T9!F17</f>
        <v>21585.447915330002</v>
      </c>
      <c r="F10">
        <f>+[6]P14_P15_T9!G17</f>
        <v>50149.666367769998</v>
      </c>
      <c r="G10">
        <f>+[6]P14_P15_T9!H17</f>
        <v>13634.328795200001</v>
      </c>
      <c r="H10">
        <f>+[6]P14_P15_T9!I17</f>
        <v>11732.149197120001</v>
      </c>
      <c r="I10">
        <f>+[6]P14_P15_T9!J17</f>
        <v>7190.8122535500006</v>
      </c>
      <c r="J10">
        <f>+[6]P14_P15_T9!K17</f>
        <v>13469.83021468</v>
      </c>
      <c r="K10">
        <f>+[6]P14_P15_T9!L17</f>
        <v>1600.2397049900001</v>
      </c>
      <c r="L10">
        <f>+[6]P14_P15_T9!M17</f>
        <v>2898.9968328299997</v>
      </c>
      <c r="M10">
        <f>+[6]P14_P15_T9!N17</f>
        <v>31655.698080349997</v>
      </c>
      <c r="N10">
        <f>+[6]P14_P15_T9!O17</f>
        <v>222120.75334468001</v>
      </c>
      <c r="O10">
        <f>+[6]P14_P15_T9!P17</f>
        <v>10063.17306725</v>
      </c>
      <c r="P10">
        <f>+[6]P14_P15_T9!Q17</f>
        <v>12870.17856592</v>
      </c>
      <c r="Q10">
        <f>+[6]P14_P15_T9!R17</f>
        <v>1912.6737469</v>
      </c>
      <c r="R10">
        <f>+[6]P14_P15_T9!S17</f>
        <v>4847.2016611899999</v>
      </c>
      <c r="S10">
        <f>+[6]P14_P15_T9!T17</f>
        <v>673457.38878697995</v>
      </c>
      <c r="T10">
        <f>+[6]P14_P15_T9!U17</f>
        <v>95320.945745100005</v>
      </c>
    </row>
    <row r="11" spans="2:20" x14ac:dyDescent="0.25">
      <c r="B11" t="str">
        <f>+[6]P14_P15_T9!C18</f>
        <v>10 a 20 Salários Mín.</v>
      </c>
      <c r="C11">
        <f>+[6]P14_P15_T9!D18</f>
        <v>3471099</v>
      </c>
      <c r="D11">
        <f>+[6]P14_P15_T9!E18</f>
        <v>261676.83203126001</v>
      </c>
      <c r="E11">
        <f>+[6]P14_P15_T9!F18</f>
        <v>22562.766868450002</v>
      </c>
      <c r="F11">
        <f>+[6]P14_P15_T9!G18</f>
        <v>72667.989267069992</v>
      </c>
      <c r="G11">
        <f>+[6]P14_P15_T9!H18</f>
        <v>12066.726367339998</v>
      </c>
      <c r="H11">
        <f>+[6]P14_P15_T9!I18</f>
        <v>5874.4306262399996</v>
      </c>
      <c r="I11">
        <f>+[6]P14_P15_T9!J18</f>
        <v>5250.2475129100003</v>
      </c>
      <c r="J11">
        <f>+[6]P14_P15_T9!K18</f>
        <v>12923.311020930001</v>
      </c>
      <c r="K11">
        <f>+[6]P14_P15_T9!L18</f>
        <v>2720.1107209499996</v>
      </c>
      <c r="L11">
        <f>+[6]P14_P15_T9!M18</f>
        <v>3024.4726315500002</v>
      </c>
      <c r="M11">
        <f>+[6]P14_P15_T9!N18</f>
        <v>20413.380933159999</v>
      </c>
      <c r="N11">
        <f>+[6]P14_P15_T9!O18</f>
        <v>199981.51548147999</v>
      </c>
      <c r="O11">
        <f>+[6]P14_P15_T9!P18</f>
        <v>26820.73090671</v>
      </c>
      <c r="P11">
        <f>+[6]P14_P15_T9!Q18</f>
        <v>27164.05781559</v>
      </c>
      <c r="Q11">
        <f>+[6]P14_P15_T9!R18</f>
        <v>3686.1794625899997</v>
      </c>
      <c r="R11">
        <f>+[6]P14_P15_T9!S18</f>
        <v>4251.7402427899997</v>
      </c>
      <c r="S11">
        <f>+[6]P14_P15_T9!T18</f>
        <v>742830.37083866005</v>
      </c>
      <c r="T11">
        <f>+[6]P14_P15_T9!U18</f>
        <v>81023.208505449991</v>
      </c>
    </row>
    <row r="12" spans="2:20" x14ac:dyDescent="0.25">
      <c r="B12" t="str">
        <f>+[6]P14_P15_T9!C19</f>
        <v>20 a 40 Salários Mín.</v>
      </c>
      <c r="C12">
        <f>+[6]P14_P15_T9!D19</f>
        <v>1527419</v>
      </c>
      <c r="D12">
        <f>+[6]P14_P15_T9!E19</f>
        <v>201719.26054699</v>
      </c>
      <c r="E12">
        <f>+[6]P14_P15_T9!F19</f>
        <v>23152.927096170002</v>
      </c>
      <c r="F12">
        <f>+[6]P14_P15_T9!G19</f>
        <v>87897.510884239993</v>
      </c>
      <c r="G12">
        <f>+[6]P14_P15_T9!H19</f>
        <v>12975.67514055</v>
      </c>
      <c r="H12">
        <f>+[6]P14_P15_T9!I19</f>
        <v>2680.62710784</v>
      </c>
      <c r="I12">
        <f>+[6]P14_P15_T9!J19</f>
        <v>2403.6065649799998</v>
      </c>
      <c r="J12">
        <f>+[6]P14_P15_T9!K19</f>
        <v>9328.9056778700015</v>
      </c>
      <c r="K12">
        <f>+[6]P14_P15_T9!L19</f>
        <v>2913.5022466300002</v>
      </c>
      <c r="L12">
        <f>+[6]P14_P15_T9!M19</f>
        <v>2830.7218190499998</v>
      </c>
      <c r="M12">
        <f>+[6]P14_P15_T9!N19</f>
        <v>5312.1223793600002</v>
      </c>
      <c r="N12">
        <f>+[6]P14_P15_T9!O19</f>
        <v>164037.25647286</v>
      </c>
      <c r="O12">
        <f>+[6]P14_P15_T9!P19</f>
        <v>32816.236577160002</v>
      </c>
      <c r="P12">
        <f>+[6]P14_P15_T9!Q19</f>
        <v>31422.200838869998</v>
      </c>
      <c r="Q12">
        <f>+[6]P14_P15_T9!R19</f>
        <v>3343.84498282</v>
      </c>
      <c r="R12">
        <f>+[6]P14_P15_T9!S19</f>
        <v>2188.4617164199999</v>
      </c>
      <c r="S12">
        <f>+[6]P14_P15_T9!T19</f>
        <v>766157.54302614997</v>
      </c>
      <c r="T12">
        <f>+[6]P14_P15_T9!U19</f>
        <v>68312.875118430005</v>
      </c>
    </row>
    <row r="13" spans="2:20" x14ac:dyDescent="0.25">
      <c r="B13" t="str">
        <f>+[6]P14_P15_T9!C20</f>
        <v>40 a 80 Salários Mín.</v>
      </c>
      <c r="C13">
        <f>+[6]P14_P15_T9!D20</f>
        <v>540427</v>
      </c>
      <c r="D13">
        <f>+[6]P14_P15_T9!E20</f>
        <v>109063.69739439999</v>
      </c>
      <c r="E13">
        <f>+[6]P14_P15_T9!F20</f>
        <v>20047.31464615</v>
      </c>
      <c r="F13">
        <f>+[6]P14_P15_T9!G20</f>
        <v>86791.056554729992</v>
      </c>
      <c r="G13">
        <f>+[6]P14_P15_T9!H20</f>
        <v>7159.0187106500016</v>
      </c>
      <c r="H13">
        <f>+[6]P14_P15_T9!I20</f>
        <v>906.84276671999999</v>
      </c>
      <c r="I13">
        <f>+[6]P14_P15_T9!J20</f>
        <v>797.2652176900001</v>
      </c>
      <c r="J13">
        <f>+[6]P14_P15_T9!K20</f>
        <v>4312.4599403599996</v>
      </c>
      <c r="K13">
        <f>+[6]P14_P15_T9!L20</f>
        <v>2387.5185109399999</v>
      </c>
      <c r="L13">
        <f>+[6]P14_P15_T9!M20</f>
        <v>1538.9033171099998</v>
      </c>
      <c r="M13">
        <f>+[6]P14_P15_T9!N20</f>
        <v>1493.6462041300001</v>
      </c>
      <c r="N13">
        <f>+[6]P14_P15_T9!O20</f>
        <v>90895.990819649989</v>
      </c>
      <c r="O13">
        <f>+[6]P14_P15_T9!P20</f>
        <v>20878.630558190001</v>
      </c>
      <c r="P13">
        <f>+[6]P14_P15_T9!Q20</f>
        <v>19350.989162309997</v>
      </c>
      <c r="Q13">
        <f>+[6]P14_P15_T9!R20</f>
        <v>2164.6963711799999</v>
      </c>
      <c r="R13">
        <f>+[6]P14_P15_T9!S20</f>
        <v>967.03720586000009</v>
      </c>
      <c r="S13">
        <f>+[6]P14_P15_T9!T20</f>
        <v>603812.22389221995</v>
      </c>
      <c r="T13">
        <f>+[6]P14_P15_T9!U20</f>
        <v>41115.680850930003</v>
      </c>
    </row>
    <row r="14" spans="2:20" x14ac:dyDescent="0.25">
      <c r="B14" t="str">
        <f>+[6]P14_P15_T9!C21</f>
        <v>80 a 160 Salários Mín.</v>
      </c>
      <c r="C14">
        <f>+[6]P14_P15_T9!D21</f>
        <v>142576</v>
      </c>
      <c r="D14">
        <f>+[6]P14_P15_T9!E21</f>
        <v>35900.605276790004</v>
      </c>
      <c r="E14">
        <f>+[6]P14_P15_T9!F21</f>
        <v>13258.8119895</v>
      </c>
      <c r="F14">
        <f>+[6]P14_P15_T9!G21</f>
        <v>65089.928526399999</v>
      </c>
      <c r="G14">
        <f>+[6]P14_P15_T9!H21</f>
        <v>1701.67809835</v>
      </c>
      <c r="H14">
        <f>+[6]P14_P15_T9!I21</f>
        <v>209.72316287999999</v>
      </c>
      <c r="I14">
        <f>+[6]P14_P15_T9!J21</f>
        <v>178.19959855000002</v>
      </c>
      <c r="J14">
        <f>+[6]P14_P15_T9!K21</f>
        <v>1183.5409616400002</v>
      </c>
      <c r="K14">
        <f>+[6]P14_P15_T9!L21</f>
        <v>1148.4305856800001</v>
      </c>
      <c r="L14">
        <f>+[6]P14_P15_T9!M21</f>
        <v>417.20381444999998</v>
      </c>
      <c r="M14">
        <f>+[6]P14_P15_T9!N21</f>
        <v>477.97386704000019</v>
      </c>
      <c r="N14">
        <f>+[6]P14_P15_T9!O21</f>
        <v>30724.614713280003</v>
      </c>
      <c r="O14">
        <f>+[6]P14_P15_T9!P21</f>
        <v>7495.2860985899997</v>
      </c>
      <c r="P14">
        <f>+[6]P14_P15_T9!Q21</f>
        <v>6608.2560682499998</v>
      </c>
      <c r="Q14">
        <f>+[6]P14_P15_T9!R21</f>
        <v>990.31513770000004</v>
      </c>
      <c r="R14">
        <f>+[6]P14_P15_T9!S21</f>
        <v>293.44689247999997</v>
      </c>
      <c r="S14">
        <f>+[6]P14_P15_T9!T21</f>
        <v>380634.85847092001</v>
      </c>
      <c r="T14">
        <f>+[6]P14_P15_T9!U21</f>
        <v>22822.1200197</v>
      </c>
    </row>
    <row r="15" spans="2:20" x14ac:dyDescent="0.25">
      <c r="B15" t="str">
        <f>+[6]P14_P15_T9!C22</f>
        <v>&gt; 160 Salários Mín.</v>
      </c>
      <c r="C15">
        <f>+[6]P14_P15_T9!D22</f>
        <v>73743</v>
      </c>
      <c r="D15">
        <f>+[6]P14_P15_T9!E22</f>
        <v>37070.196996819999</v>
      </c>
      <c r="E15">
        <f>+[6]P14_P15_T9!F22</f>
        <v>69091.011928370004</v>
      </c>
      <c r="F15">
        <f>+[6]P14_P15_T9!G22</f>
        <v>181507.34660906001</v>
      </c>
      <c r="G15">
        <f>+[6]P14_P15_T9!H22</f>
        <v>982.09415668999986</v>
      </c>
      <c r="H15">
        <f>+[6]P14_P15_T9!I22</f>
        <v>101.22217248</v>
      </c>
      <c r="I15">
        <f>+[6]P14_P15_T9!J22</f>
        <v>83.191756499999997</v>
      </c>
      <c r="J15">
        <f>+[6]P14_P15_T9!K22</f>
        <v>786.53433147999999</v>
      </c>
      <c r="K15">
        <f>+[6]P14_P15_T9!L22</f>
        <v>4381.4588592700002</v>
      </c>
      <c r="L15">
        <f>+[6]P14_P15_T9!M22</f>
        <v>332.29923985000005</v>
      </c>
      <c r="M15">
        <f>+[6]P14_P15_T9!N22</f>
        <v>267.13971715000025</v>
      </c>
      <c r="N15">
        <f>+[6]P14_P15_T9!O22</f>
        <v>30302.906419589999</v>
      </c>
      <c r="O15">
        <f>+[6]P14_P15_T9!P22</f>
        <v>7832.2259891900003</v>
      </c>
      <c r="P15">
        <f>+[6]P14_P15_T9!Q22</f>
        <v>6475.5786035700003</v>
      </c>
      <c r="Q15">
        <f>+[6]P14_P15_T9!R22</f>
        <v>1447.47375564</v>
      </c>
      <c r="R15">
        <f>+[6]P14_P15_T9!S22</f>
        <v>226.02536548999998</v>
      </c>
      <c r="S15">
        <f>+[6]P14_P15_T9!T22</f>
        <v>1183495.3179168999</v>
      </c>
      <c r="T15">
        <f>+[6]P14_P15_T9!U22</f>
        <v>52244.910139489999</v>
      </c>
    </row>
    <row r="16" spans="2:20" x14ac:dyDescent="0.25">
      <c r="B16" t="str">
        <f>+[6]P14_P15_T9!C23</f>
        <v xml:space="preserve">    Total</v>
      </c>
      <c r="C16">
        <f>+[6]P14_P15_T9!D23</f>
        <v>25873856</v>
      </c>
      <c r="D16">
        <f>+[6]P14_P15_T9!E23</f>
        <v>1196756.0294548399</v>
      </c>
      <c r="E16">
        <f>+[6]P14_P15_T9!F23</f>
        <v>181427.53508508002</v>
      </c>
      <c r="F16">
        <f>+[6]P14_P15_T9!G23</f>
        <v>566368.96396958001</v>
      </c>
      <c r="G16">
        <f>+[6]P14_P15_T9!H23</f>
        <v>55276.207619029999</v>
      </c>
      <c r="H16">
        <f>+[6]P14_P15_T9!I23</f>
        <v>29033.137151039999</v>
      </c>
      <c r="I16">
        <f>+[6]P14_P15_T9!J23</f>
        <v>18008.00075028</v>
      </c>
      <c r="J16">
        <f>+[6]P14_P15_T9!K23</f>
        <v>45924.19539072</v>
      </c>
      <c r="K16">
        <f>+[6]P14_P15_T9!L23</f>
        <v>15475.723366580001</v>
      </c>
      <c r="L16">
        <f>+[6]P14_P15_T9!M23</f>
        <v>11863.963536859999</v>
      </c>
      <c r="M16">
        <f>+[6]P14_P15_T9!N23</f>
        <v>93964.23198782999</v>
      </c>
      <c r="N16">
        <f>+[6]P14_P15_T9!O23</f>
        <v>931373.96260962996</v>
      </c>
      <c r="O16">
        <f>+[6]P14_P15_T9!P23</f>
        <v>106745.64790698</v>
      </c>
      <c r="P16">
        <f>+[6]P14_P15_T9!Q23</f>
        <v>106091.98362271</v>
      </c>
      <c r="Q16">
        <f>+[6]P14_P15_T9!R23</f>
        <v>13759.391533339998</v>
      </c>
      <c r="R16">
        <f>+[6]P14_P15_T9!S23</f>
        <v>14374.66912447</v>
      </c>
      <c r="S16">
        <f>+[6]P14_P15_T9!T23</f>
        <v>5083613.6348609896</v>
      </c>
      <c r="T16">
        <f>+[6]P14_P15_T9!U23</f>
        <v>458014.12790886994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622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272.26210147</v>
      </c>
      <c r="D26" s="1">
        <f t="shared" ref="D26:D37" si="2">+O5</f>
        <v>7.2480399999999999E-3</v>
      </c>
      <c r="E26">
        <f t="shared" ref="E26:E37" si="3">+C5</f>
        <v>1382975</v>
      </c>
      <c r="F26" s="2">
        <f>+D26/C26</f>
        <v>2.6621553131582825E-5</v>
      </c>
      <c r="G26" s="1">
        <f t="shared" ref="G26:G37" si="4">+C26*$H$25</f>
        <v>169347.02711434002</v>
      </c>
      <c r="I26">
        <f>+C26*1000000/$H$25</f>
        <v>437720.42036977498</v>
      </c>
      <c r="J26">
        <f>+I26/E26</f>
        <v>0.31650638686149424</v>
      </c>
      <c r="K26">
        <f>+J26/12</f>
        <v>2.6375532238457854E-2</v>
      </c>
      <c r="N26">
        <f>+C26*1000000/E26</f>
        <v>196.86697262784941</v>
      </c>
      <c r="O26" s="3">
        <f>+F26</f>
        <v>2.6621553131582825E-5</v>
      </c>
    </row>
    <row r="27" spans="2:15" x14ac:dyDescent="0.25">
      <c r="B27" t="str">
        <f t="shared" si="0"/>
        <v>1/2 a 1 Salário Mín.</v>
      </c>
      <c r="C27" s="1">
        <f t="shared" si="1"/>
        <v>3407.1363324700001</v>
      </c>
      <c r="D27" s="1">
        <f t="shared" si="2"/>
        <v>4.2474729999999995E-2</v>
      </c>
      <c r="E27">
        <f t="shared" si="3"/>
        <v>500658</v>
      </c>
      <c r="F27" s="2">
        <f t="shared" ref="F27:F37" si="5">+D27/C27</f>
        <v>1.246640165091603E-5</v>
      </c>
      <c r="G27" s="1">
        <f t="shared" si="4"/>
        <v>2119238.7987963399</v>
      </c>
      <c r="I27">
        <f t="shared" ref="I27:I37" si="6">+C27*1000000/$H$25</f>
        <v>5477711.1454501608</v>
      </c>
      <c r="J27">
        <f t="shared" ref="J27:J37" si="7">+I27/E27</f>
        <v>10.941023903443391</v>
      </c>
      <c r="K27">
        <f t="shared" ref="K27:K37" si="8">+J27/12</f>
        <v>0.91175199195361589</v>
      </c>
      <c r="N27">
        <f t="shared" ref="N27:N37" si="9">+C27*1000000/E27</f>
        <v>6805.3168679417895</v>
      </c>
      <c r="O27" s="3">
        <f t="shared" ref="O27:O37" si="10">+F27</f>
        <v>1.246640165091603E-5</v>
      </c>
    </row>
    <row r="28" spans="2:15" x14ac:dyDescent="0.25">
      <c r="B28" t="str">
        <f t="shared" si="0"/>
        <v>1 a 2 Salários Mín.</v>
      </c>
      <c r="C28" s="1">
        <f t="shared" si="1"/>
        <v>11970.070126010001</v>
      </c>
      <c r="D28" s="1">
        <f t="shared" si="2"/>
        <v>0.29313312999999996</v>
      </c>
      <c r="E28">
        <f t="shared" si="3"/>
        <v>1047405</v>
      </c>
      <c r="F28" s="2">
        <f t="shared" si="5"/>
        <v>2.4488839824174898E-5</v>
      </c>
      <c r="G28" s="1">
        <f t="shared" si="4"/>
        <v>7445383.6183782211</v>
      </c>
      <c r="I28">
        <f t="shared" si="6"/>
        <v>19244485.733135052</v>
      </c>
      <c r="J28">
        <f t="shared" si="7"/>
        <v>18.373490419785139</v>
      </c>
      <c r="K28">
        <f t="shared" si="8"/>
        <v>1.5311242016487616</v>
      </c>
      <c r="N28">
        <f t="shared" si="9"/>
        <v>11428.311041106355</v>
      </c>
      <c r="O28" s="3">
        <f t="shared" si="10"/>
        <v>2.4488839824174898E-5</v>
      </c>
    </row>
    <row r="29" spans="2:15" x14ac:dyDescent="0.25">
      <c r="B29" t="str">
        <f t="shared" si="0"/>
        <v>2 a 3 Salários Mín.</v>
      </c>
      <c r="C29" s="1">
        <f t="shared" si="1"/>
        <v>42037.080585050004</v>
      </c>
      <c r="D29" s="1">
        <f t="shared" si="2"/>
        <v>1.1925911500000002</v>
      </c>
      <c r="E29">
        <f t="shared" si="3"/>
        <v>2185271</v>
      </c>
      <c r="F29" s="2">
        <f t="shared" si="5"/>
        <v>2.8369980345974151E-5</v>
      </c>
      <c r="G29" s="1">
        <f t="shared" si="4"/>
        <v>26147064.123901103</v>
      </c>
      <c r="I29">
        <f t="shared" si="6"/>
        <v>67583730.844131842</v>
      </c>
      <c r="J29">
        <f t="shared" si="7"/>
        <v>30.92693347604569</v>
      </c>
      <c r="K29">
        <f t="shared" si="8"/>
        <v>2.5772444563371408</v>
      </c>
      <c r="N29">
        <f t="shared" si="9"/>
        <v>19236.552622100418</v>
      </c>
      <c r="O29" s="3">
        <f t="shared" si="10"/>
        <v>2.8369980345974151E-5</v>
      </c>
    </row>
    <row r="30" spans="2:15" x14ac:dyDescent="0.25">
      <c r="B30" t="str">
        <f t="shared" si="0"/>
        <v>3 a 5 Salários Mín.</v>
      </c>
      <c r="C30" s="1">
        <f t="shared" si="1"/>
        <v>223791.08007804002</v>
      </c>
      <c r="D30" s="1">
        <f t="shared" si="2"/>
        <v>837.82926283999996</v>
      </c>
      <c r="E30">
        <f t="shared" si="3"/>
        <v>7783384</v>
      </c>
      <c r="F30" s="2">
        <f t="shared" si="5"/>
        <v>3.7438009707439351E-3</v>
      </c>
      <c r="G30" s="1">
        <f t="shared" si="4"/>
        <v>139198051.80854088</v>
      </c>
      <c r="I30">
        <f t="shared" si="6"/>
        <v>359792733.24443734</v>
      </c>
      <c r="J30">
        <f t="shared" si="7"/>
        <v>46.225746185006074</v>
      </c>
      <c r="K30">
        <f t="shared" si="8"/>
        <v>3.8521455154171726</v>
      </c>
      <c r="N30">
        <f t="shared" si="9"/>
        <v>28752.414127073778</v>
      </c>
      <c r="O30" s="3">
        <f t="shared" si="10"/>
        <v>3.7438009707439351E-3</v>
      </c>
    </row>
    <row r="31" spans="2:15" x14ac:dyDescent="0.25">
      <c r="B31" t="str">
        <f t="shared" si="0"/>
        <v>5 a 10 Salários Mín.</v>
      </c>
      <c r="C31" s="1">
        <f t="shared" si="1"/>
        <v>373652.94022695004</v>
      </c>
      <c r="D31" s="1">
        <f t="shared" si="2"/>
        <v>10063.17306725</v>
      </c>
      <c r="E31">
        <f t="shared" si="3"/>
        <v>7218899</v>
      </c>
      <c r="F31" s="2">
        <f t="shared" si="5"/>
        <v>2.6931871755479325E-2</v>
      </c>
      <c r="G31" s="1">
        <f t="shared" si="4"/>
        <v>232412128.82116294</v>
      </c>
      <c r="I31">
        <f t="shared" si="6"/>
        <v>600728199.72178459</v>
      </c>
      <c r="J31">
        <f t="shared" si="7"/>
        <v>83.216041632080547</v>
      </c>
      <c r="K31">
        <f t="shared" si="8"/>
        <v>6.9346701360067122</v>
      </c>
      <c r="N31">
        <f t="shared" si="9"/>
        <v>51760.377895154095</v>
      </c>
      <c r="O31" s="3">
        <f t="shared" si="10"/>
        <v>2.6931871755479325E-2</v>
      </c>
    </row>
    <row r="32" spans="2:15" x14ac:dyDescent="0.25">
      <c r="B32" t="str">
        <f t="shared" si="0"/>
        <v>10 a 20 Salários Mín.</v>
      </c>
      <c r="C32" s="1">
        <f t="shared" si="1"/>
        <v>354187.47744582995</v>
      </c>
      <c r="D32" s="1">
        <f t="shared" si="2"/>
        <v>26820.73090671</v>
      </c>
      <c r="E32">
        <f t="shared" si="3"/>
        <v>3471099</v>
      </c>
      <c r="F32" s="2">
        <f t="shared" si="5"/>
        <v>7.5724672989919611E-2</v>
      </c>
      <c r="G32" s="1">
        <f t="shared" si="4"/>
        <v>220304610.97130623</v>
      </c>
      <c r="I32">
        <f t="shared" si="6"/>
        <v>569433243.48204172</v>
      </c>
      <c r="J32">
        <f t="shared" si="7"/>
        <v>164.04984227820691</v>
      </c>
      <c r="K32">
        <f t="shared" si="8"/>
        <v>13.670820189850575</v>
      </c>
      <c r="N32">
        <f t="shared" si="9"/>
        <v>102039.0018970447</v>
      </c>
      <c r="O32" s="3">
        <f t="shared" si="10"/>
        <v>7.5724672989919611E-2</v>
      </c>
    </row>
    <row r="33" spans="2:15" x14ac:dyDescent="0.25">
      <c r="B33" t="str">
        <f t="shared" si="0"/>
        <v>20 a 40 Salários Mín.</v>
      </c>
      <c r="C33" s="1">
        <f t="shared" si="1"/>
        <v>309856.19628076995</v>
      </c>
      <c r="D33" s="1">
        <f t="shared" si="2"/>
        <v>32816.236577160002</v>
      </c>
      <c r="E33">
        <f t="shared" si="3"/>
        <v>1527419</v>
      </c>
      <c r="F33" s="2">
        <f t="shared" si="5"/>
        <v>0.10590795656519397</v>
      </c>
      <c r="G33" s="1">
        <f t="shared" si="4"/>
        <v>192730554.0866389</v>
      </c>
      <c r="I33">
        <f t="shared" si="6"/>
        <v>498161087.26811892</v>
      </c>
      <c r="J33">
        <f t="shared" si="7"/>
        <v>326.14566616502668</v>
      </c>
      <c r="K33">
        <f t="shared" si="8"/>
        <v>27.178805513752224</v>
      </c>
      <c r="N33">
        <f t="shared" si="9"/>
        <v>202862.60435464661</v>
      </c>
      <c r="O33" s="3">
        <f t="shared" si="10"/>
        <v>0.10590795656519397</v>
      </c>
    </row>
    <row r="34" spans="2:15" x14ac:dyDescent="0.25">
      <c r="B34" t="str">
        <f t="shared" si="0"/>
        <v>40 a 80 Salários Mín.</v>
      </c>
      <c r="C34" s="1">
        <f t="shared" si="1"/>
        <v>213514.55008434001</v>
      </c>
      <c r="D34" s="1">
        <f t="shared" si="2"/>
        <v>20878.630558190001</v>
      </c>
      <c r="E34">
        <f t="shared" si="3"/>
        <v>540427</v>
      </c>
      <c r="F34" s="2">
        <f t="shared" si="5"/>
        <v>9.7785516490294322E-2</v>
      </c>
      <c r="G34" s="1">
        <f t="shared" si="4"/>
        <v>132806050.15245949</v>
      </c>
      <c r="I34">
        <f t="shared" si="6"/>
        <v>343270980.84299034</v>
      </c>
      <c r="J34">
        <f t="shared" si="7"/>
        <v>635.18473511314266</v>
      </c>
      <c r="K34">
        <f t="shared" si="8"/>
        <v>52.932061259428558</v>
      </c>
      <c r="N34">
        <f t="shared" si="9"/>
        <v>395084.90524037473</v>
      </c>
      <c r="O34" s="3">
        <f t="shared" si="10"/>
        <v>9.7785516490294322E-2</v>
      </c>
    </row>
    <row r="35" spans="2:15" x14ac:dyDescent="0.25">
      <c r="B35" t="str">
        <f t="shared" si="0"/>
        <v>80 a 160 Salários Mín.</v>
      </c>
      <c r="C35" s="1">
        <f t="shared" si="1"/>
        <v>113100.91520701</v>
      </c>
      <c r="D35" s="1">
        <f t="shared" si="2"/>
        <v>7495.2860985899997</v>
      </c>
      <c r="E35">
        <f t="shared" si="3"/>
        <v>142576</v>
      </c>
      <c r="F35" s="2">
        <f t="shared" si="5"/>
        <v>6.6270782025691699E-2</v>
      </c>
      <c r="G35" s="1">
        <f t="shared" si="4"/>
        <v>70348769.258760214</v>
      </c>
      <c r="I35">
        <f t="shared" si="6"/>
        <v>181834268.82155949</v>
      </c>
      <c r="J35">
        <f t="shared" si="7"/>
        <v>1275.3497700984701</v>
      </c>
      <c r="K35">
        <f t="shared" si="8"/>
        <v>106.27914750820584</v>
      </c>
      <c r="N35">
        <f t="shared" si="9"/>
        <v>793267.55700124847</v>
      </c>
      <c r="O35" s="3">
        <f t="shared" si="10"/>
        <v>6.6270782025691699E-2</v>
      </c>
    </row>
    <row r="36" spans="2:15" x14ac:dyDescent="0.25">
      <c r="B36" t="str">
        <f t="shared" si="0"/>
        <v>&gt; 160 Salários Mín.</v>
      </c>
      <c r="C36" s="1">
        <f t="shared" si="1"/>
        <v>283287.09667498001</v>
      </c>
      <c r="D36" s="1">
        <f t="shared" si="2"/>
        <v>7832.2259891900003</v>
      </c>
      <c r="E36">
        <f t="shared" si="3"/>
        <v>73743</v>
      </c>
      <c r="F36" s="2">
        <f t="shared" si="5"/>
        <v>2.7647662322495554E-2</v>
      </c>
      <c r="G36" s="1">
        <f t="shared" si="4"/>
        <v>176204574.13183758</v>
      </c>
      <c r="I36">
        <f t="shared" si="6"/>
        <v>455445493.0465917</v>
      </c>
      <c r="J36">
        <f t="shared" si="7"/>
        <v>6176.1183169465803</v>
      </c>
      <c r="K36">
        <f t="shared" si="8"/>
        <v>514.67652641221503</v>
      </c>
      <c r="N36">
        <f t="shared" si="9"/>
        <v>3841545.5931407735</v>
      </c>
      <c r="O36" s="3">
        <f t="shared" si="10"/>
        <v>2.7647662322495554E-2</v>
      </c>
    </row>
    <row r="37" spans="2:15" x14ac:dyDescent="0.25">
      <c r="B37" t="str">
        <f t="shared" si="0"/>
        <v xml:space="preserve">    Total</v>
      </c>
      <c r="C37" s="1">
        <f t="shared" si="1"/>
        <v>1929076.80514292</v>
      </c>
      <c r="D37" s="1">
        <f t="shared" si="2"/>
        <v>106745.64790698</v>
      </c>
      <c r="E37">
        <f t="shared" si="3"/>
        <v>25873856</v>
      </c>
      <c r="F37" s="2">
        <f t="shared" si="5"/>
        <v>5.5335094809287028E-2</v>
      </c>
      <c r="G37" s="1">
        <f t="shared" si="4"/>
        <v>1199885772.7988963</v>
      </c>
      <c r="I37">
        <f t="shared" si="6"/>
        <v>3101409654.570611</v>
      </c>
      <c r="J37">
        <f t="shared" si="7"/>
        <v>119.86654229545883</v>
      </c>
      <c r="K37">
        <f t="shared" si="8"/>
        <v>9.988878524621569</v>
      </c>
      <c r="N37">
        <f t="shared" si="9"/>
        <v>74556.98930777538</v>
      </c>
      <c r="O37" s="3">
        <f t="shared" si="10"/>
        <v>5.5335094809287028E-2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37"/>
  <sheetViews>
    <sheetView workbookViewId="0">
      <selection activeCell="K12" sqref="K12"/>
    </sheetView>
  </sheetViews>
  <sheetFormatPr baseColWidth="10" defaultColWidth="8.85546875" defaultRowHeight="15" x14ac:dyDescent="0.25"/>
  <sheetData>
    <row r="2" spans="2:20" x14ac:dyDescent="0.25">
      <c r="B2" t="str">
        <f>+'[7]P14_P15_T9_gross total income'!C9</f>
        <v>Tabela 9 - Resumo das Declarações Por Faixa de Rendimentos Totais</v>
      </c>
      <c r="C2">
        <f>+'[7]P14_P15_T9_gross total income'!D9</f>
        <v>0</v>
      </c>
      <c r="D2">
        <f>+'[7]P14_P15_T9_gross total income'!E9</f>
        <v>0</v>
      </c>
      <c r="E2">
        <f>+'[7]P14_P15_T9_gross total income'!F9</f>
        <v>0</v>
      </c>
      <c r="F2">
        <f>+'[7]P14_P15_T9_gross total income'!G9</f>
        <v>0</v>
      </c>
      <c r="G2">
        <f>+'[7]P14_P15_T9_gross total income'!H9</f>
        <v>0</v>
      </c>
      <c r="H2">
        <f>+'[7]P14_P15_T9_gross total income'!I9</f>
        <v>0</v>
      </c>
      <c r="I2">
        <f>+'[7]P14_P15_T9_gross total income'!J9</f>
        <v>0</v>
      </c>
      <c r="J2">
        <f>+'[7]P14_P15_T9_gross total income'!K9</f>
        <v>0</v>
      </c>
      <c r="K2">
        <f>+'[7]P14_P15_T9_gross total income'!L9</f>
        <v>0</v>
      </c>
      <c r="L2">
        <f>+'[7]P14_P15_T9_gross total income'!M9</f>
        <v>0</v>
      </c>
      <c r="M2">
        <f>+'[7]P14_P15_T9_gross total income'!N9</f>
        <v>0</v>
      </c>
      <c r="N2">
        <f>+'[7]P14_P15_T9_gross total income'!O9</f>
        <v>0</v>
      </c>
      <c r="O2">
        <f>+'[7]P14_P15_T9_gross total income'!P9</f>
        <v>0</v>
      </c>
      <c r="P2">
        <f>+'[7]P14_P15_T9_gross total income'!Q9</f>
        <v>0</v>
      </c>
      <c r="Q2">
        <f>+'[7]P14_P15_T9_gross total income'!R9</f>
        <v>0</v>
      </c>
      <c r="R2">
        <f>+'[7]P14_P15_T9_gross total income'!S9</f>
        <v>0</v>
      </c>
      <c r="S2">
        <f>+'[7]P14_P15_T9_gross total income'!T9</f>
        <v>0</v>
      </c>
      <c r="T2" t="str">
        <f>+'[7]P14_P15_T9_gross total income'!U9</f>
        <v>Valores R$ milhões</v>
      </c>
    </row>
    <row r="3" spans="2:20" x14ac:dyDescent="0.25">
      <c r="B3" t="str">
        <f>+'[7]P14_P15_T9_gross total income'!C10</f>
        <v>Faixa de Rendimento Total</v>
      </c>
      <c r="C3" t="str">
        <f>+'[7]P14_P15_T9_gross total income'!D10</f>
        <v>Qtde Declarantes</v>
      </c>
      <c r="D3" t="str">
        <f>+'[7]P14_P15_T9_gross total income'!E10</f>
        <v>Rendim. Tribut.</v>
      </c>
      <c r="E3" t="str">
        <f>+'[7]P14_P15_T9_gross total income'!F10</f>
        <v>Rendim. Tribut. Exclus.</v>
      </c>
      <c r="F3" t="str">
        <f>+'[7]P14_P15_T9_gross total income'!G10</f>
        <v>Rendim. Isentos</v>
      </c>
      <c r="G3" t="str">
        <f>+'[7]P14_P15_T9_gross total income'!H10</f>
        <v>DEDUÇÕES</v>
      </c>
      <c r="H3">
        <f>+'[7]P14_P15_T9_gross total income'!I10</f>
        <v>0</v>
      </c>
      <c r="I3">
        <f>+'[7]P14_P15_T9_gross total income'!J10</f>
        <v>0</v>
      </c>
      <c r="J3">
        <f>+'[7]P14_P15_T9_gross total income'!K10</f>
        <v>0</v>
      </c>
      <c r="K3">
        <f>+'[7]P14_P15_T9_gross total income'!L10</f>
        <v>0</v>
      </c>
      <c r="L3">
        <f>+'[7]P14_P15_T9_gross total income'!M10</f>
        <v>0</v>
      </c>
      <c r="M3">
        <f>+'[7]P14_P15_T9_gross total income'!N10</f>
        <v>0</v>
      </c>
      <c r="N3" t="str">
        <f>+'[7]P14_P15_T9_gross total income'!O10</f>
        <v>Base de Cálculo (RTL)</v>
      </c>
      <c r="O3" t="str">
        <f>+'[7]P14_P15_T9_gross total income'!P10</f>
        <v>Imposto Devido</v>
      </c>
      <c r="P3" t="str">
        <f>+'[7]P14_P15_T9_gross total income'!Q10</f>
        <v>Imposto Pago</v>
      </c>
      <c r="Q3" t="str">
        <f>+'[7]P14_P15_T9_gross total income'!R10</f>
        <v>Imposto a Pagar</v>
      </c>
      <c r="R3" t="str">
        <f>+'[7]P14_P15_T9_gross total income'!S10</f>
        <v>Imposto a Restituir</v>
      </c>
      <c r="S3" t="str">
        <f>+'[7]P14_P15_T9_gross total income'!T10</f>
        <v>Bens e Direitos</v>
      </c>
      <c r="T3" t="str">
        <f>+'[7]P14_P15_T9_gross total income'!U10</f>
        <v>Dívidas e Ônus</v>
      </c>
    </row>
    <row r="4" spans="2:20" x14ac:dyDescent="0.25">
      <c r="B4">
        <f>+'[7]P14_P15_T9_gross total income'!C11</f>
        <v>0</v>
      </c>
      <c r="C4">
        <f>+'[7]P14_P15_T9_gross total income'!D11</f>
        <v>0</v>
      </c>
      <c r="D4">
        <f>+'[7]P14_P15_T9_gross total income'!E11</f>
        <v>0</v>
      </c>
      <c r="E4">
        <f>+'[7]P14_P15_T9_gross total income'!F11</f>
        <v>0</v>
      </c>
      <c r="F4">
        <f>+'[7]P14_P15_T9_gross total income'!G11</f>
        <v>0</v>
      </c>
      <c r="G4" t="str">
        <f>+'[7]P14_P15_T9_gross total income'!H11</f>
        <v>Contrib. Previden.</v>
      </c>
      <c r="H4" t="str">
        <f>+'[7]P14_P15_T9_gross total income'!I11</f>
        <v>Dependentes</v>
      </c>
      <c r="I4" t="str">
        <f>+'[7]P14_P15_T9_gross total income'!J11</f>
        <v>Instrução</v>
      </c>
      <c r="J4" t="str">
        <f>+'[7]P14_P15_T9_gross total income'!K11</f>
        <v>Médicas</v>
      </c>
      <c r="K4" t="str">
        <f>+'[7]P14_P15_T9_gross total income'!L11</f>
        <v>Livro Caixa</v>
      </c>
      <c r="L4" t="str">
        <f>+'[7]P14_P15_T9_gross total income'!M11</f>
        <v>Pensão Aliment.</v>
      </c>
      <c r="M4" t="str">
        <f>+'[7]P14_P15_T9_gross total income'!N11</f>
        <v>Desc. Padrão</v>
      </c>
      <c r="N4">
        <f>+'[7]P14_P15_T9_gross total income'!O11</f>
        <v>0</v>
      </c>
      <c r="O4">
        <f>+'[7]P14_P15_T9_gross total income'!P11</f>
        <v>0</v>
      </c>
      <c r="P4">
        <f>+'[7]P14_P15_T9_gross total income'!Q11</f>
        <v>0</v>
      </c>
      <c r="Q4">
        <f>+'[7]P14_P15_T9_gross total income'!R11</f>
        <v>0</v>
      </c>
      <c r="R4">
        <f>+'[7]P14_P15_T9_gross total income'!S11</f>
        <v>0</v>
      </c>
      <c r="S4">
        <f>+'[7]P14_P15_T9_gross total income'!T11</f>
        <v>0</v>
      </c>
      <c r="T4">
        <f>+'[7]P14_P15_T9_gross total income'!U11</f>
        <v>0</v>
      </c>
    </row>
    <row r="5" spans="2:20" x14ac:dyDescent="0.25">
      <c r="B5" t="str">
        <f>+'[7]P14_P15_T9_gross total income'!C12</f>
        <v>Até 1/2 Salário Mín.</v>
      </c>
      <c r="C5">
        <f>+'[7]P14_P15_T9_gross total income'!D12</f>
        <v>1268688</v>
      </c>
      <c r="D5">
        <f>+'[7]P14_P15_T9_gross total income'!E12</f>
        <v>209.84126642000001</v>
      </c>
      <c r="E5">
        <f>+'[7]P14_P15_T9_gross total income'!F12</f>
        <v>34.971421769999999</v>
      </c>
      <c r="F5">
        <f>+'[7]P14_P15_T9_gross total income'!G12</f>
        <v>64.808457729999986</v>
      </c>
      <c r="G5">
        <f>+'[7]P14_P15_T9_gross total income'!H12</f>
        <v>31.09505905</v>
      </c>
      <c r="H5">
        <f>+'[7]P14_P15_T9_gross total income'!I12</f>
        <v>140.77945715999999</v>
      </c>
      <c r="I5">
        <f>+'[7]P14_P15_T9_gross total income'!J12</f>
        <v>13.25903192</v>
      </c>
      <c r="J5">
        <f>+'[7]P14_P15_T9_gross total income'!K12</f>
        <v>47.933465380000001</v>
      </c>
      <c r="K5">
        <f>+'[7]P14_P15_T9_gross total income'!L12</f>
        <v>5.429146E-2</v>
      </c>
      <c r="L5">
        <f>+'[7]P14_P15_T9_gross total income'!M12</f>
        <v>19.997503930000001</v>
      </c>
      <c r="M5">
        <f>+'[7]P14_P15_T9_gross total income'!N12</f>
        <v>23.127539869999993</v>
      </c>
      <c r="N5">
        <f>+'[7]P14_P15_T9_gross total income'!O12</f>
        <v>168.98711556000001</v>
      </c>
      <c r="O5">
        <f>+'[7]P14_P15_T9_gross total income'!P12</f>
        <v>3.2488089999999997E-2</v>
      </c>
      <c r="P5">
        <f>+'[7]P14_P15_T9_gross total income'!Q12</f>
        <v>11.32690099</v>
      </c>
      <c r="Q5">
        <f>+'[7]P14_P15_T9_gross total income'!R12</f>
        <v>2.2966599999999998E-3</v>
      </c>
      <c r="R5">
        <f>+'[7]P14_P15_T9_gross total income'!S12</f>
        <v>11.9020098</v>
      </c>
      <c r="S5">
        <f>+'[7]P14_P15_T9_gross total income'!T12</f>
        <v>91710.704227560011</v>
      </c>
      <c r="T5">
        <f>+'[7]P14_P15_T9_gross total income'!U12</f>
        <v>7663.4650582599998</v>
      </c>
    </row>
    <row r="6" spans="2:20" x14ac:dyDescent="0.25">
      <c r="B6" t="str">
        <f>+'[7]P14_P15_T9_gross total income'!C13</f>
        <v>1/2 a 1 Salário Mín.</v>
      </c>
      <c r="C6">
        <f>+'[7]P14_P15_T9_gross total income'!D13</f>
        <v>518341</v>
      </c>
      <c r="D6">
        <f>+'[7]P14_P15_T9_gross total income'!E13</f>
        <v>3570.93204711</v>
      </c>
      <c r="E6">
        <f>+'[7]P14_P15_T9_gross total income'!F13</f>
        <v>70.465600039999998</v>
      </c>
      <c r="F6">
        <f>+'[7]P14_P15_T9_gross total income'!G13</f>
        <v>214.95198968</v>
      </c>
      <c r="G6">
        <f>+'[7]P14_P15_T9_gross total income'!H13</f>
        <v>101.81808916999999</v>
      </c>
      <c r="H6">
        <f>+'[7]P14_P15_T9_gross total income'!I13</f>
        <v>67.231327559999997</v>
      </c>
      <c r="I6">
        <f>+'[7]P14_P15_T9_gross total income'!J13</f>
        <v>9.4350851899999988</v>
      </c>
      <c r="J6">
        <f>+'[7]P14_P15_T9_gross total income'!K13</f>
        <v>28.652667829999999</v>
      </c>
      <c r="K6">
        <f>+'[7]P14_P15_T9_gross total income'!L13</f>
        <v>0.33991053000000004</v>
      </c>
      <c r="L6">
        <f>+'[7]P14_P15_T9_gross total income'!M13</f>
        <v>5.4350513099999995</v>
      </c>
      <c r="M6">
        <f>+'[7]P14_P15_T9_gross total income'!N13</f>
        <v>472.49896712000003</v>
      </c>
      <c r="N6">
        <f>+'[7]P14_P15_T9_gross total income'!O13</f>
        <v>2934.1175914800006</v>
      </c>
      <c r="O6">
        <f>+'[7]P14_P15_T9_gross total income'!P13</f>
        <v>5.6942090000000001E-2</v>
      </c>
      <c r="P6">
        <f>+'[7]P14_P15_T9_gross total income'!Q13</f>
        <v>11.295647670000001</v>
      </c>
      <c r="Q6">
        <f>+'[7]P14_P15_T9_gross total income'!R13</f>
        <v>2.4759419999999997E-2</v>
      </c>
      <c r="R6">
        <f>+'[7]P14_P15_T9_gross total income'!S13</f>
        <v>11.41301112</v>
      </c>
      <c r="S6">
        <f>+'[7]P14_P15_T9_gross total income'!T13</f>
        <v>28847.878026270002</v>
      </c>
      <c r="T6">
        <f>+'[7]P14_P15_T9_gross total income'!U13</f>
        <v>2846.02223177</v>
      </c>
    </row>
    <row r="7" spans="2:20" x14ac:dyDescent="0.25">
      <c r="B7" t="str">
        <f>+'[7]P14_P15_T9_gross total income'!C14</f>
        <v>1 a 2 Salários Mín.</v>
      </c>
      <c r="C7">
        <f>+'[7]P14_P15_T9_gross total income'!D14</f>
        <v>1075827</v>
      </c>
      <c r="D7">
        <f>+'[7]P14_P15_T9_gross total income'!E14</f>
        <v>11489.816499790002</v>
      </c>
      <c r="E7">
        <f>+'[7]P14_P15_T9_gross total income'!F14</f>
        <v>462.19323253000005</v>
      </c>
      <c r="F7">
        <f>+'[7]P14_P15_T9_gross total income'!G14</f>
        <v>1595.3603585199999</v>
      </c>
      <c r="G7">
        <f>+'[7]P14_P15_T9_gross total income'!H14</f>
        <v>253.80573530000001</v>
      </c>
      <c r="H7">
        <f>+'[7]P14_P15_T9_gross total income'!I14</f>
        <v>225.00279648</v>
      </c>
      <c r="I7">
        <f>+'[7]P14_P15_T9_gross total income'!J14</f>
        <v>37.433318530000001</v>
      </c>
      <c r="J7">
        <f>+'[7]P14_P15_T9_gross total income'!K14</f>
        <v>118.50549619</v>
      </c>
      <c r="K7">
        <f>+'[7]P14_P15_T9_gross total income'!L14</f>
        <v>4.2427922100000002</v>
      </c>
      <c r="L7">
        <f>+'[7]P14_P15_T9_gross total income'!M14</f>
        <v>14.666558040000002</v>
      </c>
      <c r="M7">
        <f>+'[7]P14_P15_T9_gross total income'!N14</f>
        <v>1443.2283510700001</v>
      </c>
      <c r="N7">
        <f>+'[7]P14_P15_T9_gross total income'!O14</f>
        <v>9503.5754111499991</v>
      </c>
      <c r="O7">
        <f>+'[7]P14_P15_T9_gross total income'!P14</f>
        <v>0.36576500000000001</v>
      </c>
      <c r="P7">
        <f>+'[7]P14_P15_T9_gross total income'!Q14</f>
        <v>64.642018629999995</v>
      </c>
      <c r="Q7">
        <f>+'[7]P14_P15_T9_gross total income'!R14</f>
        <v>0.14009321999999999</v>
      </c>
      <c r="R7">
        <f>+'[7]P14_P15_T9_gross total income'!S14</f>
        <v>65.098488079999996</v>
      </c>
      <c r="S7">
        <f>+'[7]P14_P15_T9_gross total income'!T14</f>
        <v>63828.278071790002</v>
      </c>
      <c r="T7">
        <f>+'[7]P14_P15_T9_gross total income'!U14</f>
        <v>6857.7573505</v>
      </c>
    </row>
    <row r="8" spans="2:20" x14ac:dyDescent="0.25">
      <c r="B8" t="str">
        <f>+'[7]P14_P15_T9_gross total income'!C15</f>
        <v>2 a 3 Salários Mín.</v>
      </c>
      <c r="C8">
        <f>+'[7]P14_P15_T9_gross total income'!D15</f>
        <v>2692915</v>
      </c>
      <c r="D8">
        <f>+'[7]P14_P15_T9_gross total income'!E15</f>
        <v>52210.327568070003</v>
      </c>
      <c r="E8">
        <f>+'[7]P14_P15_T9_gross total income'!F15</f>
        <v>1588.0668366999998</v>
      </c>
      <c r="F8">
        <f>+'[7]P14_P15_T9_gross total income'!G15</f>
        <v>4045.0235957599998</v>
      </c>
      <c r="G8">
        <f>+'[7]P14_P15_T9_gross total income'!H15</f>
        <v>845.71657845999994</v>
      </c>
      <c r="H8">
        <f>+'[7]P14_P15_T9_gross total income'!I15</f>
        <v>614.90074715999992</v>
      </c>
      <c r="I8">
        <f>+'[7]P14_P15_T9_gross total income'!J15</f>
        <v>109.34103909999999</v>
      </c>
      <c r="J8">
        <f>+'[7]P14_P15_T9_gross total income'!K15</f>
        <v>340.67599786</v>
      </c>
      <c r="K8">
        <f>+'[7]P14_P15_T9_gross total income'!L15</f>
        <v>29.111671600000001</v>
      </c>
      <c r="L8">
        <f>+'[7]P14_P15_T9_gross total income'!M15</f>
        <v>45.464629090000003</v>
      </c>
      <c r="M8">
        <f>+'[7]P14_P15_T9_gross total income'!N15</f>
        <v>7947.0773465300008</v>
      </c>
      <c r="N8">
        <f>+'[7]P14_P15_T9_gross total income'!O15</f>
        <v>42586.911560799999</v>
      </c>
      <c r="O8">
        <f>+'[7]P14_P15_T9_gross total income'!P15</f>
        <v>1.8819723799999999</v>
      </c>
      <c r="P8">
        <f>+'[7]P14_P15_T9_gross total income'!Q15</f>
        <v>186.80357405000001</v>
      </c>
      <c r="Q8">
        <f>+'[7]P14_P15_T9_gross total income'!R15</f>
        <v>1.1483390500000001</v>
      </c>
      <c r="R8">
        <f>+'[7]P14_P15_T9_gross total income'!S15</f>
        <v>189.03955948999999</v>
      </c>
      <c r="S8">
        <f>+'[7]P14_P15_T9_gross total income'!T15</f>
        <v>162664.67519040999</v>
      </c>
      <c r="T8">
        <f>+'[7]P14_P15_T9_gross total income'!U15</f>
        <v>47395.748353829993</v>
      </c>
    </row>
    <row r="9" spans="2:20" x14ac:dyDescent="0.25">
      <c r="B9" t="str">
        <f>+'[7]P14_P15_T9_gross total income'!C16</f>
        <v>3 a 5 Salários Mín.</v>
      </c>
      <c r="C9">
        <f>+'[7]P14_P15_T9_gross total income'!D16</f>
        <v>7882026</v>
      </c>
      <c r="D9">
        <f>+'[7]P14_P15_T9_gross total income'!E16</f>
        <v>215199.90025609001</v>
      </c>
      <c r="E9">
        <f>+'[7]P14_P15_T9_gross total income'!F16</f>
        <v>13690.81096556</v>
      </c>
      <c r="F9">
        <f>+'[7]P14_P15_T9_gross total income'!G16</f>
        <v>21127.669187380001</v>
      </c>
      <c r="G9">
        <f>+'[7]P14_P15_T9_gross total income'!H16</f>
        <v>7806.7210924999999</v>
      </c>
      <c r="H9">
        <f>+'[7]P14_P15_T9_gross total income'!I16</f>
        <v>7717.5162627600002</v>
      </c>
      <c r="I9">
        <f>+'[7]P14_P15_T9_gross total income'!J16</f>
        <v>2448.5856781399998</v>
      </c>
      <c r="J9">
        <f>+'[7]P14_P15_T9_gross total income'!K16</f>
        <v>4779.40380723</v>
      </c>
      <c r="K9">
        <f>+'[7]P14_P15_T9_gross total income'!L16</f>
        <v>363.67575582999996</v>
      </c>
      <c r="L9">
        <f>+'[7]P14_P15_T9_gross total income'!M16</f>
        <v>967.54436340999996</v>
      </c>
      <c r="M9">
        <f>+'[7]P14_P15_T9_gross total income'!N16</f>
        <v>28718.929579599993</v>
      </c>
      <c r="N9">
        <f>+'[7]P14_P15_T9_gross total income'!O16</f>
        <v>164146.26350899998</v>
      </c>
      <c r="O9">
        <f>+'[7]P14_P15_T9_gross total income'!P16</f>
        <v>1180.95926201</v>
      </c>
      <c r="P9">
        <f>+'[7]P14_P15_T9_gross total income'!Q16</f>
        <v>2534.9345218200001</v>
      </c>
      <c r="Q9">
        <f>+'[7]P14_P15_T9_gross total income'!R16</f>
        <v>283.52612868</v>
      </c>
      <c r="R9">
        <f>+'[7]P14_P15_T9_gross total income'!S16</f>
        <v>1664.44225345</v>
      </c>
      <c r="S9">
        <f>+'[7]P14_P15_T9_gross total income'!T16</f>
        <v>489763.46020329004</v>
      </c>
      <c r="T9">
        <f>+'[7]P14_P15_T9_gross total income'!U16</f>
        <v>51170.119070400004</v>
      </c>
    </row>
    <row r="10" spans="2:20" x14ac:dyDescent="0.25">
      <c r="B10" t="str">
        <f>+'[7]P14_P15_T9_gross total income'!C17</f>
        <v>5 a 10 Salários Mín.</v>
      </c>
      <c r="C10">
        <f>+'[7]P14_P15_T9_gross total income'!D17</f>
        <v>7300376</v>
      </c>
      <c r="D10">
        <f>+'[7]P14_P15_T9_gross total income'!E17</f>
        <v>331748.06552414998</v>
      </c>
      <c r="E10">
        <f>+'[7]P14_P15_T9_gross total income'!F17</f>
        <v>29400.127890939999</v>
      </c>
      <c r="F10">
        <f>+'[7]P14_P15_T9_gross total income'!G17</f>
        <v>57666.97844875</v>
      </c>
      <c r="G10">
        <f>+'[7]P14_P15_T9_gross total income'!H17</f>
        <v>15405.950535060001</v>
      </c>
      <c r="H10">
        <f>+'[7]P14_P15_T9_gross total income'!I17</f>
        <v>11858.24913192</v>
      </c>
      <c r="I10">
        <f>+'[7]P14_P15_T9_gross total income'!J17</f>
        <v>7602.9542667599999</v>
      </c>
      <c r="J10">
        <f>+'[7]P14_P15_T9_gross total income'!K17</f>
        <v>15148.864452440001</v>
      </c>
      <c r="K10">
        <f>+'[7]P14_P15_T9_gross total income'!L17</f>
        <v>1782.73999968</v>
      </c>
      <c r="L10">
        <f>+'[7]P14_P15_T9_gross total income'!M17</f>
        <v>3259.6174304799997</v>
      </c>
      <c r="M10">
        <f>+'[7]P14_P15_T9_gross total income'!N17</f>
        <v>34940.499290449981</v>
      </c>
      <c r="N10">
        <f>+'[7]P14_P15_T9_gross total income'!O17</f>
        <v>243230.76310061998</v>
      </c>
      <c r="O10">
        <f>+'[7]P14_P15_T9_gross total income'!P17</f>
        <v>12135.90712856</v>
      </c>
      <c r="P10">
        <f>+'[7]P14_P15_T9_gross total income'!Q17</f>
        <v>15419.108205459997</v>
      </c>
      <c r="Q10">
        <f>+'[7]P14_P15_T9_gross total income'!R17</f>
        <v>2250.8500249099998</v>
      </c>
      <c r="R10">
        <f>+'[7]P14_P15_T9_gross total income'!S17</f>
        <v>5680.1389296500001</v>
      </c>
      <c r="S10">
        <f>+'[7]P14_P15_T9_gross total income'!T17</f>
        <v>757644.06898645998</v>
      </c>
      <c r="T10">
        <f>+'[7]P14_P15_T9_gross total income'!U17</f>
        <v>89089.03986081999</v>
      </c>
    </row>
    <row r="11" spans="2:20" x14ac:dyDescent="0.25">
      <c r="B11" t="str">
        <f>+'[7]P14_P15_T9_gross total income'!C18</f>
        <v>10 a 20 Salários Mín.</v>
      </c>
      <c r="C11">
        <f>+'[7]P14_P15_T9_gross total income'!D18</f>
        <v>3522174</v>
      </c>
      <c r="D11">
        <f>+'[7]P14_P15_T9_gross total income'!E18</f>
        <v>285867.49487622001</v>
      </c>
      <c r="E11">
        <f>+'[7]P14_P15_T9_gross total income'!F18</f>
        <v>30799.375713640002</v>
      </c>
      <c r="F11">
        <f>+'[7]P14_P15_T9_gross total income'!G18</f>
        <v>82919.928656510005</v>
      </c>
      <c r="G11">
        <f>+'[7]P14_P15_T9_gross total income'!H18</f>
        <v>13761.350007329998</v>
      </c>
      <c r="H11">
        <f>+'[7]P14_P15_T9_gross total income'!I18</f>
        <v>5944.31502</v>
      </c>
      <c r="I11">
        <f>+'[7]P14_P15_T9_gross total income'!J18</f>
        <v>5358.6510523799998</v>
      </c>
      <c r="J11">
        <f>+'[7]P14_P15_T9_gross total income'!K18</f>
        <v>14146.33033029</v>
      </c>
      <c r="K11">
        <f>+'[7]P14_P15_T9_gross total income'!L18</f>
        <v>3016.3715382600003</v>
      </c>
      <c r="L11">
        <f>+'[7]P14_P15_T9_gross total income'!M18</f>
        <v>3442.3290272700001</v>
      </c>
      <c r="M11">
        <f>+'[7]P14_P15_T9_gross total income'!N18</f>
        <v>21328.747371400001</v>
      </c>
      <c r="N11">
        <f>+'[7]P14_P15_T9_gross total income'!O18</f>
        <v>219627.63503445001</v>
      </c>
      <c r="O11">
        <f>+'[7]P14_P15_T9_gross total income'!P18</f>
        <v>30517.32187199</v>
      </c>
      <c r="P11">
        <f>+'[7]P14_P15_T9_gross total income'!Q18</f>
        <v>31284.31460446</v>
      </c>
      <c r="Q11">
        <f>+'[7]P14_P15_T9_gross total income'!R18</f>
        <v>3945.6650348000003</v>
      </c>
      <c r="R11">
        <f>+'[7]P14_P15_T9_gross total income'!S18</f>
        <v>4955.4185790900001</v>
      </c>
      <c r="S11">
        <f>+'[7]P14_P15_T9_gross total income'!T18</f>
        <v>863634.45039100992</v>
      </c>
      <c r="T11">
        <f>+'[7]P14_P15_T9_gross total income'!U18</f>
        <v>93949.29144932999</v>
      </c>
    </row>
    <row r="12" spans="2:20" x14ac:dyDescent="0.25">
      <c r="B12" t="str">
        <f>+'[7]P14_P15_T9_gross total income'!C19</f>
        <v>20 a 40 Salários Mín.</v>
      </c>
      <c r="C12">
        <f>+'[7]P14_P15_T9_gross total income'!D19</f>
        <v>1507344</v>
      </c>
      <c r="D12">
        <f>+'[7]P14_P15_T9_gross total income'!E19</f>
        <v>212059.52792891001</v>
      </c>
      <c r="E12">
        <f>+'[7]P14_P15_T9_gross total income'!F19</f>
        <v>29273.569392750003</v>
      </c>
      <c r="F12">
        <f>+'[7]P14_P15_T9_gross total income'!G19</f>
        <v>99738.681584689999</v>
      </c>
      <c r="G12">
        <f>+'[7]P14_P15_T9_gross total income'!H19</f>
        <v>14291.418526519999</v>
      </c>
      <c r="H12">
        <f>+'[7]P14_P15_T9_gross total income'!I19</f>
        <v>2628.2519040000002</v>
      </c>
      <c r="I12">
        <f>+'[7]P14_P15_T9_gross total income'!J19</f>
        <v>2337.6949863600003</v>
      </c>
      <c r="J12">
        <f>+'[7]P14_P15_T9_gross total income'!K19</f>
        <v>9941.3667238199996</v>
      </c>
      <c r="K12">
        <f>+'[7]P14_P15_T9_gross total income'!L19</f>
        <v>3186.02562214</v>
      </c>
      <c r="L12">
        <f>+'[7]P14_P15_T9_gross total income'!M19</f>
        <v>2931.96174509</v>
      </c>
      <c r="M12">
        <f>+'[7]P14_P15_T9_gross total income'!N19</f>
        <v>5257.9902525700018</v>
      </c>
      <c r="N12">
        <f>+'[7]P14_P15_T9_gross total income'!O19</f>
        <v>172428.69607891998</v>
      </c>
      <c r="O12">
        <f>+'[7]P14_P15_T9_gross total income'!P19</f>
        <v>34793.946319410003</v>
      </c>
      <c r="P12">
        <f>+'[7]P14_P15_T9_gross total income'!Q19</f>
        <v>33546.958238530002</v>
      </c>
      <c r="Q12">
        <f>+'[7]P14_P15_T9_gross total income'!R19</f>
        <v>3416.3257579599999</v>
      </c>
      <c r="R12">
        <f>+'[7]P14_P15_T9_gross total income'!S19</f>
        <v>2415.25185126</v>
      </c>
      <c r="S12">
        <f>+'[7]P14_P15_T9_gross total income'!T19</f>
        <v>946214.97661140992</v>
      </c>
      <c r="T12">
        <f>+'[7]P14_P15_T9_gross total income'!U19</f>
        <v>77849.081224470006</v>
      </c>
    </row>
    <row r="13" spans="2:20" x14ac:dyDescent="0.25">
      <c r="B13" t="str">
        <f>+'[7]P14_P15_T9_gross total income'!C20</f>
        <v>40 a 80 Salários Mín.</v>
      </c>
      <c r="C13">
        <f>+'[7]P14_P15_T9_gross total income'!D20</f>
        <v>518567</v>
      </c>
      <c r="D13">
        <f>+'[7]P14_P15_T9_gross total income'!E20</f>
        <v>109013.0396316</v>
      </c>
      <c r="E13">
        <f>+'[7]P14_P15_T9_gross total income'!F20</f>
        <v>22815.39257683</v>
      </c>
      <c r="F13">
        <f>+'[7]P14_P15_T9_gross total income'!G20</f>
        <v>96755.769979289995</v>
      </c>
      <c r="G13">
        <f>+'[7]P14_P15_T9_gross total income'!H20</f>
        <v>7299.8581936200007</v>
      </c>
      <c r="H13">
        <f>+'[7]P14_P15_T9_gross total income'!I20</f>
        <v>883.64239344000009</v>
      </c>
      <c r="I13">
        <f>+'[7]P14_P15_T9_gross total income'!J20</f>
        <v>769.36796222999999</v>
      </c>
      <c r="J13">
        <f>+'[7]P14_P15_T9_gross total income'!K20</f>
        <v>4451.1942034899994</v>
      </c>
      <c r="K13">
        <f>+'[7]P14_P15_T9_gross total income'!L20</f>
        <v>2507.3683789299998</v>
      </c>
      <c r="L13">
        <f>+'[7]P14_P15_T9_gross total income'!M20</f>
        <v>1518.7947990099999</v>
      </c>
      <c r="M13">
        <f>+'[7]P14_P15_T9_gross total income'!N20</f>
        <v>1501.694200320002</v>
      </c>
      <c r="N13">
        <f>+'[7]P14_P15_T9_gross total income'!O20</f>
        <v>90550.64955967998</v>
      </c>
      <c r="O13">
        <f>+'[7]P14_P15_T9_gross total income'!P20</f>
        <v>20764.62631852</v>
      </c>
      <c r="P13">
        <f>+'[7]P14_P15_T9_gross total income'!Q20</f>
        <v>19223.026796710001</v>
      </c>
      <c r="Q13">
        <f>+'[7]P14_P15_T9_gross total income'!R20</f>
        <v>2192.8567674199999</v>
      </c>
      <c r="R13">
        <f>+'[7]P14_P15_T9_gross total income'!S20</f>
        <v>998.73967427999992</v>
      </c>
      <c r="S13">
        <f>+'[7]P14_P15_T9_gross total income'!T20</f>
        <v>703606.23908507999</v>
      </c>
      <c r="T13">
        <f>+'[7]P14_P15_T9_gross total income'!U20</f>
        <v>46862.445153159999</v>
      </c>
    </row>
    <row r="14" spans="2:20" x14ac:dyDescent="0.25">
      <c r="B14" t="str">
        <f>+'[7]P14_P15_T9_gross total income'!C21</f>
        <v>80 a 160 Salários Mín.</v>
      </c>
      <c r="C14">
        <f>+'[7]P14_P15_T9_gross total income'!D21</f>
        <v>136718</v>
      </c>
      <c r="D14">
        <f>+'[7]P14_P15_T9_gross total income'!E21</f>
        <v>34452.138270869997</v>
      </c>
      <c r="E14">
        <f>+'[7]P14_P15_T9_gross total income'!F21</f>
        <v>14716.583701359999</v>
      </c>
      <c r="F14">
        <f>+'[7]P14_P15_T9_gross total income'!G21</f>
        <v>72002.39624627</v>
      </c>
      <c r="G14">
        <f>+'[7]P14_P15_T9_gross total income'!H21</f>
        <v>1611.89679093</v>
      </c>
      <c r="H14">
        <f>+'[7]P14_P15_T9_gross total income'!I21</f>
        <v>205.10724324</v>
      </c>
      <c r="I14">
        <f>+'[7]P14_P15_T9_gross total income'!J21</f>
        <v>175.44489471</v>
      </c>
      <c r="J14">
        <f>+'[7]P14_P15_T9_gross total income'!K21</f>
        <v>1212.5316265599999</v>
      </c>
      <c r="K14">
        <f>+'[7]P14_P15_T9_gross total income'!L21</f>
        <v>1281.3760032499999</v>
      </c>
      <c r="L14">
        <f>+'[7]P14_P15_T9_gross total income'!M21</f>
        <v>401.50110074000003</v>
      </c>
      <c r="M14">
        <f>+'[7]P14_P15_T9_gross total income'!N21</f>
        <v>482.34428650999962</v>
      </c>
      <c r="N14">
        <f>+'[7]P14_P15_T9_gross total income'!O21</f>
        <v>29216.477645970001</v>
      </c>
      <c r="O14">
        <f>+'[7]P14_P15_T9_gross total income'!P21</f>
        <v>7074.2806614599995</v>
      </c>
      <c r="P14">
        <f>+'[7]P14_P15_T9_gross total income'!Q21</f>
        <v>6191.1422391799997</v>
      </c>
      <c r="Q14">
        <f>+'[7]P14_P15_T9_gross total income'!R21</f>
        <v>971.94098785000006</v>
      </c>
      <c r="R14">
        <f>+'[7]P14_P15_T9_gross total income'!S21</f>
        <v>299.71364258</v>
      </c>
      <c r="S14">
        <f>+'[7]P14_P15_T9_gross total income'!T21</f>
        <v>453223.16207492002</v>
      </c>
      <c r="T14">
        <f>+'[7]P14_P15_T9_gross total income'!U21</f>
        <v>27084.970354550002</v>
      </c>
    </row>
    <row r="15" spans="2:20" x14ac:dyDescent="0.25">
      <c r="B15" t="str">
        <f>+'[7]P14_P15_T9_gross total income'!C22</f>
        <v>&gt; 160 Salários Mín.</v>
      </c>
      <c r="C15">
        <f>+'[7]P14_P15_T9_gross total income'!D22</f>
        <v>71440</v>
      </c>
      <c r="D15">
        <f>+'[7]P14_P15_T9_gross total income'!E22</f>
        <v>37384.21782369</v>
      </c>
      <c r="E15">
        <f>+'[7]P14_P15_T9_gross total income'!F22</f>
        <v>64509.891530840003</v>
      </c>
      <c r="F15">
        <f>+'[7]P14_P15_T9_gross total income'!G22</f>
        <v>196039.69319580001</v>
      </c>
      <c r="G15">
        <f>+'[7]P14_P15_T9_gross total income'!H22</f>
        <v>953.3476774799999</v>
      </c>
      <c r="H15">
        <f>+'[7]P14_P15_T9_gross total income'!I22</f>
        <v>100.13400372</v>
      </c>
      <c r="I15">
        <f>+'[7]P14_P15_T9_gross total income'!J22</f>
        <v>82.537378540000006</v>
      </c>
      <c r="J15">
        <f>+'[7]P14_P15_T9_gross total income'!K22</f>
        <v>804.23993832000008</v>
      </c>
      <c r="K15">
        <f>+'[7]P14_P15_T9_gross total income'!L22</f>
        <v>4919.1005423400002</v>
      </c>
      <c r="L15">
        <f>+'[7]P14_P15_T9_gross total income'!M22</f>
        <v>336.59370268999999</v>
      </c>
      <c r="M15">
        <f>+'[7]P14_P15_T9_gross total income'!N22</f>
        <v>269.63174769999932</v>
      </c>
      <c r="N15">
        <f>+'[7]P14_P15_T9_gross total income'!O22</f>
        <v>30117.87804268</v>
      </c>
      <c r="O15">
        <f>+'[7]P14_P15_T9_gross total income'!P22</f>
        <v>7763.0102949399998</v>
      </c>
      <c r="P15">
        <f>+'[7]P14_P15_T9_gross total income'!Q22</f>
        <v>6328.8323721100005</v>
      </c>
      <c r="Q15">
        <f>+'[7]P14_P15_T9_gross total income'!R22</f>
        <v>1500.59729679</v>
      </c>
      <c r="R15">
        <f>+'[7]P14_P15_T9_gross total income'!S22</f>
        <v>212.37049986000002</v>
      </c>
      <c r="S15">
        <f>+'[7]P14_P15_T9_gross total income'!T22</f>
        <v>1264339.80616746</v>
      </c>
      <c r="T15">
        <f>+'[7]P14_P15_T9_gross total income'!U22</f>
        <v>58130.509370349995</v>
      </c>
    </row>
    <row r="16" spans="2:20" x14ac:dyDescent="0.25">
      <c r="B16" t="str">
        <f>+'[7]P14_P15_T9_gross total income'!C23</f>
        <v xml:space="preserve">    Total</v>
      </c>
      <c r="C16">
        <f>+'[7]P14_P15_T9_gross total income'!D23</f>
        <v>26494416</v>
      </c>
      <c r="D16">
        <f>+'[7]P14_P15_T9_gross total income'!E23</f>
        <v>1293205.3016929203</v>
      </c>
      <c r="E16">
        <f>+'[7]P14_P15_T9_gross total income'!F23</f>
        <v>207361.44886296004</v>
      </c>
      <c r="F16">
        <f>+'[7]P14_P15_T9_gross total income'!G23</f>
        <v>632171.26170038001</v>
      </c>
      <c r="G16">
        <f>+'[7]P14_P15_T9_gross total income'!H23</f>
        <v>62362.978285419995</v>
      </c>
      <c r="H16">
        <f>+'[7]P14_P15_T9_gross total income'!I23</f>
        <v>30385.130287439999</v>
      </c>
      <c r="I16">
        <f>+'[7]P14_P15_T9_gross total income'!J23</f>
        <v>18944.704693860003</v>
      </c>
      <c r="J16">
        <f>+'[7]P14_P15_T9_gross total income'!K23</f>
        <v>51019.698709409997</v>
      </c>
      <c r="K16">
        <f>+'[7]P14_P15_T9_gross total income'!L23</f>
        <v>17090.40650623</v>
      </c>
      <c r="L16">
        <f>+'[7]P14_P15_T9_gross total income'!M23</f>
        <v>12943.905911060001</v>
      </c>
      <c r="M16">
        <f>+'[7]P14_P15_T9_gross total income'!N23</f>
        <v>102385.76893313999</v>
      </c>
      <c r="N16">
        <f>+'[7]P14_P15_T9_gross total income'!O23</f>
        <v>1004511.95465031</v>
      </c>
      <c r="O16">
        <f>+'[7]P14_P15_T9_gross total income'!P23</f>
        <v>114232.38902444999</v>
      </c>
      <c r="P16">
        <f>+'[7]P14_P15_T9_gross total income'!Q23</f>
        <v>114802.38511961</v>
      </c>
      <c r="Q16">
        <f>+'[7]P14_P15_T9_gross total income'!R23</f>
        <v>14563.077486759999</v>
      </c>
      <c r="R16">
        <f>+'[7]P14_P15_T9_gross total income'!S23</f>
        <v>16503.528498659998</v>
      </c>
      <c r="S16">
        <f>+'[7]P14_P15_T9_gross total income'!T23</f>
        <v>5825477.6990356604</v>
      </c>
      <c r="T16">
        <f>+'[7]P14_P15_T9_gross total income'!U23</f>
        <v>508898.44947743998</v>
      </c>
    </row>
    <row r="25" spans="2:15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678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15" x14ac:dyDescent="0.25">
      <c r="B26" t="str">
        <f t="shared" ref="B26:B37" si="0">+B5</f>
        <v>Até 1/2 Salário Mín.</v>
      </c>
      <c r="C26" s="1">
        <f t="shared" ref="C26:C37" si="1">+D5+E5+F5-K5</f>
        <v>309.56685446</v>
      </c>
      <c r="D26" s="1">
        <f t="shared" ref="D26:D37" si="2">+O5</f>
        <v>3.2488089999999997E-2</v>
      </c>
      <c r="E26">
        <f t="shared" ref="E26:E37" si="3">+C5</f>
        <v>1268688</v>
      </c>
      <c r="F26" s="2">
        <f>+D26/C26</f>
        <v>1.0494692675245008E-4</v>
      </c>
      <c r="G26" s="1">
        <f t="shared" ref="G26:G37" si="4">+C26*$H$25</f>
        <v>209886.32732387999</v>
      </c>
      <c r="I26">
        <f>+C26*1000000/$H$25</f>
        <v>456588.28091445426</v>
      </c>
      <c r="J26">
        <f>+I26/E26</f>
        <v>0.35989012343023208</v>
      </c>
      <c r="K26">
        <f>+J26/12</f>
        <v>2.9990843619186008E-2</v>
      </c>
      <c r="N26">
        <f>+C26*1000000/E26</f>
        <v>244.00550368569733</v>
      </c>
      <c r="O26" s="3">
        <f>+F26</f>
        <v>1.0494692675245008E-4</v>
      </c>
    </row>
    <row r="27" spans="2:15" x14ac:dyDescent="0.25">
      <c r="B27" t="str">
        <f t="shared" si="0"/>
        <v>1/2 a 1 Salário Mín.</v>
      </c>
      <c r="C27" s="1">
        <f t="shared" si="1"/>
        <v>3856.0097263000002</v>
      </c>
      <c r="D27" s="1">
        <f t="shared" si="2"/>
        <v>5.6942090000000001E-2</v>
      </c>
      <c r="E27">
        <f t="shared" si="3"/>
        <v>518341</v>
      </c>
      <c r="F27" s="2">
        <f t="shared" ref="F27:F37" si="5">+D27/C27</f>
        <v>1.4767102274567724E-5</v>
      </c>
      <c r="G27" s="1">
        <f t="shared" si="4"/>
        <v>2614374.5944314003</v>
      </c>
      <c r="I27">
        <f t="shared" ref="I27:I37" si="6">+C27*1000000/$H$25</f>
        <v>5687329.9797935104</v>
      </c>
      <c r="J27">
        <f t="shared" ref="J27:J37" si="7">+I27/E27</f>
        <v>10.972178507572256</v>
      </c>
      <c r="K27">
        <f t="shared" ref="K27:K37" si="8">+J27/12</f>
        <v>0.91434820896435465</v>
      </c>
      <c r="N27">
        <f t="shared" ref="N27:N37" si="9">+C27*1000000/E27</f>
        <v>7439.1370281339896</v>
      </c>
      <c r="O27" s="3">
        <f t="shared" ref="O27:O37" si="10">+F27</f>
        <v>1.4767102274567724E-5</v>
      </c>
    </row>
    <row r="28" spans="2:15" x14ac:dyDescent="0.25">
      <c r="B28" t="str">
        <f t="shared" si="0"/>
        <v>1 a 2 Salários Mín.</v>
      </c>
      <c r="C28" s="1">
        <f t="shared" si="1"/>
        <v>13543.127298630003</v>
      </c>
      <c r="D28" s="1">
        <f t="shared" si="2"/>
        <v>0.36576500000000001</v>
      </c>
      <c r="E28">
        <f t="shared" si="3"/>
        <v>1075827</v>
      </c>
      <c r="F28" s="2">
        <f t="shared" si="5"/>
        <v>2.7007425385198888E-5</v>
      </c>
      <c r="G28" s="1">
        <f t="shared" si="4"/>
        <v>9182240.3084711414</v>
      </c>
      <c r="I28">
        <f t="shared" si="6"/>
        <v>19975114.009778764</v>
      </c>
      <c r="J28">
        <f t="shared" si="7"/>
        <v>18.567217600765517</v>
      </c>
      <c r="K28">
        <f t="shared" si="8"/>
        <v>1.5472681333971263</v>
      </c>
      <c r="N28">
        <f t="shared" si="9"/>
        <v>12588.573533319022</v>
      </c>
      <c r="O28" s="3">
        <f t="shared" si="10"/>
        <v>2.7007425385198888E-5</v>
      </c>
    </row>
    <row r="29" spans="2:15" x14ac:dyDescent="0.25">
      <c r="B29" t="str">
        <f t="shared" si="0"/>
        <v>2 a 3 Salários Mín.</v>
      </c>
      <c r="C29" s="1">
        <f t="shared" si="1"/>
        <v>57814.306328930004</v>
      </c>
      <c r="D29" s="1">
        <f t="shared" si="2"/>
        <v>1.8819723799999999</v>
      </c>
      <c r="E29">
        <f t="shared" si="3"/>
        <v>2692915</v>
      </c>
      <c r="F29" s="2">
        <f t="shared" si="5"/>
        <v>3.2552018687081778E-5</v>
      </c>
      <c r="G29" s="1">
        <f t="shared" si="4"/>
        <v>39198099.691014543</v>
      </c>
      <c r="I29">
        <f t="shared" si="6"/>
        <v>85271838.243259594</v>
      </c>
      <c r="J29">
        <f t="shared" si="7"/>
        <v>31.66525428513696</v>
      </c>
      <c r="K29">
        <f t="shared" si="8"/>
        <v>2.6387711904280802</v>
      </c>
      <c r="N29">
        <f t="shared" si="9"/>
        <v>21469.04240532286</v>
      </c>
      <c r="O29" s="3">
        <f t="shared" si="10"/>
        <v>3.2552018687081778E-5</v>
      </c>
    </row>
    <row r="30" spans="2:15" x14ac:dyDescent="0.25">
      <c r="B30" t="str">
        <f t="shared" si="0"/>
        <v>3 a 5 Salários Mín.</v>
      </c>
      <c r="C30" s="1">
        <f t="shared" si="1"/>
        <v>249654.70465320002</v>
      </c>
      <c r="D30" s="1">
        <f t="shared" si="2"/>
        <v>1180.95926201</v>
      </c>
      <c r="E30">
        <f t="shared" si="3"/>
        <v>7882026</v>
      </c>
      <c r="F30" s="2">
        <f t="shared" si="5"/>
        <v>4.7303705477951732E-3</v>
      </c>
      <c r="G30" s="1">
        <f t="shared" si="4"/>
        <v>169265889.75486961</v>
      </c>
      <c r="I30">
        <f t="shared" si="6"/>
        <v>368222278.24955755</v>
      </c>
      <c r="J30">
        <f t="shared" si="7"/>
        <v>46.716704340934371</v>
      </c>
      <c r="K30">
        <f t="shared" si="8"/>
        <v>3.8930586950778641</v>
      </c>
      <c r="N30">
        <f t="shared" si="9"/>
        <v>31673.925543153502</v>
      </c>
      <c r="O30" s="3">
        <f t="shared" si="10"/>
        <v>4.7303705477951732E-3</v>
      </c>
    </row>
    <row r="31" spans="2:15" x14ac:dyDescent="0.25">
      <c r="B31" t="str">
        <f t="shared" si="0"/>
        <v>5 a 10 Salários Mín.</v>
      </c>
      <c r="C31" s="1">
        <f t="shared" si="1"/>
        <v>417032.43186415994</v>
      </c>
      <c r="D31" s="1">
        <f t="shared" si="2"/>
        <v>12135.90712856</v>
      </c>
      <c r="E31">
        <f t="shared" si="3"/>
        <v>7300376</v>
      </c>
      <c r="F31" s="2">
        <f t="shared" si="5"/>
        <v>2.9100631512786114E-2</v>
      </c>
      <c r="G31" s="1">
        <f t="shared" si="4"/>
        <v>282747988.80390042</v>
      </c>
      <c r="I31">
        <f t="shared" si="6"/>
        <v>615092082.39551604</v>
      </c>
      <c r="J31">
        <f t="shared" si="7"/>
        <v>84.254849667402894</v>
      </c>
      <c r="K31">
        <f t="shared" si="8"/>
        <v>7.0212374722835742</v>
      </c>
      <c r="N31">
        <f t="shared" si="9"/>
        <v>57124.788074499163</v>
      </c>
      <c r="O31" s="3">
        <f t="shared" si="10"/>
        <v>2.9100631512786114E-2</v>
      </c>
    </row>
    <row r="32" spans="2:15" x14ac:dyDescent="0.25">
      <c r="B32" t="str">
        <f t="shared" si="0"/>
        <v>10 a 20 Salários Mín.</v>
      </c>
      <c r="C32" s="1">
        <f t="shared" si="1"/>
        <v>396570.42770811002</v>
      </c>
      <c r="D32" s="1">
        <f t="shared" si="2"/>
        <v>30517.32187199</v>
      </c>
      <c r="E32">
        <f t="shared" si="3"/>
        <v>3522174</v>
      </c>
      <c r="F32" s="2">
        <f t="shared" si="5"/>
        <v>7.6953095187550988E-2</v>
      </c>
      <c r="G32" s="1">
        <f t="shared" si="4"/>
        <v>268874749.98609859</v>
      </c>
      <c r="I32">
        <f t="shared" si="6"/>
        <v>584912135.26269913</v>
      </c>
      <c r="J32">
        <f t="shared" si="7"/>
        <v>166.06565583151178</v>
      </c>
      <c r="K32">
        <f t="shared" si="8"/>
        <v>13.838804652625981</v>
      </c>
      <c r="N32">
        <f t="shared" si="9"/>
        <v>112592.51465376497</v>
      </c>
      <c r="O32" s="3">
        <f t="shared" si="10"/>
        <v>7.6953095187550988E-2</v>
      </c>
    </row>
    <row r="33" spans="2:15" x14ac:dyDescent="0.25">
      <c r="B33" t="str">
        <f t="shared" si="0"/>
        <v>20 a 40 Salários Mín.</v>
      </c>
      <c r="C33" s="1">
        <f t="shared" si="1"/>
        <v>337885.75328421005</v>
      </c>
      <c r="D33" s="1">
        <f t="shared" si="2"/>
        <v>34793.946319410003</v>
      </c>
      <c r="E33">
        <f t="shared" si="3"/>
        <v>1507344</v>
      </c>
      <c r="F33" s="2">
        <f t="shared" si="5"/>
        <v>0.10297547612237838</v>
      </c>
      <c r="G33" s="1">
        <f t="shared" si="4"/>
        <v>229086540.72669441</v>
      </c>
      <c r="I33">
        <f t="shared" si="6"/>
        <v>498356568.26579648</v>
      </c>
      <c r="J33">
        <f t="shared" si="7"/>
        <v>330.61900154563023</v>
      </c>
      <c r="K33">
        <f t="shared" si="8"/>
        <v>27.551583462135852</v>
      </c>
      <c r="N33">
        <f t="shared" si="9"/>
        <v>224159.68304793732</v>
      </c>
      <c r="O33" s="3">
        <f t="shared" si="10"/>
        <v>0.10297547612237838</v>
      </c>
    </row>
    <row r="34" spans="2:15" x14ac:dyDescent="0.25">
      <c r="B34" t="str">
        <f t="shared" si="0"/>
        <v>40 a 80 Salários Mín.</v>
      </c>
      <c r="C34" s="1">
        <f t="shared" si="1"/>
        <v>226076.83380878999</v>
      </c>
      <c r="D34" s="1">
        <f t="shared" si="2"/>
        <v>20764.62631852</v>
      </c>
      <c r="E34">
        <f t="shared" si="3"/>
        <v>518567</v>
      </c>
      <c r="F34" s="2">
        <f t="shared" si="5"/>
        <v>9.1847651830095037E-2</v>
      </c>
      <c r="G34" s="1">
        <f t="shared" si="4"/>
        <v>153280093.32235962</v>
      </c>
      <c r="I34">
        <f t="shared" si="6"/>
        <v>333446657.53508848</v>
      </c>
      <c r="J34">
        <f t="shared" si="7"/>
        <v>643.01557471857734</v>
      </c>
      <c r="K34">
        <f t="shared" si="8"/>
        <v>53.584631226548112</v>
      </c>
      <c r="N34">
        <f t="shared" si="9"/>
        <v>435964.55965919537</v>
      </c>
      <c r="O34" s="3">
        <f t="shared" si="10"/>
        <v>9.1847651830095037E-2</v>
      </c>
    </row>
    <row r="35" spans="2:15" x14ac:dyDescent="0.25">
      <c r="B35" t="str">
        <f t="shared" si="0"/>
        <v>80 a 160 Salários Mín.</v>
      </c>
      <c r="C35" s="1">
        <f t="shared" si="1"/>
        <v>119889.74221524999</v>
      </c>
      <c r="D35" s="1">
        <f t="shared" si="2"/>
        <v>7074.2806614599995</v>
      </c>
      <c r="E35">
        <f t="shared" si="3"/>
        <v>136718</v>
      </c>
      <c r="F35" s="2">
        <f t="shared" si="5"/>
        <v>5.900655494578376E-2</v>
      </c>
      <c r="G35" s="1">
        <f t="shared" si="4"/>
        <v>81285245.221939489</v>
      </c>
      <c r="I35">
        <f t="shared" si="6"/>
        <v>176828528.3410767</v>
      </c>
      <c r="J35">
        <f t="shared" si="7"/>
        <v>1293.3814738445319</v>
      </c>
      <c r="K35">
        <f t="shared" si="8"/>
        <v>107.78178948704432</v>
      </c>
      <c r="N35">
        <f t="shared" si="9"/>
        <v>876912.63926659257</v>
      </c>
      <c r="O35" s="3">
        <f t="shared" si="10"/>
        <v>5.900655494578376E-2</v>
      </c>
    </row>
    <row r="36" spans="2:15" x14ac:dyDescent="0.25">
      <c r="B36" t="str">
        <f t="shared" si="0"/>
        <v>&gt; 160 Salários Mín.</v>
      </c>
      <c r="C36" s="1">
        <f t="shared" si="1"/>
        <v>293014.70200798998</v>
      </c>
      <c r="D36" s="1">
        <f t="shared" si="2"/>
        <v>7763.0102949399998</v>
      </c>
      <c r="E36">
        <f t="shared" si="3"/>
        <v>71440</v>
      </c>
      <c r="F36" s="2">
        <f t="shared" si="5"/>
        <v>2.6493586300418183E-2</v>
      </c>
      <c r="G36" s="1">
        <f t="shared" si="4"/>
        <v>198663967.9614172</v>
      </c>
      <c r="I36">
        <f t="shared" si="6"/>
        <v>432175076.70794982</v>
      </c>
      <c r="J36">
        <f t="shared" si="7"/>
        <v>6049.4831566062403</v>
      </c>
      <c r="K36">
        <f t="shared" si="8"/>
        <v>504.12359638385334</v>
      </c>
      <c r="N36">
        <f t="shared" si="9"/>
        <v>4101549.580179031</v>
      </c>
      <c r="O36" s="3">
        <f t="shared" si="10"/>
        <v>2.6493586300418183E-2</v>
      </c>
    </row>
    <row r="37" spans="2:15" x14ac:dyDescent="0.25">
      <c r="B37" t="str">
        <f t="shared" si="0"/>
        <v xml:space="preserve">    Total</v>
      </c>
      <c r="C37" s="1">
        <f t="shared" si="1"/>
        <v>2115647.6057500304</v>
      </c>
      <c r="D37" s="1">
        <f t="shared" si="2"/>
        <v>114232.38902444999</v>
      </c>
      <c r="E37">
        <f t="shared" si="3"/>
        <v>26494416</v>
      </c>
      <c r="F37" s="2">
        <f t="shared" si="5"/>
        <v>5.3994053033209567E-2</v>
      </c>
      <c r="G37" s="1">
        <f t="shared" si="4"/>
        <v>1434409076.6985207</v>
      </c>
      <c r="I37">
        <f t="shared" si="6"/>
        <v>3120424197.271431</v>
      </c>
      <c r="J37">
        <f t="shared" si="7"/>
        <v>117.77667404601146</v>
      </c>
      <c r="K37">
        <f t="shared" si="8"/>
        <v>9.8147228371676221</v>
      </c>
      <c r="N37">
        <f t="shared" si="9"/>
        <v>79852.585003195782</v>
      </c>
      <c r="O37" s="3">
        <f t="shared" si="10"/>
        <v>5.3994053033209567E-2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T43"/>
  <sheetViews>
    <sheetView topLeftCell="A8" workbookViewId="0">
      <selection activeCell="N25" sqref="N25:O43"/>
    </sheetView>
  </sheetViews>
  <sheetFormatPr baseColWidth="10" defaultColWidth="8.85546875" defaultRowHeight="15" x14ac:dyDescent="0.25"/>
  <sheetData>
    <row r="2" spans="2:20" x14ac:dyDescent="0.25">
      <c r="B2" t="str">
        <f>+[8]T9_AC2014!C9</f>
        <v>Tabela 9 - Resumo das Declarações Por Faixa de Rendimentos Totais</v>
      </c>
      <c r="C2">
        <f>+[8]T9_AC2014!D9</f>
        <v>0</v>
      </c>
      <c r="D2">
        <f>+[8]T9_AC2014!E9</f>
        <v>0</v>
      </c>
      <c r="E2">
        <f>+[8]T9_AC2014!F9</f>
        <v>0</v>
      </c>
      <c r="F2">
        <f>+[8]T9_AC2014!G9</f>
        <v>0</v>
      </c>
      <c r="G2">
        <f>+[8]T9_AC2014!H9</f>
        <v>0</v>
      </c>
      <c r="H2">
        <f>+[8]T9_AC2014!I9</f>
        <v>0</v>
      </c>
      <c r="I2">
        <f>+[8]T9_AC2014!J9</f>
        <v>0</v>
      </c>
      <c r="J2">
        <f>+[8]T9_AC2014!K9</f>
        <v>0</v>
      </c>
      <c r="K2">
        <f>+[8]T9_AC2014!L9</f>
        <v>0</v>
      </c>
      <c r="L2">
        <f>+[8]T9_AC2014!M9</f>
        <v>0</v>
      </c>
      <c r="M2">
        <f>+[8]T9_AC2014!N9</f>
        <v>0</v>
      </c>
      <c r="N2">
        <f>+[8]T9_AC2014!O9</f>
        <v>0</v>
      </c>
      <c r="O2">
        <f>+[8]T9_AC2014!P9</f>
        <v>0</v>
      </c>
      <c r="P2">
        <f>+[8]T9_AC2014!Q9</f>
        <v>0</v>
      </c>
      <c r="Q2">
        <f>+[8]T9_AC2014!R9</f>
        <v>0</v>
      </c>
      <c r="R2">
        <f>+[8]T9_AC2014!S9</f>
        <v>0</v>
      </c>
      <c r="S2">
        <f>+[8]T9_AC2014!T9</f>
        <v>0</v>
      </c>
      <c r="T2" t="str">
        <f>+[8]T9_AC2014!U9</f>
        <v>Valores R$ milhões</v>
      </c>
    </row>
    <row r="3" spans="2:20" x14ac:dyDescent="0.25">
      <c r="B3" t="str">
        <f>+[8]T9_AC2014!C10</f>
        <v>Faixa de Salário Mín. Mensal</v>
      </c>
      <c r="C3" t="str">
        <f>+[8]T9_AC2014!D10</f>
        <v>Qtde Declarantes</v>
      </c>
      <c r="D3" t="str">
        <f>+[8]T9_AC2014!E10</f>
        <v>Rendim. Tribut.</v>
      </c>
      <c r="E3" t="str">
        <f>+[8]T9_AC2014!F10</f>
        <v>Rendim. Tribut. Exclus.</v>
      </c>
      <c r="F3" t="str">
        <f>+[8]T9_AC2014!G10</f>
        <v>Rendim. Isentos</v>
      </c>
      <c r="G3" t="str">
        <f>+[8]T9_AC2014!H10</f>
        <v>DEDUÇÕES</v>
      </c>
      <c r="H3">
        <f>+[8]T9_AC2014!I10</f>
        <v>0</v>
      </c>
      <c r="I3">
        <f>+[8]T9_AC2014!J10</f>
        <v>0</v>
      </c>
      <c r="J3">
        <f>+[8]T9_AC2014!K10</f>
        <v>0</v>
      </c>
      <c r="K3">
        <f>+[8]T9_AC2014!L10</f>
        <v>0</v>
      </c>
      <c r="L3">
        <f>+[8]T9_AC2014!M10</f>
        <v>0</v>
      </c>
      <c r="M3">
        <f>+[8]T9_AC2014!N10</f>
        <v>0</v>
      </c>
      <c r="N3" t="str">
        <f>+[8]T9_AC2014!O10</f>
        <v>Base de Cálculo (RTL)</v>
      </c>
      <c r="O3" t="str">
        <f>+[8]T9_AC2014!P10</f>
        <v>Imposto Devido</v>
      </c>
      <c r="P3" t="str">
        <f>+[8]T9_AC2014!Q10</f>
        <v>Imposto Pago</v>
      </c>
      <c r="Q3" t="str">
        <f>+[8]T9_AC2014!R10</f>
        <v>Imposto a Pagar</v>
      </c>
      <c r="R3" t="str">
        <f>+[8]T9_AC2014!S10</f>
        <v>Imposto a Restituir</v>
      </c>
      <c r="S3" t="str">
        <f>+[8]T9_AC2014!T10</f>
        <v>Bens e Direitos</v>
      </c>
      <c r="T3" t="str">
        <f>+[8]T9_AC2014!U10</f>
        <v>Dívidas e Ônus</v>
      </c>
    </row>
    <row r="4" spans="2:20" x14ac:dyDescent="0.25">
      <c r="B4">
        <f>+[8]T9_AC2014!C11</f>
        <v>0</v>
      </c>
      <c r="C4">
        <f>+[8]T9_AC2014!D11</f>
        <v>0</v>
      </c>
      <c r="D4">
        <f>+[8]T9_AC2014!E11</f>
        <v>0</v>
      </c>
      <c r="E4">
        <f>+[8]T9_AC2014!F11</f>
        <v>0</v>
      </c>
      <c r="F4">
        <f>+[8]T9_AC2014!G11</f>
        <v>0</v>
      </c>
      <c r="G4" t="str">
        <f>+[8]T9_AC2014!H11</f>
        <v>Contrib. Previden.</v>
      </c>
      <c r="H4" t="str">
        <f>+[8]T9_AC2014!I11</f>
        <v>Dependentes</v>
      </c>
      <c r="I4" t="str">
        <f>+[8]T9_AC2014!J11</f>
        <v>Instrução</v>
      </c>
      <c r="J4" t="str">
        <f>+[8]T9_AC2014!K11</f>
        <v>Médicas</v>
      </c>
      <c r="K4" t="str">
        <f>+[8]T9_AC2014!L11</f>
        <v>Livro Caixa</v>
      </c>
      <c r="L4" t="str">
        <f>+[8]T9_AC2014!M11</f>
        <v>Pensão Aliment.</v>
      </c>
      <c r="M4" t="str">
        <f>+[8]T9_AC2014!N11</f>
        <v>Desc. Padrão</v>
      </c>
      <c r="N4">
        <f>+[8]T9_AC2014!O11</f>
        <v>0</v>
      </c>
      <c r="O4">
        <f>+[8]T9_AC2014!P11</f>
        <v>0</v>
      </c>
      <c r="P4">
        <f>+[8]T9_AC2014!Q11</f>
        <v>0</v>
      </c>
      <c r="Q4">
        <f>+[8]T9_AC2014!R11</f>
        <v>0</v>
      </c>
      <c r="R4">
        <f>+[8]T9_AC2014!S11</f>
        <v>0</v>
      </c>
      <c r="S4">
        <f>+[8]T9_AC2014!T11</f>
        <v>0</v>
      </c>
      <c r="T4">
        <f>+[8]T9_AC2014!U11</f>
        <v>0</v>
      </c>
    </row>
    <row r="5" spans="2:20" x14ac:dyDescent="0.25">
      <c r="B5" t="str">
        <f>+[8]T9_AC2014!C12</f>
        <v>Até 1/2</v>
      </c>
      <c r="C5">
        <f>+[8]T9_AC2014!D12</f>
        <v>1173389</v>
      </c>
      <c r="D5">
        <f>+[8]T9_AC2014!E12</f>
        <v>205.40746429999999</v>
      </c>
      <c r="E5">
        <f>+[8]T9_AC2014!F12</f>
        <v>37.112595409999997</v>
      </c>
      <c r="F5">
        <f>+[8]T9_AC2014!G12</f>
        <v>74.597223909999997</v>
      </c>
      <c r="G5">
        <f>+[8]T9_AC2014!H12</f>
        <v>23.293566590000001</v>
      </c>
      <c r="H5">
        <f>+[8]T9_AC2014!I12</f>
        <v>135.806847</v>
      </c>
      <c r="I5">
        <f>+[8]T9_AC2014!J12</f>
        <v>14.19964541</v>
      </c>
      <c r="J5">
        <f>+[8]T9_AC2014!K12</f>
        <v>59.545124289999997</v>
      </c>
      <c r="K5">
        <f>+[8]T9_AC2014!L12</f>
        <v>5.5175919999999996E-2</v>
      </c>
      <c r="L5">
        <f>+[8]T9_AC2014!M12</f>
        <v>13.583772230000001</v>
      </c>
      <c r="M5">
        <f>+[8]T9_AC2014!N12</f>
        <v>22.783235550000001</v>
      </c>
      <c r="N5">
        <f>+[8]T9_AC2014!O12</f>
        <v>164.83249608000003</v>
      </c>
      <c r="O5">
        <f>+[8]T9_AC2014!P12</f>
        <v>1.1965940000000001E-2</v>
      </c>
      <c r="P5">
        <f>+[8]T9_AC2014!Q12</f>
        <v>16.201266179999998</v>
      </c>
      <c r="Q5">
        <f>+[8]T9_AC2014!R12</f>
        <v>2.3786999999999997E-3</v>
      </c>
      <c r="R5">
        <f>+[8]T9_AC2014!S12</f>
        <v>16.191678939999999</v>
      </c>
      <c r="S5">
        <f>+[8]T9_AC2014!T12</f>
        <v>129908.15489204001</v>
      </c>
      <c r="T5">
        <f>+[8]T9_AC2014!U12</f>
        <v>8676.9370572799999</v>
      </c>
    </row>
    <row r="6" spans="2:20" x14ac:dyDescent="0.25">
      <c r="B6" t="str">
        <f>+[8]T9_AC2014!C13</f>
        <v>Mais de 1/2 a 1</v>
      </c>
      <c r="C6">
        <f>+[8]T9_AC2014!D13</f>
        <v>501551</v>
      </c>
      <c r="D6">
        <f>+[8]T9_AC2014!E13</f>
        <v>3658.4012237699999</v>
      </c>
      <c r="E6">
        <f>+[8]T9_AC2014!F13</f>
        <v>73.39154619</v>
      </c>
      <c r="F6">
        <f>+[8]T9_AC2014!G13</f>
        <v>233.59602150000001</v>
      </c>
      <c r="G6">
        <f>+[8]T9_AC2014!H13</f>
        <v>107.22279976</v>
      </c>
      <c r="H6">
        <f>+[8]T9_AC2014!I13</f>
        <v>67.678067159999998</v>
      </c>
      <c r="I6">
        <f>+[8]T9_AC2014!J13</f>
        <v>9.41557931</v>
      </c>
      <c r="J6">
        <f>+[8]T9_AC2014!K13</f>
        <v>32.893917899999998</v>
      </c>
      <c r="K6">
        <f>+[8]T9_AC2014!L13</f>
        <v>0.37867878000000005</v>
      </c>
      <c r="L6">
        <f>+[8]T9_AC2014!M13</f>
        <v>4.3134759900000006</v>
      </c>
      <c r="M6">
        <f>+[8]T9_AC2014!N13</f>
        <v>487.12859784</v>
      </c>
      <c r="N6">
        <f>+[8]T9_AC2014!O13</f>
        <v>3003.6022651800004</v>
      </c>
      <c r="O6">
        <f>+[8]T9_AC2014!P13</f>
        <v>6.5253850000000002E-2</v>
      </c>
      <c r="P6">
        <f>+[8]T9_AC2014!Q13</f>
        <v>11.18778582</v>
      </c>
      <c r="Q6">
        <f>+[8]T9_AC2014!R13</f>
        <v>3.2266160000000002E-2</v>
      </c>
      <c r="R6">
        <f>+[8]T9_AC2014!S13</f>
        <v>11.15479813</v>
      </c>
      <c r="S6">
        <f>+[8]T9_AC2014!T13</f>
        <v>29092.971896359999</v>
      </c>
      <c r="T6">
        <f>+[8]T9_AC2014!U13</f>
        <v>3260.7870425299998</v>
      </c>
    </row>
    <row r="7" spans="2:20" x14ac:dyDescent="0.25">
      <c r="B7" t="str">
        <f>+[8]T9_AC2014!C14</f>
        <v>Mais de 1 a 2</v>
      </c>
      <c r="C7">
        <f>+[8]T9_AC2014!D14</f>
        <v>1067416</v>
      </c>
      <c r="D7">
        <f>+[8]T9_AC2014!E14</f>
        <v>11796.582514539999</v>
      </c>
      <c r="E7">
        <f>+[8]T9_AC2014!F14</f>
        <v>489.02507142000002</v>
      </c>
      <c r="F7">
        <f>+[8]T9_AC2014!G14</f>
        <v>1802.5262321</v>
      </c>
      <c r="G7">
        <f>+[8]T9_AC2014!H14</f>
        <v>253.19486589999997</v>
      </c>
      <c r="H7">
        <f>+[8]T9_AC2014!I14</f>
        <v>230.26673603999998</v>
      </c>
      <c r="I7">
        <f>+[8]T9_AC2014!J14</f>
        <v>40.25019356</v>
      </c>
      <c r="J7">
        <f>+[8]T9_AC2014!K14</f>
        <v>131.59508037000001</v>
      </c>
      <c r="K7">
        <f>+[8]T9_AC2014!L14</f>
        <v>4.3121902499999996</v>
      </c>
      <c r="L7">
        <f>+[8]T9_AC2014!M14</f>
        <v>17.949831849999999</v>
      </c>
      <c r="M7">
        <f>+[8]T9_AC2014!N14</f>
        <v>1488.50737033</v>
      </c>
      <c r="N7">
        <f>+[8]T9_AC2014!O14</f>
        <v>9731.0876736400005</v>
      </c>
      <c r="O7">
        <f>+[8]T9_AC2014!P14</f>
        <v>0.36803996999999999</v>
      </c>
      <c r="P7">
        <f>+[8]T9_AC2014!Q14</f>
        <v>66.104060840000002</v>
      </c>
      <c r="Q7">
        <f>+[8]T9_AC2014!R14</f>
        <v>0.1215865</v>
      </c>
      <c r="R7">
        <f>+[8]T9_AC2014!S14</f>
        <v>65.857607369999997</v>
      </c>
      <c r="S7">
        <f>+[8]T9_AC2014!T14</f>
        <v>73169.14169602</v>
      </c>
      <c r="T7">
        <f>+[8]T9_AC2014!U14</f>
        <v>9298.50887324</v>
      </c>
    </row>
    <row r="8" spans="2:20" x14ac:dyDescent="0.25">
      <c r="B8" t="str">
        <f>+[8]T9_AC2014!C15</f>
        <v>Mais de 2 a 3</v>
      </c>
      <c r="C8">
        <f>+[8]T9_AC2014!D15</f>
        <v>2744805</v>
      </c>
      <c r="D8">
        <f>+[8]T9_AC2014!E15</f>
        <v>55670.564952630004</v>
      </c>
      <c r="E8">
        <f>+[8]T9_AC2014!F15</f>
        <v>1718.0045174100001</v>
      </c>
      <c r="F8">
        <f>+[8]T9_AC2014!G15</f>
        <v>4570.7725616799999</v>
      </c>
      <c r="G8">
        <f>+[8]T9_AC2014!H15</f>
        <v>797.88301427999988</v>
      </c>
      <c r="H8">
        <f>+[8]T9_AC2014!I15</f>
        <v>633.13055027999997</v>
      </c>
      <c r="I8">
        <f>+[8]T9_AC2014!J15</f>
        <v>118.97349078000001</v>
      </c>
      <c r="J8">
        <f>+[8]T9_AC2014!K15</f>
        <v>357.08888349</v>
      </c>
      <c r="K8">
        <f>+[8]T9_AC2014!L15</f>
        <v>27.579263690000001</v>
      </c>
      <c r="L8">
        <f>+[8]T9_AC2014!M15</f>
        <v>46.764550049999997</v>
      </c>
      <c r="M8">
        <f>+[8]T9_AC2014!N15</f>
        <v>8571.1059779999996</v>
      </c>
      <c r="N8">
        <f>+[8]T9_AC2014!O15</f>
        <v>45311.253246599998</v>
      </c>
      <c r="O8">
        <f>+[8]T9_AC2014!P15</f>
        <v>2.1412395300000004</v>
      </c>
      <c r="P8">
        <f>+[8]T9_AC2014!Q15</f>
        <v>203.66661037</v>
      </c>
      <c r="Q8">
        <f>+[8]T9_AC2014!R15</f>
        <v>1.3062978300000001</v>
      </c>
      <c r="R8">
        <f>+[8]T9_AC2014!S15</f>
        <v>202.83166867</v>
      </c>
      <c r="S8">
        <f>+[8]T9_AC2014!T15</f>
        <v>185521.33692294001</v>
      </c>
      <c r="T8">
        <f>+[8]T9_AC2014!U15</f>
        <v>18845.345662200001</v>
      </c>
    </row>
    <row r="9" spans="2:20" x14ac:dyDescent="0.25">
      <c r="B9" t="str">
        <f>+[8]T9_AC2014!C16</f>
        <v>Mais de 3 a 5</v>
      </c>
      <c r="C9">
        <f>+[8]T9_AC2014!D16</f>
        <v>8192562</v>
      </c>
      <c r="D9">
        <f>+[8]T9_AC2014!E16</f>
        <v>235060.25067939999</v>
      </c>
      <c r="E9">
        <f>+[8]T9_AC2014!F16</f>
        <v>15140.712707040002</v>
      </c>
      <c r="F9">
        <f>+[8]T9_AC2014!G16</f>
        <v>24223.619167520003</v>
      </c>
      <c r="G9">
        <f>+[8]T9_AC2014!H16</f>
        <v>8026.0024216699994</v>
      </c>
      <c r="H9">
        <f>+[8]T9_AC2014!I16</f>
        <v>8152.2731473200001</v>
      </c>
      <c r="I9">
        <f>+[8]T9_AC2014!J16</f>
        <v>2605.3466189699998</v>
      </c>
      <c r="J9">
        <f>+[8]T9_AC2014!K16</f>
        <v>5313.7102780100004</v>
      </c>
      <c r="K9">
        <f>+[8]T9_AC2014!L16</f>
        <v>381.59559182999999</v>
      </c>
      <c r="L9">
        <f>+[8]T9_AC2014!M16</f>
        <v>1009.17377</v>
      </c>
      <c r="M9">
        <f>+[8]T9_AC2014!N16</f>
        <v>31474.598816439997</v>
      </c>
      <c r="N9">
        <f>+[8]T9_AC2014!O16</f>
        <v>179437.17097323001</v>
      </c>
      <c r="O9">
        <f>+[8]T9_AC2014!P16</f>
        <v>1375.9819510799998</v>
      </c>
      <c r="P9">
        <f>+[8]T9_AC2014!Q16</f>
        <v>2913.71367693</v>
      </c>
      <c r="Q9">
        <f>+[8]T9_AC2014!R16</f>
        <v>320.33272559</v>
      </c>
      <c r="R9">
        <f>+[8]T9_AC2014!S16</f>
        <v>1858.0644514399999</v>
      </c>
      <c r="S9">
        <f>+[8]T9_AC2014!T16</f>
        <v>545991.88901032996</v>
      </c>
      <c r="T9">
        <f>+[8]T9_AC2014!U16</f>
        <v>55543.535202309999</v>
      </c>
    </row>
    <row r="10" spans="2:20" x14ac:dyDescent="0.25">
      <c r="B10" t="str">
        <f>+[8]T9_AC2014!C17</f>
        <v>Mais de 5 a 7</v>
      </c>
      <c r="C10">
        <f>+[8]T9_AC2014!D17</f>
        <v>4396494</v>
      </c>
      <c r="D10">
        <f>+[8]T9_AC2014!E17</f>
        <v>181750.35612432999</v>
      </c>
      <c r="E10">
        <f>+[8]T9_AC2014!F17</f>
        <v>15405.33556901</v>
      </c>
      <c r="F10">
        <f>+[8]T9_AC2014!G17</f>
        <v>28390.881515679997</v>
      </c>
      <c r="G10">
        <f>+[8]T9_AC2014!H17</f>
        <v>8329.1240263899999</v>
      </c>
      <c r="H10">
        <f>+[8]T9_AC2014!I17</f>
        <v>6800.8704806400001</v>
      </c>
      <c r="I10">
        <f>+[8]T9_AC2014!J17</f>
        <v>3748.6147544400001</v>
      </c>
      <c r="J10">
        <f>+[8]T9_AC2014!K17</f>
        <v>7371.3540337499999</v>
      </c>
      <c r="K10">
        <f>+[8]T9_AC2014!L17</f>
        <v>689.78960672000005</v>
      </c>
      <c r="L10">
        <f>+[8]T9_AC2014!M17</f>
        <v>1469.77823932</v>
      </c>
      <c r="M10">
        <f>+[8]T9_AC2014!N17</f>
        <v>19825.347328700002</v>
      </c>
      <c r="N10">
        <f>+[8]T9_AC2014!O17</f>
        <v>134292.15527968999</v>
      </c>
      <c r="O10">
        <f>+[8]T9_AC2014!P17</f>
        <v>4344.3843185000005</v>
      </c>
      <c r="P10">
        <f>+[8]T9_AC2014!Q17</f>
        <v>6130.3613577699998</v>
      </c>
      <c r="Q10">
        <f>+[8]T9_AC2014!R17</f>
        <v>854.46765389000007</v>
      </c>
      <c r="R10">
        <f>+[8]T9_AC2014!S17</f>
        <v>2640.44469316</v>
      </c>
      <c r="S10">
        <f>+[8]T9_AC2014!T17</f>
        <v>412820.69478546001</v>
      </c>
      <c r="T10">
        <f>+[8]T9_AC2014!U17</f>
        <v>57553.496363719998</v>
      </c>
    </row>
    <row r="11" spans="2:20" x14ac:dyDescent="0.25">
      <c r="B11" t="str">
        <f>+[8]T9_AC2014!C18</f>
        <v>Mais de 7 a 10</v>
      </c>
      <c r="C11">
        <f>+[8]T9_AC2014!D18</f>
        <v>3403789</v>
      </c>
      <c r="D11">
        <f>+[8]T9_AC2014!E18</f>
        <v>191033.22493149003</v>
      </c>
      <c r="E11">
        <f>+[8]T9_AC2014!F18</f>
        <v>17617.04631913</v>
      </c>
      <c r="F11">
        <f>+[8]T9_AC2014!G18</f>
        <v>37252.200754029996</v>
      </c>
      <c r="G11">
        <f>+[8]T9_AC2014!H18</f>
        <v>8212.5700185599999</v>
      </c>
      <c r="H11">
        <f>+[8]T9_AC2014!I18</f>
        <v>5612.0802045600003</v>
      </c>
      <c r="I11">
        <f>+[8]T9_AC2014!J18</f>
        <v>4231.5105038399997</v>
      </c>
      <c r="J11">
        <f>+[8]T9_AC2014!K18</f>
        <v>9200.1467568600001</v>
      </c>
      <c r="K11">
        <f>+[8]T9_AC2014!L18</f>
        <v>1108.1217621199999</v>
      </c>
      <c r="L11">
        <f>+[8]T9_AC2014!M18</f>
        <v>2007.3329202899999</v>
      </c>
      <c r="M11">
        <f>+[8]T9_AC2014!N18</f>
        <v>20554.994271389998</v>
      </c>
      <c r="N11">
        <f>+[8]T9_AC2014!O18</f>
        <v>140538.97199252999</v>
      </c>
      <c r="O11">
        <f>+[8]T9_AC2014!P18</f>
        <v>9717.4899379899998</v>
      </c>
      <c r="P11">
        <f>+[8]T9_AC2014!Q18</f>
        <v>11723.523980989999</v>
      </c>
      <c r="Q11">
        <f>+[8]T9_AC2014!R18</f>
        <v>1695.6346198599999</v>
      </c>
      <c r="R11">
        <f>+[8]T9_AC2014!S18</f>
        <v>3701.66866286</v>
      </c>
      <c r="S11">
        <f>+[8]T9_AC2014!T18</f>
        <v>456989.66991960001</v>
      </c>
      <c r="T11">
        <f>+[8]T9_AC2014!U18</f>
        <v>74415.874385160001</v>
      </c>
    </row>
    <row r="12" spans="2:20" x14ac:dyDescent="0.25">
      <c r="B12" t="str">
        <f>+[8]T9_AC2014!C19</f>
        <v>Mais de 10 a 15</v>
      </c>
      <c r="C12">
        <f>+[8]T9_AC2014!D19</f>
        <v>2563655</v>
      </c>
      <c r="D12">
        <f>+[8]T9_AC2014!E19</f>
        <v>198745.77593038999</v>
      </c>
      <c r="E12">
        <f>+[8]T9_AC2014!F19</f>
        <v>20275.137721729996</v>
      </c>
      <c r="F12">
        <f>+[8]T9_AC2014!G19</f>
        <v>51851.397553229996</v>
      </c>
      <c r="G12">
        <f>+[8]T9_AC2014!H19</f>
        <v>8679.5060187300005</v>
      </c>
      <c r="H12">
        <f>+[8]T9_AC2014!I19</f>
        <v>4233.7663247999999</v>
      </c>
      <c r="I12">
        <f>+[8]T9_AC2014!J19</f>
        <v>3809.88196075</v>
      </c>
      <c r="J12">
        <f>+[8]T9_AC2014!K19</f>
        <v>9645.8251366700006</v>
      </c>
      <c r="K12">
        <f>+[8]T9_AC2014!L19</f>
        <v>1672.1768115999998</v>
      </c>
      <c r="L12">
        <f>+[8]T9_AC2014!M19</f>
        <v>2181.24443883</v>
      </c>
      <c r="M12">
        <f>+[8]T9_AC2014!N19</f>
        <v>17709.682885759998</v>
      </c>
      <c r="N12">
        <f>+[8]T9_AC2014!O19</f>
        <v>151171.01353370002</v>
      </c>
      <c r="O12">
        <f>+[8]T9_AC2014!P19</f>
        <v>18777.92120977</v>
      </c>
      <c r="P12">
        <f>+[8]T9_AC2014!Q19</f>
        <v>19753.717086229997</v>
      </c>
      <c r="Q12">
        <f>+[8]T9_AC2014!R19</f>
        <v>2665.5341630299999</v>
      </c>
      <c r="R12">
        <f>+[8]T9_AC2014!S19</f>
        <v>3641.3457834700002</v>
      </c>
      <c r="S12">
        <f>+[8]T9_AC2014!T19</f>
        <v>553459.80325011001</v>
      </c>
      <c r="T12">
        <f>+[8]T9_AC2014!U19</f>
        <v>61967.239478119998</v>
      </c>
    </row>
    <row r="13" spans="2:20" x14ac:dyDescent="0.25">
      <c r="B13" t="str">
        <f>+[8]T9_AC2014!C20</f>
        <v>Mais de 15 a 20</v>
      </c>
      <c r="C13">
        <f>+[8]T9_AC2014!D20</f>
        <v>1187329</v>
      </c>
      <c r="D13">
        <f>+[8]T9_AC2014!E20</f>
        <v>122398.709313</v>
      </c>
      <c r="E13">
        <f>+[8]T9_AC2014!F20</f>
        <v>14179.13694043</v>
      </c>
      <c r="F13">
        <f>+[8]T9_AC2014!G20</f>
        <v>41075.782493979998</v>
      </c>
      <c r="G13">
        <f>+[8]T9_AC2014!H20</f>
        <v>6631.3896283099994</v>
      </c>
      <c r="H13">
        <f>+[8]T9_AC2014!I20</f>
        <v>2072.2992679200001</v>
      </c>
      <c r="I13">
        <f>+[8]T9_AC2014!J20</f>
        <v>1889.3201301700001</v>
      </c>
      <c r="J13">
        <f>+[8]T9_AC2014!K20</f>
        <v>6090.9573298999994</v>
      </c>
      <c r="K13">
        <f>+[8]T9_AC2014!L20</f>
        <v>1278.6332830699998</v>
      </c>
      <c r="L13">
        <f>+[8]T9_AC2014!M20</f>
        <v>1432.0147320800002</v>
      </c>
      <c r="M13">
        <f>+[8]T9_AC2014!N20</f>
        <v>6417.78425462</v>
      </c>
      <c r="N13">
        <f>+[8]T9_AC2014!O20</f>
        <v>96903.180987419997</v>
      </c>
      <c r="O13">
        <f>+[8]T9_AC2014!P20</f>
        <v>16104.801993009998</v>
      </c>
      <c r="P13">
        <f>+[8]T9_AC2014!Q20</f>
        <v>15959.9344251</v>
      </c>
      <c r="Q13">
        <f>+[8]T9_AC2014!R20</f>
        <v>1863.40489718</v>
      </c>
      <c r="R13">
        <f>+[8]T9_AC2014!S20</f>
        <v>1718.5373292700001</v>
      </c>
      <c r="S13">
        <f>+[8]T9_AC2014!T20</f>
        <v>407383.89989783999</v>
      </c>
      <c r="T13">
        <f>+[8]T9_AC2014!U20</f>
        <v>43586.99511407</v>
      </c>
    </row>
    <row r="14" spans="2:20" x14ac:dyDescent="0.25">
      <c r="B14" t="str">
        <f>+[8]T9_AC2014!C21</f>
        <v>Mais de 20 a 30</v>
      </c>
      <c r="C14">
        <f>+[8]T9_AC2014!D21</f>
        <v>1087582</v>
      </c>
      <c r="D14">
        <f>+[8]T9_AC2014!E21</f>
        <v>147062.59009272</v>
      </c>
      <c r="E14">
        <f>+[8]T9_AC2014!F21</f>
        <v>19372.411866890001</v>
      </c>
      <c r="F14">
        <f>+[8]T9_AC2014!G21</f>
        <v>62696.250852910001</v>
      </c>
      <c r="G14">
        <f>+[8]T9_AC2014!H21</f>
        <v>9574.7343383900006</v>
      </c>
      <c r="H14">
        <f>+[8]T9_AC2014!I21</f>
        <v>1919.6456866800002</v>
      </c>
      <c r="I14">
        <f>+[8]T9_AC2014!J21</f>
        <v>1716.11902126</v>
      </c>
      <c r="J14">
        <f>+[8]T9_AC2014!K21</f>
        <v>7016.5152883000001</v>
      </c>
      <c r="K14">
        <f>+[8]T9_AC2014!L21</f>
        <v>1910.33907378</v>
      </c>
      <c r="L14">
        <f>+[8]T9_AC2014!M21</f>
        <v>1868.1498928400001</v>
      </c>
      <c r="M14">
        <f>+[8]T9_AC2014!N21</f>
        <v>4255.8589437299997</v>
      </c>
      <c r="N14">
        <f>+[8]T9_AC2014!O21</f>
        <v>119309.11870314</v>
      </c>
      <c r="O14">
        <f>+[8]T9_AC2014!P21</f>
        <v>23230.093938090002</v>
      </c>
      <c r="P14">
        <f>+[8]T9_AC2014!Q21</f>
        <v>22626.166805969999</v>
      </c>
      <c r="Q14">
        <f>+[8]T9_AC2014!R21</f>
        <v>2330.1477238799998</v>
      </c>
      <c r="R14">
        <f>+[8]T9_AC2014!S21</f>
        <v>1726.2205917599999</v>
      </c>
      <c r="S14">
        <f>+[8]T9_AC2014!T21</f>
        <v>571284.39358377003</v>
      </c>
      <c r="T14">
        <f>+[8]T9_AC2014!U21</f>
        <v>55803.617762770002</v>
      </c>
    </row>
    <row r="15" spans="2:20" x14ac:dyDescent="0.25">
      <c r="B15" t="str">
        <f>+[8]T9_AC2014!C22</f>
        <v>Mais de 30 a 40</v>
      </c>
      <c r="C15">
        <f>+[8]T9_AC2014!D22</f>
        <v>501726</v>
      </c>
      <c r="D15">
        <f>+[8]T9_AC2014!E22</f>
        <v>88967.539826890003</v>
      </c>
      <c r="E15">
        <f>+[8]T9_AC2014!F22</f>
        <v>13151.674713410001</v>
      </c>
      <c r="F15">
        <f>+[8]T9_AC2014!G22</f>
        <v>47705.521075340002</v>
      </c>
      <c r="G15">
        <f>+[8]T9_AC2014!H22</f>
        <v>6459.8142256900001</v>
      </c>
      <c r="H15">
        <f>+[8]T9_AC2014!I22</f>
        <v>872.74795703999996</v>
      </c>
      <c r="I15">
        <f>+[8]T9_AC2014!J22</f>
        <v>764.74832909000008</v>
      </c>
      <c r="J15">
        <f>+[8]T9_AC2014!K22</f>
        <v>4118.8717440500004</v>
      </c>
      <c r="K15">
        <f>+[8]T9_AC2014!L22</f>
        <v>1366.17534275</v>
      </c>
      <c r="L15">
        <f>+[8]T9_AC2014!M22</f>
        <v>1187.2590270200001</v>
      </c>
      <c r="M15">
        <f>+[8]T9_AC2014!N22</f>
        <v>1503.50252247</v>
      </c>
      <c r="N15">
        <f>+[8]T9_AC2014!O22</f>
        <v>73161.992631100002</v>
      </c>
      <c r="O15">
        <f>+[8]T9_AC2014!P22</f>
        <v>15751.608325149999</v>
      </c>
      <c r="P15">
        <f>+[8]T9_AC2014!Q22</f>
        <v>15234.484032659999</v>
      </c>
      <c r="Q15">
        <f>+[8]T9_AC2014!R22</f>
        <v>1446.4178138099999</v>
      </c>
      <c r="R15">
        <f>+[8]T9_AC2014!S22</f>
        <v>929.29352131999997</v>
      </c>
      <c r="S15">
        <f>+[8]T9_AC2014!T22</f>
        <v>398958.07189447002</v>
      </c>
      <c r="T15">
        <f>+[8]T9_AC2014!U22</f>
        <v>32274.217597520001</v>
      </c>
    </row>
    <row r="16" spans="2:20" x14ac:dyDescent="0.25">
      <c r="B16" t="str">
        <f>+[8]T9_AC2014!C23</f>
        <v>Mais de 40 a 60</v>
      </c>
      <c r="C16">
        <f>+[8]T9_AC2014!D23</f>
        <v>400429</v>
      </c>
      <c r="D16">
        <f>+[8]T9_AC2014!E23</f>
        <v>86053.691943259997</v>
      </c>
      <c r="E16">
        <f>+[8]T9_AC2014!F23</f>
        <v>16158.56039717</v>
      </c>
      <c r="F16">
        <f>+[8]T9_AC2014!G23</f>
        <v>64929.254027439994</v>
      </c>
      <c r="G16">
        <f>+[8]T9_AC2014!H23</f>
        <v>6053.0655217000003</v>
      </c>
      <c r="H16">
        <f>+[8]T9_AC2014!I23</f>
        <v>696.41794272000004</v>
      </c>
      <c r="I16">
        <f>+[8]T9_AC2014!J23</f>
        <v>610.49510879000002</v>
      </c>
      <c r="J16">
        <f>+[8]T9_AC2014!K23</f>
        <v>3621.0431074000003</v>
      </c>
      <c r="K16">
        <f>+[8]T9_AC2014!L23</f>
        <v>1784.37757218</v>
      </c>
      <c r="L16">
        <f>+[8]T9_AC2014!M23</f>
        <v>1150.95264511</v>
      </c>
      <c r="M16">
        <f>+[8]T9_AC2014!N23</f>
        <v>1166.0858886400001</v>
      </c>
      <c r="N16">
        <f>+[8]T9_AC2014!O23</f>
        <v>71352.337131220003</v>
      </c>
      <c r="O16">
        <f>+[8]T9_AC2014!P23</f>
        <v>16215.22408002</v>
      </c>
      <c r="P16">
        <f>+[8]T9_AC2014!Q23</f>
        <v>15321.78753978</v>
      </c>
      <c r="Q16">
        <f>+[8]T9_AC2014!R23</f>
        <v>1654.3659632199999</v>
      </c>
      <c r="R16">
        <f>+[8]T9_AC2014!S23</f>
        <v>760.92966172999991</v>
      </c>
      <c r="S16">
        <f>+[8]T9_AC2014!T23</f>
        <v>484230.88732415007</v>
      </c>
      <c r="T16">
        <f>+[8]T9_AC2014!U23</f>
        <v>34543.752413100003</v>
      </c>
    </row>
    <row r="17" spans="2:20" x14ac:dyDescent="0.25">
      <c r="B17" t="str">
        <f>+[8]T9_AC2014!C24</f>
        <v>Mais de 60 a 80</v>
      </c>
      <c r="C17">
        <f>+[8]T9_AC2014!D24</f>
        <v>143650</v>
      </c>
      <c r="D17">
        <f>+[8]T9_AC2014!E24</f>
        <v>35033.820775690001</v>
      </c>
      <c r="E17">
        <f>+[8]T9_AC2014!F24</f>
        <v>9318.9813123900003</v>
      </c>
      <c r="F17">
        <f>+[8]T9_AC2014!G24</f>
        <v>41211.697828210003</v>
      </c>
      <c r="G17">
        <f>+[8]T9_AC2014!H24</f>
        <v>2128.6007502500001</v>
      </c>
      <c r="H17">
        <f>+[8]T9_AC2014!I24</f>
        <v>246.81802704</v>
      </c>
      <c r="I17">
        <f>+[8]T9_AC2014!J24</f>
        <v>217.31483147</v>
      </c>
      <c r="J17">
        <f>+[8]T9_AC2014!K24</f>
        <v>1372.6032473599998</v>
      </c>
      <c r="K17">
        <f>+[8]T9_AC2014!L24</f>
        <v>953.96193730999994</v>
      </c>
      <c r="L17">
        <f>+[8]T9_AC2014!M24</f>
        <v>460.74952315000002</v>
      </c>
      <c r="M17">
        <f>+[8]T9_AC2014!N24</f>
        <v>460.40038239999996</v>
      </c>
      <c r="N17">
        <f>+[8]T9_AC2014!O24</f>
        <v>29320.237182189998</v>
      </c>
      <c r="O17">
        <f>+[8]T9_AC2014!P24</f>
        <v>6906.6757656199998</v>
      </c>
      <c r="P17">
        <f>+[8]T9_AC2014!Q24</f>
        <v>6410.1310197300008</v>
      </c>
      <c r="Q17">
        <f>+[8]T9_AC2014!R24</f>
        <v>797.38067376000004</v>
      </c>
      <c r="R17">
        <f>+[8]T9_AC2014!S24</f>
        <v>300.94469382999995</v>
      </c>
      <c r="S17">
        <f>+[8]T9_AC2014!T24</f>
        <v>271660.72870162997</v>
      </c>
      <c r="T17">
        <f>+[8]T9_AC2014!U24</f>
        <v>17331.163675510001</v>
      </c>
    </row>
    <row r="18" spans="2:20" x14ac:dyDescent="0.25">
      <c r="B18" t="str">
        <f>+[8]T9_AC2014!C25</f>
        <v>Mais de 80 a 160</v>
      </c>
      <c r="C18">
        <f>+[8]T9_AC2014!D25</f>
        <v>142095</v>
      </c>
      <c r="D18">
        <f>+[8]T9_AC2014!E25</f>
        <v>38735.032578940001</v>
      </c>
      <c r="E18">
        <f>+[8]T9_AC2014!F25</f>
        <v>16054.567092169998</v>
      </c>
      <c r="F18">
        <f>+[8]T9_AC2014!G25</f>
        <v>78039.567825200007</v>
      </c>
      <c r="G18">
        <f>+[8]T9_AC2014!H25</f>
        <v>1860.7909792099999</v>
      </c>
      <c r="H18">
        <f>+[8]T9_AC2014!I25</f>
        <v>221.37971712000001</v>
      </c>
      <c r="I18">
        <f>+[8]T9_AC2014!J25</f>
        <v>190.92443208</v>
      </c>
      <c r="J18">
        <f>+[8]T9_AC2014!K25</f>
        <v>1356.6911075099999</v>
      </c>
      <c r="K18">
        <f>+[8]T9_AC2014!L25</f>
        <v>1431.3001410499999</v>
      </c>
      <c r="L18">
        <f>+[8]T9_AC2014!M25</f>
        <v>440.08216349999998</v>
      </c>
      <c r="M18">
        <f>+[8]T9_AC2014!N25</f>
        <v>517.62798195999994</v>
      </c>
      <c r="N18">
        <f>+[8]T9_AC2014!O25</f>
        <v>32903.329704420001</v>
      </c>
      <c r="O18">
        <f>+[8]T9_AC2014!P25</f>
        <v>8002.4042014500001</v>
      </c>
      <c r="P18">
        <f>+[8]T9_AC2014!Q25</f>
        <v>7238.4369563599994</v>
      </c>
      <c r="Q18">
        <f>+[8]T9_AC2014!R25</f>
        <v>1088.3031123400001</v>
      </c>
      <c r="R18">
        <f>+[8]T9_AC2014!S25</f>
        <v>324.33586724999998</v>
      </c>
      <c r="S18">
        <f>+[8]T9_AC2014!T25</f>
        <v>470262.54514426994</v>
      </c>
      <c r="T18">
        <f>+[8]T9_AC2014!U25</f>
        <v>27129.376841370002</v>
      </c>
    </row>
    <row r="19" spans="2:20" x14ac:dyDescent="0.25">
      <c r="B19" t="str">
        <f>+[8]T9_AC2014!C26</f>
        <v>Mais de 160 a 240</v>
      </c>
      <c r="C19">
        <f>+[8]T9_AC2014!D26</f>
        <v>32626</v>
      </c>
      <c r="D19">
        <f>+[8]T9_AC2014!E26</f>
        <v>10930.86722538</v>
      </c>
      <c r="E19">
        <f>+[8]T9_AC2014!F26</f>
        <v>7221.5072306499997</v>
      </c>
      <c r="F19">
        <f>+[8]T9_AC2014!G26</f>
        <v>36702.271998219992</v>
      </c>
      <c r="G19">
        <f>+[8]T9_AC2014!H26</f>
        <v>356.41935078</v>
      </c>
      <c r="H19">
        <f>+[8]T9_AC2014!I26</f>
        <v>47.05957944</v>
      </c>
      <c r="I19">
        <f>+[8]T9_AC2014!J26</f>
        <v>40.498125530000003</v>
      </c>
      <c r="J19">
        <f>+[8]T9_AC2014!K26</f>
        <v>333.21572786000002</v>
      </c>
      <c r="K19">
        <f>+[8]T9_AC2014!L26</f>
        <v>668.18434202000003</v>
      </c>
      <c r="L19">
        <f>+[8]T9_AC2014!M26</f>
        <v>105.18846479000001</v>
      </c>
      <c r="M19">
        <f>+[8]T9_AC2014!N26</f>
        <v>131.68450281</v>
      </c>
      <c r="N19">
        <f>+[8]T9_AC2014!O26</f>
        <v>9300.8971667699989</v>
      </c>
      <c r="O19">
        <f>+[8]T9_AC2014!P26</f>
        <v>2332.7836310499997</v>
      </c>
      <c r="P19">
        <f>+[8]T9_AC2014!Q26</f>
        <v>2007.0882407200002</v>
      </c>
      <c r="Q19">
        <f>+[8]T9_AC2014!R26</f>
        <v>405.13660120999998</v>
      </c>
      <c r="R19">
        <f>+[8]T9_AC2014!S26</f>
        <v>79.44121088</v>
      </c>
      <c r="S19">
        <f>+[8]T9_AC2014!T26</f>
        <v>217147.54105219</v>
      </c>
      <c r="T19">
        <f>+[8]T9_AC2014!U26</f>
        <v>12006.53473747</v>
      </c>
    </row>
    <row r="20" spans="2:20" x14ac:dyDescent="0.25">
      <c r="B20" t="str">
        <f>+[8]T9_AC2014!C27</f>
        <v>Mais de 240 a 320</v>
      </c>
      <c r="C20">
        <f>+[8]T9_AC2014!D27</f>
        <v>13552</v>
      </c>
      <c r="D20">
        <f>+[8]T9_AC2014!E27</f>
        <v>5417.1499236199998</v>
      </c>
      <c r="E20">
        <f>+[8]T9_AC2014!F27</f>
        <v>4523.1777395899999</v>
      </c>
      <c r="F20">
        <f>+[8]T9_AC2014!G27</f>
        <v>22467.597621430003</v>
      </c>
      <c r="G20">
        <f>+[8]T9_AC2014!H27</f>
        <v>151.00170679000001</v>
      </c>
      <c r="H20">
        <f>+[8]T9_AC2014!I27</f>
        <v>18.86955</v>
      </c>
      <c r="I20">
        <f>+[8]T9_AC2014!J27</f>
        <v>15.866781810000001</v>
      </c>
      <c r="J20">
        <f>+[8]T9_AC2014!K27</f>
        <v>151.00433458000001</v>
      </c>
      <c r="K20">
        <f>+[8]T9_AC2014!L27</f>
        <v>458.76653977000001</v>
      </c>
      <c r="L20">
        <f>+[8]T9_AC2014!M27</f>
        <v>53.58896009</v>
      </c>
      <c r="M20">
        <f>+[8]T9_AC2014!N27</f>
        <v>55.752989049999996</v>
      </c>
      <c r="N20">
        <f>+[8]T9_AC2014!O27</f>
        <v>4537.8719054100002</v>
      </c>
      <c r="O20">
        <f>+[8]T9_AC2014!P27</f>
        <v>1157.74119737</v>
      </c>
      <c r="P20">
        <f>+[8]T9_AC2014!Q27</f>
        <v>972.17960759999994</v>
      </c>
      <c r="Q20">
        <f>+[8]T9_AC2014!R27</f>
        <v>221.57458652</v>
      </c>
      <c r="R20">
        <f>+[8]T9_AC2014!S27</f>
        <v>36.012996749999999</v>
      </c>
      <c r="S20">
        <f>+[8]T9_AC2014!T27</f>
        <v>149247.05063310999</v>
      </c>
      <c r="T20">
        <f>+[8]T9_AC2014!U27</f>
        <v>6799.8699629500006</v>
      </c>
    </row>
    <row r="21" spans="2:20" x14ac:dyDescent="0.25">
      <c r="B21" t="str">
        <f>+[8]T9_AC2014!C28</f>
        <v>Mais de 320</v>
      </c>
      <c r="C21">
        <f>+[8]T9_AC2014!D28</f>
        <v>28433</v>
      </c>
      <c r="D21">
        <f>+[8]T9_AC2014!E28</f>
        <v>24987.897811139999</v>
      </c>
      <c r="E21">
        <f>+[8]T9_AC2014!F28</f>
        <v>54719.001865989994</v>
      </c>
      <c r="F21">
        <f>+[8]T9_AC2014!G28</f>
        <v>193943.20921882999</v>
      </c>
      <c r="G21">
        <f>+[8]T9_AC2014!H28</f>
        <v>471.72532213000005</v>
      </c>
      <c r="H21">
        <f>+[8]T9_AC2014!I28</f>
        <v>40.743132359999997</v>
      </c>
      <c r="I21">
        <f>+[8]T9_AC2014!J28</f>
        <v>33.412498739999997</v>
      </c>
      <c r="J21">
        <f>+[8]T9_AC2014!K28</f>
        <v>404.56296677</v>
      </c>
      <c r="K21">
        <f>+[8]T9_AC2014!L28</f>
        <v>4367.1206718000003</v>
      </c>
      <c r="L21">
        <f>+[8]T9_AC2014!M28</f>
        <v>198.34565852000003</v>
      </c>
      <c r="M21">
        <f>+[8]T9_AC2014!N28</f>
        <v>110.50402054999999</v>
      </c>
      <c r="N21">
        <f>+[8]T9_AC2014!O28</f>
        <v>19453.885116739999</v>
      </c>
      <c r="O21">
        <f>+[8]T9_AC2014!P28</f>
        <v>5127.3805540900003</v>
      </c>
      <c r="P21">
        <f>+[8]T9_AC2014!Q28</f>
        <v>4287.5327058399998</v>
      </c>
      <c r="Q21">
        <f>+[8]T9_AC2014!R28</f>
        <v>967.03405213999997</v>
      </c>
      <c r="R21">
        <f>+[8]T9_AC2014!S28</f>
        <v>127.18620388999999</v>
      </c>
      <c r="S21">
        <f>+[8]T9_AC2014!T28</f>
        <v>1104750.5253109599</v>
      </c>
      <c r="T21">
        <f>+[8]T9_AC2014!U28</f>
        <v>44860.205277550005</v>
      </c>
    </row>
    <row r="22" spans="2:20" x14ac:dyDescent="0.25">
      <c r="B22" t="str">
        <f>+[8]T9_AC2014!C29</f>
        <v xml:space="preserve">    Total</v>
      </c>
      <c r="C22">
        <f>+[8]T9_AC2014!D29</f>
        <v>27581083</v>
      </c>
      <c r="D22">
        <f>+[8]T9_AC2014!E29</f>
        <v>1437507.8633114898</v>
      </c>
      <c r="E22">
        <f>+[8]T9_AC2014!F29</f>
        <v>225454.78520603001</v>
      </c>
      <c r="F22">
        <f>+[8]T9_AC2014!G29</f>
        <v>737170.74397120997</v>
      </c>
      <c r="G22">
        <f>+[8]T9_AC2014!H29</f>
        <v>68116.338555130002</v>
      </c>
      <c r="H22">
        <f>+[8]T9_AC2014!I29</f>
        <v>32001.853218119995</v>
      </c>
      <c r="I22">
        <f>+[8]T9_AC2014!J29</f>
        <v>20056.892006000002</v>
      </c>
      <c r="J22">
        <f>+[8]T9_AC2014!K29</f>
        <v>56577.624065069984</v>
      </c>
      <c r="K22">
        <f>+[8]T9_AC2014!L29</f>
        <v>18102.867984640001</v>
      </c>
      <c r="L22">
        <f>+[8]T9_AC2014!M29</f>
        <v>13646.47206566</v>
      </c>
      <c r="M22">
        <f>+[8]T9_AC2014!N29</f>
        <v>114753.34997023997</v>
      </c>
      <c r="N22">
        <f>+[8]T9_AC2014!O29</f>
        <v>1119892.9379890598</v>
      </c>
      <c r="O22">
        <f>+[8]T9_AC2014!P29</f>
        <v>129047.07760248</v>
      </c>
      <c r="P22">
        <f>+[8]T9_AC2014!Q29</f>
        <v>130876.21715888999</v>
      </c>
      <c r="Q22">
        <f>+[8]T9_AC2014!R29</f>
        <v>16311.19711562</v>
      </c>
      <c r="R22">
        <f>+[8]T9_AC2014!S29</f>
        <v>18140.461420719999</v>
      </c>
      <c r="S22">
        <f>+[8]T9_AC2014!T29</f>
        <v>6461879.3059152495</v>
      </c>
      <c r="T22">
        <f>+[8]T9_AC2014!U29</f>
        <v>563897.45744686993</v>
      </c>
    </row>
    <row r="25" spans="2:20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724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20" x14ac:dyDescent="0.25">
      <c r="B26" t="str">
        <f>+B5</f>
        <v>Até 1/2</v>
      </c>
      <c r="C26" s="1">
        <f>+D5+E5+F5-K5</f>
        <v>317.06210769999996</v>
      </c>
      <c r="D26" s="1">
        <f>+O5</f>
        <v>1.1965940000000001E-2</v>
      </c>
      <c r="E26">
        <f>+C5</f>
        <v>1173389</v>
      </c>
      <c r="F26" s="2">
        <f>+D26/C26</f>
        <v>3.7740050638034674E-5</v>
      </c>
      <c r="G26" s="1">
        <f>+C26*$H$18</f>
        <v>70191.119712096974</v>
      </c>
      <c r="I26">
        <f>+C26*1000000/$H$25</f>
        <v>437931.0879834253</v>
      </c>
      <c r="J26">
        <f>+I26/E26</f>
        <v>0.37321901601551172</v>
      </c>
      <c r="K26">
        <f>+J26/12</f>
        <v>3.1101584667959311E-2</v>
      </c>
      <c r="N26">
        <f>+C26*1000000/E26</f>
        <v>270.21056759523049</v>
      </c>
      <c r="O26" s="3">
        <f>+F26</f>
        <v>3.7740050638034674E-5</v>
      </c>
    </row>
    <row r="27" spans="2:20" x14ac:dyDescent="0.25">
      <c r="B27" t="str">
        <f t="shared" ref="B27:B43" si="0">+B6</f>
        <v>Mais de 1/2 a 1</v>
      </c>
      <c r="C27" s="1">
        <f t="shared" ref="C27:C43" si="1">+D6+E6+F6-K6</f>
        <v>3965.01011268</v>
      </c>
      <c r="D27" s="1">
        <f t="shared" ref="D27:D43" si="2">+O6</f>
        <v>6.5253850000000002E-2</v>
      </c>
      <c r="E27">
        <f t="shared" ref="E27:E43" si="3">+C6</f>
        <v>501551</v>
      </c>
      <c r="F27" s="2">
        <f t="shared" ref="F27:F43" si="4">+D27/C27</f>
        <v>1.6457423347123347E-5</v>
      </c>
      <c r="G27" s="1">
        <f t="shared" ref="G27:G43" si="5">+C27*$H$18</f>
        <v>877772.81712303776</v>
      </c>
      <c r="I27">
        <f t="shared" ref="I27:I43" si="6">+C27*1000000/$H$25</f>
        <v>5476533.3048066292</v>
      </c>
      <c r="J27">
        <f t="shared" ref="J27:J43" si="7">+I27/E27</f>
        <v>10.919195265898441</v>
      </c>
      <c r="K27">
        <f t="shared" ref="K27:K43" si="8">+J27/12</f>
        <v>0.90993293882487014</v>
      </c>
      <c r="N27">
        <f t="shared" ref="N27:N33" si="9">+C27*1000000/E27</f>
        <v>7905.4973725104719</v>
      </c>
      <c r="O27" s="3">
        <f t="shared" ref="O27:O33" si="10">+F27</f>
        <v>1.6457423347123347E-5</v>
      </c>
    </row>
    <row r="28" spans="2:20" x14ac:dyDescent="0.25">
      <c r="B28" t="str">
        <f t="shared" si="0"/>
        <v>Mais de 1 a 2</v>
      </c>
      <c r="C28" s="1">
        <f t="shared" si="1"/>
        <v>14083.821627809999</v>
      </c>
      <c r="D28" s="1">
        <f t="shared" si="2"/>
        <v>0.36803996999999999</v>
      </c>
      <c r="E28">
        <f t="shared" si="3"/>
        <v>1067416</v>
      </c>
      <c r="F28" s="2">
        <f t="shared" si="4"/>
        <v>2.6132109574099268E-5</v>
      </c>
      <c r="G28" s="1">
        <f t="shared" si="5"/>
        <v>3117872.4479331155</v>
      </c>
      <c r="I28">
        <f t="shared" si="6"/>
        <v>19452792.303604972</v>
      </c>
      <c r="J28">
        <f t="shared" si="7"/>
        <v>18.224190290950268</v>
      </c>
      <c r="K28">
        <f t="shared" si="8"/>
        <v>1.5186825242458557</v>
      </c>
      <c r="N28">
        <f t="shared" si="9"/>
        <v>13194.313770647994</v>
      </c>
      <c r="O28" s="3">
        <f t="shared" si="10"/>
        <v>2.6132109574099268E-5</v>
      </c>
    </row>
    <row r="29" spans="2:20" x14ac:dyDescent="0.25">
      <c r="B29" t="str">
        <f t="shared" si="0"/>
        <v>Mais de 2 a 3</v>
      </c>
      <c r="C29" s="1">
        <f t="shared" si="1"/>
        <v>61931.762768030007</v>
      </c>
      <c r="D29" s="1">
        <f t="shared" si="2"/>
        <v>2.1412395300000004</v>
      </c>
      <c r="E29">
        <f t="shared" si="3"/>
        <v>2744805</v>
      </c>
      <c r="F29" s="2">
        <f t="shared" si="4"/>
        <v>3.4574173805130842E-5</v>
      </c>
      <c r="G29" s="1">
        <f t="shared" si="5"/>
        <v>13710436.122329433</v>
      </c>
      <c r="I29">
        <f t="shared" si="6"/>
        <v>85541108.795621559</v>
      </c>
      <c r="J29">
        <f t="shared" si="7"/>
        <v>31.164730753412922</v>
      </c>
      <c r="K29">
        <f t="shared" si="8"/>
        <v>2.5970608961177435</v>
      </c>
      <c r="N29">
        <f t="shared" si="9"/>
        <v>22563.265065470954</v>
      </c>
      <c r="O29" s="3">
        <f t="shared" si="10"/>
        <v>3.4574173805130842E-5</v>
      </c>
    </row>
    <row r="30" spans="2:20" x14ac:dyDescent="0.25">
      <c r="B30" t="str">
        <f t="shared" si="0"/>
        <v>Mais de 3 a 5</v>
      </c>
      <c r="C30" s="1">
        <f t="shared" si="1"/>
        <v>274042.98696213006</v>
      </c>
      <c r="D30" s="1">
        <f t="shared" si="2"/>
        <v>1375.9819510799998</v>
      </c>
      <c r="E30">
        <f t="shared" si="3"/>
        <v>8192562</v>
      </c>
      <c r="F30" s="2">
        <f t="shared" si="4"/>
        <v>5.0210442030766012E-3</v>
      </c>
      <c r="G30" s="1">
        <f t="shared" si="5"/>
        <v>60667558.932396203</v>
      </c>
      <c r="I30">
        <f t="shared" si="6"/>
        <v>378512412.93111885</v>
      </c>
      <c r="J30">
        <f t="shared" si="7"/>
        <v>46.201958914820402</v>
      </c>
      <c r="K30">
        <f t="shared" si="8"/>
        <v>3.8501632429017003</v>
      </c>
      <c r="N30">
        <f t="shared" si="9"/>
        <v>33450.218254329971</v>
      </c>
      <c r="O30" s="3">
        <f t="shared" si="10"/>
        <v>5.0210442030766012E-3</v>
      </c>
    </row>
    <row r="31" spans="2:20" x14ac:dyDescent="0.25">
      <c r="B31" t="str">
        <f t="shared" si="0"/>
        <v>Mais de 5 a 7</v>
      </c>
      <c r="C31" s="1">
        <f t="shared" si="1"/>
        <v>224856.78360229998</v>
      </c>
      <c r="D31" s="1">
        <f t="shared" si="2"/>
        <v>4344.3843185000005</v>
      </c>
      <c r="E31">
        <f t="shared" si="3"/>
        <v>4396494</v>
      </c>
      <c r="F31" s="2">
        <f t="shared" si="4"/>
        <v>1.9320672691751351E-2</v>
      </c>
      <c r="G31" s="1">
        <f t="shared" si="5"/>
        <v>49778731.146390229</v>
      </c>
      <c r="I31">
        <f t="shared" si="6"/>
        <v>310575667.95897788</v>
      </c>
      <c r="J31">
        <f t="shared" si="7"/>
        <v>70.64166764676078</v>
      </c>
      <c r="K31">
        <f t="shared" si="8"/>
        <v>5.886805637230065</v>
      </c>
      <c r="N31">
        <f t="shared" si="9"/>
        <v>51144.567376254803</v>
      </c>
      <c r="O31" s="3">
        <f t="shared" si="10"/>
        <v>1.9320672691751351E-2</v>
      </c>
    </row>
    <row r="32" spans="2:20" x14ac:dyDescent="0.25">
      <c r="B32" t="str">
        <f t="shared" si="0"/>
        <v>Mais de 7 a 10</v>
      </c>
      <c r="C32" s="1">
        <f t="shared" si="1"/>
        <v>244794.35024253002</v>
      </c>
      <c r="D32" s="1">
        <f t="shared" si="2"/>
        <v>9717.4899379899998</v>
      </c>
      <c r="E32">
        <f t="shared" si="3"/>
        <v>3403789</v>
      </c>
      <c r="F32" s="2">
        <f t="shared" si="4"/>
        <v>3.969654499118299E-2</v>
      </c>
      <c r="G32" s="1">
        <f t="shared" si="5"/>
        <v>54192504.009265505</v>
      </c>
      <c r="I32">
        <f t="shared" si="6"/>
        <v>338113743.42890888</v>
      </c>
      <c r="J32">
        <f t="shared" si="7"/>
        <v>99.334519098836296</v>
      </c>
      <c r="K32">
        <f t="shared" si="8"/>
        <v>8.2778765915696919</v>
      </c>
      <c r="N32">
        <f t="shared" si="9"/>
        <v>71918.191827557472</v>
      </c>
      <c r="O32" s="3">
        <f t="shared" si="10"/>
        <v>3.969654499118299E-2</v>
      </c>
    </row>
    <row r="33" spans="2:15" x14ac:dyDescent="0.25">
      <c r="B33" t="str">
        <f t="shared" si="0"/>
        <v>Mais de 10 a 15</v>
      </c>
      <c r="C33" s="1">
        <f t="shared" si="1"/>
        <v>269200.13439374999</v>
      </c>
      <c r="D33" s="1">
        <f t="shared" si="2"/>
        <v>18777.92120977</v>
      </c>
      <c r="E33">
        <f t="shared" si="3"/>
        <v>2563655</v>
      </c>
      <c r="F33" s="2">
        <f t="shared" si="4"/>
        <v>6.9754501616645426E-2</v>
      </c>
      <c r="G33" s="1">
        <f t="shared" si="5"/>
        <v>59595449.600754358</v>
      </c>
      <c r="I33">
        <f t="shared" si="6"/>
        <v>371823390.04661602</v>
      </c>
      <c r="J33">
        <f t="shared" si="7"/>
        <v>145.03643822847303</v>
      </c>
      <c r="K33">
        <f t="shared" si="8"/>
        <v>12.086369852372753</v>
      </c>
      <c r="N33">
        <f t="shared" si="9"/>
        <v>105006.38127741448</v>
      </c>
      <c r="O33" s="3">
        <f t="shared" si="10"/>
        <v>6.9754501616645426E-2</v>
      </c>
    </row>
    <row r="34" spans="2:15" x14ac:dyDescent="0.25">
      <c r="B34" t="str">
        <f t="shared" si="0"/>
        <v>Mais de 15 a 20</v>
      </c>
      <c r="C34" s="1">
        <f t="shared" si="1"/>
        <v>176374.99546434</v>
      </c>
      <c r="D34" s="1">
        <f t="shared" si="2"/>
        <v>16104.801993009998</v>
      </c>
      <c r="E34">
        <f t="shared" si="3"/>
        <v>1187329</v>
      </c>
      <c r="F34" s="2">
        <f t="shared" si="4"/>
        <v>9.1310006560800239E-2</v>
      </c>
      <c r="G34" s="1">
        <f t="shared" si="5"/>
        <v>39045846.602936871</v>
      </c>
      <c r="I34">
        <f t="shared" si="6"/>
        <v>243611872.18831491</v>
      </c>
      <c r="J34">
        <f t="shared" si="7"/>
        <v>205.17638513698807</v>
      </c>
      <c r="K34">
        <f t="shared" si="8"/>
        <v>17.098032094749005</v>
      </c>
      <c r="N34">
        <f t="shared" ref="N34:N43" si="11">+C34*1000000/E34</f>
        <v>148547.70283917937</v>
      </c>
      <c r="O34" s="3">
        <f t="shared" ref="O34:O43" si="12">+F34</f>
        <v>9.1310006560800239E-2</v>
      </c>
    </row>
    <row r="35" spans="2:15" x14ac:dyDescent="0.25">
      <c r="B35" t="str">
        <f t="shared" si="0"/>
        <v>Mais de 20 a 30</v>
      </c>
      <c r="C35" s="1">
        <f t="shared" si="1"/>
        <v>227220.91373874003</v>
      </c>
      <c r="D35" s="1">
        <f t="shared" si="2"/>
        <v>23230.093938090002</v>
      </c>
      <c r="E35">
        <f t="shared" si="3"/>
        <v>1087582</v>
      </c>
      <c r="F35" s="2">
        <f t="shared" si="4"/>
        <v>0.1022357209812126</v>
      </c>
      <c r="G35" s="1">
        <f t="shared" si="5"/>
        <v>50302101.607230194</v>
      </c>
      <c r="I35">
        <f t="shared" si="6"/>
        <v>313841041.07560778</v>
      </c>
      <c r="J35">
        <f t="shared" si="7"/>
        <v>288.56770438974513</v>
      </c>
      <c r="K35">
        <f t="shared" si="8"/>
        <v>24.047308699145429</v>
      </c>
      <c r="N35">
        <f t="shared" si="11"/>
        <v>208923.01797817546</v>
      </c>
      <c r="O35" s="3">
        <f t="shared" si="12"/>
        <v>0.1022357209812126</v>
      </c>
    </row>
    <row r="36" spans="2:15" x14ac:dyDescent="0.25">
      <c r="B36" t="str">
        <f t="shared" si="0"/>
        <v>Mais de 30 a 40</v>
      </c>
      <c r="C36" s="1">
        <f t="shared" si="1"/>
        <v>148458.56027289</v>
      </c>
      <c r="D36" s="1">
        <f t="shared" si="2"/>
        <v>15751.608325149999</v>
      </c>
      <c r="E36">
        <f t="shared" si="3"/>
        <v>501726</v>
      </c>
      <c r="F36" s="2">
        <f t="shared" si="4"/>
        <v>0.10610104460258866</v>
      </c>
      <c r="G36" s="1">
        <f t="shared" si="5"/>
        <v>32865714.077254858</v>
      </c>
      <c r="I36">
        <f t="shared" si="6"/>
        <v>205053260.04542816</v>
      </c>
      <c r="J36">
        <f t="shared" si="7"/>
        <v>408.69570252573749</v>
      </c>
      <c r="K36">
        <f t="shared" si="8"/>
        <v>34.057975210478126</v>
      </c>
      <c r="N36">
        <f t="shared" si="11"/>
        <v>295895.68862863391</v>
      </c>
      <c r="O36" s="3">
        <f t="shared" si="12"/>
        <v>0.10610104460258866</v>
      </c>
    </row>
    <row r="37" spans="2:15" x14ac:dyDescent="0.25">
      <c r="B37" t="str">
        <f t="shared" si="0"/>
        <v>Mais de 40 a 60</v>
      </c>
      <c r="C37" s="1">
        <f t="shared" si="1"/>
        <v>165357.12879568999</v>
      </c>
      <c r="D37" s="1">
        <f t="shared" si="2"/>
        <v>16215.22408002</v>
      </c>
      <c r="E37">
        <f t="shared" si="3"/>
        <v>400429</v>
      </c>
      <c r="F37" s="2">
        <f t="shared" si="4"/>
        <v>9.8061838628409032E-2</v>
      </c>
      <c r="G37" s="1">
        <f t="shared" si="5"/>
        <v>36606714.396565259</v>
      </c>
      <c r="I37">
        <f t="shared" si="6"/>
        <v>228393824.30343923</v>
      </c>
      <c r="J37">
        <f t="shared" si="7"/>
        <v>570.37283589210381</v>
      </c>
      <c r="K37">
        <f t="shared" si="8"/>
        <v>47.531069657675317</v>
      </c>
      <c r="N37">
        <f t="shared" si="11"/>
        <v>412949.93318588316</v>
      </c>
      <c r="O37" s="3">
        <f t="shared" si="12"/>
        <v>9.8061838628409032E-2</v>
      </c>
    </row>
    <row r="38" spans="2:15" x14ac:dyDescent="0.25">
      <c r="B38" t="str">
        <f t="shared" si="0"/>
        <v>Mais de 60 a 80</v>
      </c>
      <c r="C38" s="1">
        <f t="shared" si="1"/>
        <v>84610.537978980006</v>
      </c>
      <c r="D38" s="1">
        <f t="shared" si="2"/>
        <v>6906.6757656199998</v>
      </c>
      <c r="E38">
        <f t="shared" si="3"/>
        <v>143650</v>
      </c>
      <c r="F38" s="2">
        <f t="shared" si="4"/>
        <v>8.1629025539771902E-2</v>
      </c>
      <c r="G38" s="1">
        <f t="shared" si="5"/>
        <v>18731056.963157613</v>
      </c>
      <c r="I38">
        <f t="shared" si="6"/>
        <v>116865383.94886743</v>
      </c>
      <c r="J38">
        <f t="shared" si="7"/>
        <v>813.54252661933469</v>
      </c>
      <c r="K38">
        <f t="shared" si="8"/>
        <v>67.79521055161122</v>
      </c>
      <c r="N38">
        <f t="shared" si="11"/>
        <v>589004.78927239822</v>
      </c>
      <c r="O38" s="3">
        <f t="shared" si="12"/>
        <v>8.1629025539771902E-2</v>
      </c>
    </row>
    <row r="39" spans="2:15" x14ac:dyDescent="0.25">
      <c r="B39" t="str">
        <f t="shared" si="0"/>
        <v>Mais de 80 a 160</v>
      </c>
      <c r="C39" s="1">
        <f t="shared" si="1"/>
        <v>131397.86735526004</v>
      </c>
      <c r="D39" s="1">
        <f t="shared" si="2"/>
        <v>8002.4042014500001</v>
      </c>
      <c r="E39">
        <f t="shared" si="3"/>
        <v>142095</v>
      </c>
      <c r="F39" s="2">
        <f t="shared" si="4"/>
        <v>6.090208587490939E-2</v>
      </c>
      <c r="G39" s="1">
        <f t="shared" si="5"/>
        <v>29088822.705278751</v>
      </c>
      <c r="I39">
        <f t="shared" si="6"/>
        <v>181488767.06527629</v>
      </c>
      <c r="J39">
        <f t="shared" si="7"/>
        <v>1277.2354204249009</v>
      </c>
      <c r="K39">
        <f t="shared" si="8"/>
        <v>106.4362850354084</v>
      </c>
      <c r="N39">
        <f t="shared" si="11"/>
        <v>924718.44438762823</v>
      </c>
      <c r="O39" s="3">
        <f t="shared" si="12"/>
        <v>6.090208587490939E-2</v>
      </c>
    </row>
    <row r="40" spans="2:15" x14ac:dyDescent="0.25">
      <c r="B40" t="str">
        <f t="shared" si="0"/>
        <v>Mais de 160 a 240</v>
      </c>
      <c r="C40" s="1">
        <f t="shared" si="1"/>
        <v>54186.462112229987</v>
      </c>
      <c r="D40" s="1">
        <f t="shared" si="2"/>
        <v>2332.7836310499997</v>
      </c>
      <c r="E40">
        <f t="shared" si="3"/>
        <v>32626</v>
      </c>
      <c r="F40" s="2">
        <f t="shared" si="4"/>
        <v>4.3051041535400153E-2</v>
      </c>
      <c r="G40" s="1">
        <f t="shared" si="5"/>
        <v>11995783.654139074</v>
      </c>
      <c r="I40">
        <f t="shared" si="6"/>
        <v>74843179.71302484</v>
      </c>
      <c r="J40">
        <f t="shared" si="7"/>
        <v>2293.9735092571827</v>
      </c>
      <c r="K40">
        <f t="shared" si="8"/>
        <v>191.16445910476523</v>
      </c>
      <c r="N40">
        <f t="shared" si="11"/>
        <v>1660836.8207022003</v>
      </c>
      <c r="O40" s="3">
        <f t="shared" si="12"/>
        <v>4.3051041535400153E-2</v>
      </c>
    </row>
    <row r="41" spans="2:15" x14ac:dyDescent="0.25">
      <c r="B41" t="str">
        <f t="shared" si="0"/>
        <v>Mais de 240 a 320</v>
      </c>
      <c r="C41" s="1">
        <f t="shared" si="1"/>
        <v>31949.158744870001</v>
      </c>
      <c r="D41" s="1">
        <f t="shared" si="2"/>
        <v>1157.74119737</v>
      </c>
      <c r="E41">
        <f t="shared" si="3"/>
        <v>13552</v>
      </c>
      <c r="F41" s="2">
        <f t="shared" si="4"/>
        <v>3.6236985349603165E-2</v>
      </c>
      <c r="G41" s="1">
        <f t="shared" si="5"/>
        <v>7072895.7251612954</v>
      </c>
      <c r="I41">
        <f t="shared" si="6"/>
        <v>44128672.2995442</v>
      </c>
      <c r="J41">
        <f t="shared" si="7"/>
        <v>3256.2479559876183</v>
      </c>
      <c r="K41">
        <f t="shared" si="8"/>
        <v>271.35399633230151</v>
      </c>
      <c r="N41">
        <f t="shared" si="11"/>
        <v>2357523.5201350357</v>
      </c>
      <c r="O41" s="3">
        <f t="shared" si="12"/>
        <v>3.6236985349603165E-2</v>
      </c>
    </row>
    <row r="42" spans="2:15" x14ac:dyDescent="0.25">
      <c r="B42" t="str">
        <f t="shared" si="0"/>
        <v>Mais de 320</v>
      </c>
      <c r="C42" s="1">
        <f t="shared" si="1"/>
        <v>269282.98822415998</v>
      </c>
      <c r="D42" s="1">
        <f t="shared" si="2"/>
        <v>5127.3805540900003</v>
      </c>
      <c r="E42">
        <f t="shared" si="3"/>
        <v>28433</v>
      </c>
      <c r="F42" s="2">
        <f t="shared" si="4"/>
        <v>1.9040863249117693E-2</v>
      </c>
      <c r="G42" s="1">
        <f t="shared" si="5"/>
        <v>59613791.758292831</v>
      </c>
      <c r="I42">
        <f t="shared" si="6"/>
        <v>371937829.03889501</v>
      </c>
      <c r="J42">
        <f t="shared" si="7"/>
        <v>13081.202442193755</v>
      </c>
      <c r="K42">
        <f t="shared" si="8"/>
        <v>1090.1002035161462</v>
      </c>
      <c r="N42">
        <f t="shared" si="11"/>
        <v>9470790.5681482777</v>
      </c>
      <c r="O42" s="3">
        <f t="shared" si="12"/>
        <v>1.9040863249117693E-2</v>
      </c>
    </row>
    <row r="43" spans="2:15" x14ac:dyDescent="0.25">
      <c r="B43" t="str">
        <f t="shared" si="0"/>
        <v xml:space="preserve">    Total</v>
      </c>
      <c r="C43" s="1">
        <f t="shared" si="1"/>
        <v>2382030.5245040897</v>
      </c>
      <c r="D43" s="1">
        <f t="shared" si="2"/>
        <v>129047.07760248</v>
      </c>
      <c r="E43">
        <f t="shared" si="3"/>
        <v>27581083</v>
      </c>
      <c r="F43" s="2">
        <f t="shared" si="4"/>
        <v>5.4175240944633177E-2</v>
      </c>
      <c r="G43" s="1">
        <f t="shared" si="5"/>
        <v>527333243.68592066</v>
      </c>
      <c r="I43">
        <f t="shared" si="6"/>
        <v>3290097409.5360355</v>
      </c>
      <c r="J43">
        <f t="shared" si="7"/>
        <v>119.28818783279959</v>
      </c>
      <c r="K43">
        <f t="shared" si="8"/>
        <v>9.9406823193999667</v>
      </c>
      <c r="N43">
        <f t="shared" si="11"/>
        <v>86364.647990946905</v>
      </c>
      <c r="O43" s="3">
        <f t="shared" si="12"/>
        <v>5.4175240944633177E-2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U43"/>
  <sheetViews>
    <sheetView topLeftCell="A22" workbookViewId="0">
      <selection activeCell="N25" sqref="N25:O43"/>
    </sheetView>
  </sheetViews>
  <sheetFormatPr baseColWidth="10" defaultColWidth="8.85546875" defaultRowHeight="15" x14ac:dyDescent="0.25"/>
  <sheetData>
    <row r="2" spans="2:21" x14ac:dyDescent="0.25">
      <c r="B2" t="str">
        <f>+[9]T9!C9</f>
        <v>Tabela 9 - Resumo das Declarações Por Faixa de Rendimentos Totais</v>
      </c>
      <c r="C2">
        <f>+[9]T9!D9</f>
        <v>0</v>
      </c>
      <c r="D2">
        <f>+[9]T9!E9</f>
        <v>0</v>
      </c>
      <c r="E2">
        <f>+[9]T9!F9</f>
        <v>0</v>
      </c>
      <c r="F2">
        <f>+[9]T9!G9</f>
        <v>0</v>
      </c>
      <c r="G2">
        <f>+[9]T9!H9</f>
        <v>0</v>
      </c>
      <c r="H2">
        <f>+[9]T9!I9</f>
        <v>0</v>
      </c>
      <c r="I2">
        <f>+[9]T9!J9</f>
        <v>0</v>
      </c>
      <c r="J2">
        <f>+[9]T9!K9</f>
        <v>0</v>
      </c>
      <c r="K2">
        <f>+[9]T9!L9</f>
        <v>0</v>
      </c>
      <c r="L2">
        <f>+[9]T9!M9</f>
        <v>0</v>
      </c>
      <c r="M2">
        <f>+[9]T9!N9</f>
        <v>0</v>
      </c>
      <c r="N2">
        <f>+[9]T9!O9</f>
        <v>0</v>
      </c>
      <c r="O2">
        <f>+[9]T9!P9</f>
        <v>0</v>
      </c>
      <c r="P2">
        <f>+[9]T9!Q9</f>
        <v>0</v>
      </c>
      <c r="Q2">
        <f>+[9]T9!R9</f>
        <v>0</v>
      </c>
      <c r="R2">
        <f>+[9]T9!S9</f>
        <v>0</v>
      </c>
      <c r="S2">
        <f>+[9]T9!T9</f>
        <v>0</v>
      </c>
      <c r="T2">
        <f>+[9]T9!U9</f>
        <v>0</v>
      </c>
      <c r="U2" t="str">
        <f>+[9]T9!V9</f>
        <v>Valores R$ milhões</v>
      </c>
    </row>
    <row r="3" spans="2:21" x14ac:dyDescent="0.25">
      <c r="B3" t="str">
        <f>+[9]T9!C10</f>
        <v>Faixa de Salário Mín. Mensal</v>
      </c>
      <c r="C3" t="str">
        <f>+[9]T9!D10</f>
        <v>Qtde Declarantes</v>
      </c>
      <c r="D3" t="str">
        <f>+[9]T9!E10</f>
        <v>Rendim. Tribut.</v>
      </c>
      <c r="E3" t="str">
        <f>+[9]T9!F10</f>
        <v>Rendim. Tribut. Exclus.</v>
      </c>
      <c r="F3" t="str">
        <f>+[9]T9!G10</f>
        <v>Rendim. Isentos</v>
      </c>
      <c r="G3" t="str">
        <f>+[9]T9!H10</f>
        <v>DEDUÇÕES</v>
      </c>
      <c r="H3">
        <f>+[9]T9!I10</f>
        <v>0</v>
      </c>
      <c r="I3">
        <f>+[9]T9!J10</f>
        <v>0</v>
      </c>
      <c r="J3">
        <f>+[9]T9!K10</f>
        <v>0</v>
      </c>
      <c r="K3">
        <f>+[9]T9!L10</f>
        <v>0</v>
      </c>
      <c r="L3">
        <f>+[9]T9!M10</f>
        <v>0</v>
      </c>
      <c r="M3">
        <f>+[9]T9!N10</f>
        <v>0</v>
      </c>
      <c r="N3" t="str">
        <f>+[9]T9!O10</f>
        <v>Base de Cálculo (RTL)</v>
      </c>
      <c r="O3" t="str">
        <f>+[9]T9!P10</f>
        <v>Imposto Devido</v>
      </c>
      <c r="P3" t="str">
        <f>+[9]T9!Q10</f>
        <v>Imposto Pago</v>
      </c>
      <c r="Q3" t="str">
        <f>+[9]T9!R10</f>
        <v>Imposto a Pagar</v>
      </c>
      <c r="R3" t="str">
        <f>+[9]T9!S10</f>
        <v>Imposto a Restituir</v>
      </c>
      <c r="S3" t="str">
        <f>+[9]T9!T10</f>
        <v>Bens e Direitos</v>
      </c>
      <c r="T3" t="str">
        <f>+[9]T9!U10</f>
        <v>Dívidas e Ônus</v>
      </c>
      <c r="U3" t="str">
        <f>+[9]T9!V10</f>
        <v>Doações e Heranças</v>
      </c>
    </row>
    <row r="4" spans="2:21" x14ac:dyDescent="0.25">
      <c r="B4">
        <f>+[9]T9!C11</f>
        <v>0</v>
      </c>
      <c r="C4">
        <f>+[9]T9!D11</f>
        <v>0</v>
      </c>
      <c r="D4">
        <f>+[9]T9!E11</f>
        <v>0</v>
      </c>
      <c r="E4">
        <f>+[9]T9!F11</f>
        <v>0</v>
      </c>
      <c r="F4">
        <f>+[9]T9!G11</f>
        <v>0</v>
      </c>
      <c r="G4" t="str">
        <f>+[9]T9!H11</f>
        <v>Contrib. Previden.</v>
      </c>
      <c r="H4" t="str">
        <f>+[9]T9!I11</f>
        <v>Dependentes</v>
      </c>
      <c r="I4" t="str">
        <f>+[9]T9!J11</f>
        <v>Instrução</v>
      </c>
      <c r="J4" t="str">
        <f>+[9]T9!K11</f>
        <v>Médicas</v>
      </c>
      <c r="K4" t="str">
        <f>+[9]T9!L11</f>
        <v>Livro Caixa</v>
      </c>
      <c r="L4" t="str">
        <f>+[9]T9!M11</f>
        <v>Pensão Aliment.</v>
      </c>
      <c r="M4" t="str">
        <f>+[9]T9!N11</f>
        <v>Desc. Padrão</v>
      </c>
      <c r="N4">
        <f>+[9]T9!O11</f>
        <v>0</v>
      </c>
      <c r="O4">
        <f>+[9]T9!P11</f>
        <v>0</v>
      </c>
      <c r="P4">
        <f>+[9]T9!Q11</f>
        <v>0</v>
      </c>
      <c r="Q4">
        <f>+[9]T9!R11</f>
        <v>0</v>
      </c>
      <c r="R4">
        <f>+[9]T9!S11</f>
        <v>0</v>
      </c>
      <c r="S4">
        <f>+[9]T9!T11</f>
        <v>0</v>
      </c>
      <c r="T4">
        <f>+[9]T9!U11</f>
        <v>0</v>
      </c>
      <c r="U4">
        <f>+[9]T9!V11</f>
        <v>0</v>
      </c>
    </row>
    <row r="5" spans="2:21" x14ac:dyDescent="0.25">
      <c r="B5" t="str">
        <f>+[9]T9!C12</f>
        <v>Até 1/2</v>
      </c>
      <c r="C5">
        <f>+[9]T9!D12</f>
        <v>1301366</v>
      </c>
      <c r="D5">
        <f>+[9]T9!E12</f>
        <v>254.31180692999999</v>
      </c>
      <c r="E5">
        <f>+[9]T9!F12</f>
        <v>46.15391915</v>
      </c>
      <c r="F5">
        <f>+[9]T9!G12</f>
        <v>113.07151603</v>
      </c>
      <c r="G5">
        <f>+[9]T9!H12</f>
        <v>24.162080790000001</v>
      </c>
      <c r="H5">
        <f>+[9]T9!I12</f>
        <v>318.99579203999997</v>
      </c>
      <c r="I5">
        <f>+[9]T9!J12</f>
        <v>18.59037519</v>
      </c>
      <c r="J5">
        <f>+[9]T9!K12</f>
        <v>72.964262540000007</v>
      </c>
      <c r="K5">
        <f>+[9]T9!L12</f>
        <v>0.11617991999999999</v>
      </c>
      <c r="L5">
        <f>+[9]T9!M12</f>
        <v>22.78398979</v>
      </c>
      <c r="M5">
        <f>+[9]T9!N12</f>
        <v>30.192822370000002</v>
      </c>
      <c r="N5">
        <f>+[9]T9!O12</f>
        <v>201.97784328</v>
      </c>
      <c r="O5">
        <f>+[9]T9!P12</f>
        <v>2.4875209999999998E-2</v>
      </c>
      <c r="P5">
        <f>+[9]T9!Q12</f>
        <v>20.512670969999999</v>
      </c>
      <c r="Q5">
        <f>+[9]T9!R12</f>
        <v>4.8128299999999997E-3</v>
      </c>
      <c r="R5">
        <f>+[9]T9!S12</f>
        <v>20.49260859</v>
      </c>
      <c r="S5">
        <f>+[9]T9!T12</f>
        <v>136273.31608095</v>
      </c>
      <c r="T5">
        <f>+[9]T9!U12</f>
        <v>27577.117546519999</v>
      </c>
      <c r="U5">
        <f>+[9]T9!V12</f>
        <v>0.79237636</v>
      </c>
    </row>
    <row r="6" spans="2:21" x14ac:dyDescent="0.25">
      <c r="B6" t="str">
        <f>+[9]T9!C13</f>
        <v>Mais de 1/2 a 1</v>
      </c>
      <c r="C6">
        <f>+[9]T9!D13</f>
        <v>573674</v>
      </c>
      <c r="D6">
        <f>+[9]T9!E13</f>
        <v>4487.3521180000007</v>
      </c>
      <c r="E6">
        <f>+[9]T9!F13</f>
        <v>91.644096649999994</v>
      </c>
      <c r="F6">
        <f>+[9]T9!G13</f>
        <v>341.21550518999999</v>
      </c>
      <c r="G6">
        <f>+[9]T9!H13</f>
        <v>110.50223426999999</v>
      </c>
      <c r="H6">
        <f>+[9]T9!I13</f>
        <v>164.01506736000002</v>
      </c>
      <c r="I6">
        <f>+[9]T9!J13</f>
        <v>11.940725499999999</v>
      </c>
      <c r="J6">
        <f>+[9]T9!K13</f>
        <v>40.76955486</v>
      </c>
      <c r="K6">
        <f>+[9]T9!L13</f>
        <v>0.52800835000000002</v>
      </c>
      <c r="L6">
        <f>+[9]T9!M13</f>
        <v>6.5660913800000005</v>
      </c>
      <c r="M6">
        <f>+[9]T9!N13</f>
        <v>629.46028213</v>
      </c>
      <c r="N6">
        <f>+[9]T9!O13</f>
        <v>3662.6384620399995</v>
      </c>
      <c r="O6">
        <f>+[9]T9!P13</f>
        <v>8.9832619999999988E-2</v>
      </c>
      <c r="P6">
        <f>+[9]T9!Q13</f>
        <v>13.03043141</v>
      </c>
      <c r="Q6">
        <f>+[9]T9!R13</f>
        <v>3.9569359999999998E-2</v>
      </c>
      <c r="R6">
        <f>+[9]T9!S13</f>
        <v>12.980168150000001</v>
      </c>
      <c r="S6">
        <f>+[9]T9!T13</f>
        <v>38902.713611610001</v>
      </c>
      <c r="T6">
        <f>+[9]T9!U13</f>
        <v>4035.2517850300001</v>
      </c>
      <c r="U6">
        <f>+[9]T9!V13</f>
        <v>4.1426936300000001</v>
      </c>
    </row>
    <row r="7" spans="2:21" x14ac:dyDescent="0.25">
      <c r="B7" t="str">
        <f>+[9]T9!C14</f>
        <v>Mais de 1 a 2</v>
      </c>
      <c r="C7">
        <f>+[9]T9!D14</f>
        <v>1227268</v>
      </c>
      <c r="D7">
        <f>+[9]T9!E14</f>
        <v>14525.204213970001</v>
      </c>
      <c r="E7">
        <f>+[9]T9!F14</f>
        <v>598.96122663999995</v>
      </c>
      <c r="F7">
        <f>+[9]T9!G14</f>
        <v>2553.3487943099999</v>
      </c>
      <c r="G7">
        <f>+[9]T9!H14</f>
        <v>302.55162065999997</v>
      </c>
      <c r="H7">
        <f>+[9]T9!I14</f>
        <v>521.23447848000001</v>
      </c>
      <c r="I7">
        <f>+[9]T9!J14</f>
        <v>51.720195099999998</v>
      </c>
      <c r="J7">
        <f>+[9]T9!K14</f>
        <v>187.25706777000002</v>
      </c>
      <c r="K7">
        <f>+[9]T9!L14</f>
        <v>4.9434341900000005</v>
      </c>
      <c r="L7">
        <f>+[9]T9!M14</f>
        <v>23.077902830000003</v>
      </c>
      <c r="M7">
        <f>+[9]T9!N14</f>
        <v>1933.64696377</v>
      </c>
      <c r="N7">
        <f>+[9]T9!O14</f>
        <v>11898.478636029999</v>
      </c>
      <c r="O7">
        <f>+[9]T9!P14</f>
        <v>0.5248373999999999</v>
      </c>
      <c r="P7">
        <f>+[9]T9!Q14</f>
        <v>75.831951919999995</v>
      </c>
      <c r="Q7">
        <f>+[9]T9!R14</f>
        <v>0.21197565000000002</v>
      </c>
      <c r="R7">
        <f>+[9]T9!S14</f>
        <v>75.519090169999998</v>
      </c>
      <c r="S7">
        <f>+[9]T9!T14</f>
        <v>135711.99536013001</v>
      </c>
      <c r="T7">
        <f>+[9]T9!U14</f>
        <v>9654.0240046299987</v>
      </c>
      <c r="U7">
        <f>+[9]T9!V14</f>
        <v>29.019338650000002</v>
      </c>
    </row>
    <row r="8" spans="2:21" x14ac:dyDescent="0.25">
      <c r="B8" t="str">
        <f>+[9]T9!C15</f>
        <v>Mais de 2 a 3</v>
      </c>
      <c r="C8">
        <f>+[9]T9!D15</f>
        <v>3278035</v>
      </c>
      <c r="D8">
        <f>+[9]T9!E15</f>
        <v>73566.936897809996</v>
      </c>
      <c r="E8">
        <f>+[9]T9!F15</f>
        <v>2159.3055059999997</v>
      </c>
      <c r="F8">
        <f>+[9]T9!G15</f>
        <v>6322.7537769399996</v>
      </c>
      <c r="G8">
        <f>+[9]T9!H15</f>
        <v>920.93369086000007</v>
      </c>
      <c r="H8">
        <f>+[9]T9!I15</f>
        <v>1654.0218363600002</v>
      </c>
      <c r="I8">
        <f>+[9]T9!J15</f>
        <v>153.68490202000001</v>
      </c>
      <c r="J8">
        <f>+[9]T9!K15</f>
        <v>502.28517668000001</v>
      </c>
      <c r="K8">
        <f>+[9]T9!L15</f>
        <v>21.503751899999997</v>
      </c>
      <c r="L8">
        <f>+[9]T9!M15</f>
        <v>64.122173690000011</v>
      </c>
      <c r="M8">
        <f>+[9]T9!N15</f>
        <v>12217.85390677</v>
      </c>
      <c r="N8">
        <f>+[9]T9!O15</f>
        <v>59225.930463390003</v>
      </c>
      <c r="O8">
        <f>+[9]T9!P15</f>
        <v>3.0781801299999998</v>
      </c>
      <c r="P8">
        <f>+[9]T9!Q15</f>
        <v>246.31237819</v>
      </c>
      <c r="Q8">
        <f>+[9]T9!R15</f>
        <v>1.9758114600000001</v>
      </c>
      <c r="R8">
        <f>+[9]T9!S15</f>
        <v>245.21000952000003</v>
      </c>
      <c r="S8">
        <f>+[9]T9!T15</f>
        <v>268681.64804177999</v>
      </c>
      <c r="T8">
        <f>+[9]T9!U15</f>
        <v>38544.341028059993</v>
      </c>
      <c r="U8">
        <f>+[9]T9!V15</f>
        <v>76.738243459999993</v>
      </c>
    </row>
    <row r="9" spans="2:21" x14ac:dyDescent="0.25">
      <c r="B9" t="str">
        <f>+[9]T9!C16</f>
        <v>Mais de 3 a 5</v>
      </c>
      <c r="C9">
        <f>+[9]T9!D16</f>
        <v>7403868</v>
      </c>
      <c r="D9">
        <f>+[9]T9!E16</f>
        <v>228922.06125123001</v>
      </c>
      <c r="E9">
        <f>+[9]T9!F16</f>
        <v>16831.55402001</v>
      </c>
      <c r="F9">
        <f>+[9]T9!G16</f>
        <v>29606.02943033</v>
      </c>
      <c r="G9">
        <f>+[9]T9!H16</f>
        <v>9109.7082390800006</v>
      </c>
      <c r="H9">
        <f>+[9]T9!I16</f>
        <v>11159.192322359999</v>
      </c>
      <c r="I9">
        <f>+[9]T9!J16</f>
        <v>2965.5429740500003</v>
      </c>
      <c r="J9">
        <f>+[9]T9!K16</f>
        <v>6369.73721604</v>
      </c>
      <c r="K9">
        <f>+[9]T9!L16</f>
        <v>267.34441516999999</v>
      </c>
      <c r="L9">
        <f>+[9]T9!M16</f>
        <v>1176.4723158099998</v>
      </c>
      <c r="M9">
        <f>+[9]T9!N16</f>
        <v>28344.32864036</v>
      </c>
      <c r="N9">
        <f>+[9]T9!O16</f>
        <v>173204.97193535001</v>
      </c>
      <c r="O9">
        <f>+[9]T9!P16</f>
        <v>1718.44368201</v>
      </c>
      <c r="P9">
        <f>+[9]T9!Q16</f>
        <v>3534.6750961799999</v>
      </c>
      <c r="Q9">
        <f>+[9]T9!R16</f>
        <v>361.55498498000003</v>
      </c>
      <c r="R9">
        <f>+[9]T9!S16</f>
        <v>2177.7863991499999</v>
      </c>
      <c r="S9">
        <f>+[9]T9!T16</f>
        <v>526419.81863955001</v>
      </c>
      <c r="T9">
        <f>+[9]T9!U16</f>
        <v>54277.599949060008</v>
      </c>
      <c r="U9">
        <f>+[9]T9!V16</f>
        <v>394.28221596999998</v>
      </c>
    </row>
    <row r="10" spans="2:21" x14ac:dyDescent="0.25">
      <c r="B10" t="str">
        <f>+[9]T9!C17</f>
        <v>Mais de 5 a 7</v>
      </c>
      <c r="C10">
        <f>+[9]T9!D17</f>
        <v>4339708</v>
      </c>
      <c r="D10">
        <f>+[9]T9!E17</f>
        <v>192782.90618704999</v>
      </c>
      <c r="E10">
        <f>+[9]T9!F17</f>
        <v>16497.582065589999</v>
      </c>
      <c r="F10">
        <f>+[9]T9!G17</f>
        <v>32910.087846909999</v>
      </c>
      <c r="G10">
        <f>+[9]T9!H17</f>
        <v>8775.0106263400012</v>
      </c>
      <c r="H10">
        <f>+[9]T9!I17</f>
        <v>8280.9772389600002</v>
      </c>
      <c r="I10">
        <f>+[9]T9!J17</f>
        <v>3928.2548318000004</v>
      </c>
      <c r="J10">
        <f>+[9]T9!K17</f>
        <v>8116.9195432100005</v>
      </c>
      <c r="K10">
        <f>+[9]T9!L17</f>
        <v>509.78322900000001</v>
      </c>
      <c r="L10">
        <f>+[9]T9!M17</f>
        <v>1574.24256874</v>
      </c>
      <c r="M10">
        <f>+[9]T9!N17</f>
        <v>21177.181515700002</v>
      </c>
      <c r="N10">
        <f>+[9]T9!O17</f>
        <v>142605.70130332999</v>
      </c>
      <c r="O10">
        <f>+[9]T9!P17</f>
        <v>5135.3093153500004</v>
      </c>
      <c r="P10">
        <f>+[9]T9!Q17</f>
        <v>7179.0946108099997</v>
      </c>
      <c r="Q10">
        <f>+[9]T9!R17</f>
        <v>942.38304821999998</v>
      </c>
      <c r="R10">
        <f>+[9]T9!S17</f>
        <v>2986.1683436800004</v>
      </c>
      <c r="S10">
        <f>+[9]T9!T17</f>
        <v>443328.09477763</v>
      </c>
      <c r="T10">
        <f>+[9]T9!U17</f>
        <v>50840.668853319999</v>
      </c>
      <c r="U10">
        <f>+[9]T9!V17</f>
        <v>980.8230004699999</v>
      </c>
    </row>
    <row r="11" spans="2:21" x14ac:dyDescent="0.25">
      <c r="B11" t="str">
        <f>+[9]T9!C18</f>
        <v>Mais de 7 a 10</v>
      </c>
      <c r="C11">
        <f>+[9]T9!D18</f>
        <v>3352450</v>
      </c>
      <c r="D11">
        <f>+[9]T9!E18</f>
        <v>202073.04236632999</v>
      </c>
      <c r="E11">
        <f>+[9]T9!F18</f>
        <v>18801.275964699998</v>
      </c>
      <c r="F11">
        <f>+[9]T9!G18</f>
        <v>42626.945715679998</v>
      </c>
      <c r="G11">
        <f>+[9]T9!H18</f>
        <v>8679.5110308300009</v>
      </c>
      <c r="H11">
        <f>+[9]T9!I18</f>
        <v>6930.0779614799994</v>
      </c>
      <c r="I11">
        <f>+[9]T9!J18</f>
        <v>4285.14110239</v>
      </c>
      <c r="J11">
        <f>+[9]T9!K18</f>
        <v>9729.0220825800006</v>
      </c>
      <c r="K11">
        <f>+[9]T9!L18</f>
        <v>847.04758723999998</v>
      </c>
      <c r="L11">
        <f>+[9]T9!M18</f>
        <v>2088.9020644799998</v>
      </c>
      <c r="M11">
        <f>+[9]T9!N18</f>
        <v>22045.442334610001</v>
      </c>
      <c r="N11">
        <f>+[9]T9!O18</f>
        <v>149355.66585756</v>
      </c>
      <c r="O11">
        <f>+[9]T9!P18</f>
        <v>11209.076855810001</v>
      </c>
      <c r="P11">
        <f>+[9]T9!Q18</f>
        <v>13396.68529023</v>
      </c>
      <c r="Q11">
        <f>+[9]T9!R18</f>
        <v>1853.3361013599999</v>
      </c>
      <c r="R11">
        <f>+[9]T9!S18</f>
        <v>4040.9445357800005</v>
      </c>
      <c r="S11">
        <f>+[9]T9!T18</f>
        <v>496954.38581557001</v>
      </c>
      <c r="T11">
        <f>+[9]T9!U18</f>
        <v>55729.898939499995</v>
      </c>
      <c r="U11">
        <f>+[9]T9!V18</f>
        <v>1838.5715573500001</v>
      </c>
    </row>
    <row r="12" spans="2:21" x14ac:dyDescent="0.25">
      <c r="B12" t="str">
        <f>+[9]T9!C19</f>
        <v>Mais de 10 a 15</v>
      </c>
      <c r="C12">
        <f>+[9]T9!D19</f>
        <v>2536352</v>
      </c>
      <c r="D12">
        <f>+[9]T9!E19</f>
        <v>211126.76267852</v>
      </c>
      <c r="E12">
        <f>+[9]T9!F19</f>
        <v>21922.369431470004</v>
      </c>
      <c r="F12">
        <f>+[9]T9!G19</f>
        <v>58535.451190969994</v>
      </c>
      <c r="G12">
        <f>+[9]T9!H19</f>
        <v>9543.0908644299998</v>
      </c>
      <c r="H12">
        <f>+[9]T9!I19</f>
        <v>5248.7574401999991</v>
      </c>
      <c r="I12">
        <f>+[9]T9!J19</f>
        <v>3843.1918560599997</v>
      </c>
      <c r="J12">
        <f>+[9]T9!K19</f>
        <v>10372.316893090001</v>
      </c>
      <c r="K12">
        <f>+[9]T9!L19</f>
        <v>1352.7960240699999</v>
      </c>
      <c r="L12">
        <f>+[9]T9!M19</f>
        <v>2287.2952994499997</v>
      </c>
      <c r="M12">
        <f>+[9]T9!N19</f>
        <v>18268.17577577</v>
      </c>
      <c r="N12">
        <f>+[9]T9!O19</f>
        <v>161671.76826524001</v>
      </c>
      <c r="O12">
        <f>+[9]T9!P19</f>
        <v>21060.789599339998</v>
      </c>
      <c r="P12">
        <f>+[9]T9!Q19</f>
        <v>22019.9740509</v>
      </c>
      <c r="Q12">
        <f>+[9]T9!R19</f>
        <v>2847.61766412</v>
      </c>
      <c r="R12">
        <f>+[9]T9!S19</f>
        <v>3806.8099387500006</v>
      </c>
      <c r="S12">
        <f>+[9]T9!T19</f>
        <v>604905.39418677997</v>
      </c>
      <c r="T12">
        <f>+[9]T9!U19</f>
        <v>65623.417507980004</v>
      </c>
      <c r="U12">
        <f>+[9]T9!V19</f>
        <v>2927.8989258199999</v>
      </c>
    </row>
    <row r="13" spans="2:21" x14ac:dyDescent="0.25">
      <c r="B13" t="str">
        <f>+[9]T9!C20</f>
        <v>Mais de 15 a 20</v>
      </c>
      <c r="C13">
        <f>+[9]T9!D20</f>
        <v>1180520</v>
      </c>
      <c r="D13">
        <f>+[9]T9!E20</f>
        <v>130938.01362021999</v>
      </c>
      <c r="E13">
        <f>+[9]T9!F20</f>
        <v>15647.4992508</v>
      </c>
      <c r="F13">
        <f>+[9]T9!G20</f>
        <v>45710.248873439996</v>
      </c>
      <c r="G13">
        <f>+[9]T9!H20</f>
        <v>7388.8607610999998</v>
      </c>
      <c r="H13">
        <f>+[9]T9!I20</f>
        <v>2427.8379715199999</v>
      </c>
      <c r="I13">
        <f>+[9]T9!J20</f>
        <v>1907.7241683299999</v>
      </c>
      <c r="J13">
        <f>+[9]T9!K20</f>
        <v>6615.2728954899994</v>
      </c>
      <c r="K13">
        <f>+[9]T9!L20</f>
        <v>1099.4989083399998</v>
      </c>
      <c r="L13">
        <f>+[9]T9!M20</f>
        <v>1511.02351957</v>
      </c>
      <c r="M13">
        <f>+[9]T9!N20</f>
        <v>6479.0072564799993</v>
      </c>
      <c r="N13">
        <f>+[9]T9!O20</f>
        <v>104189.38733229</v>
      </c>
      <c r="O13">
        <f>+[9]T9!P20</f>
        <v>17784.078361479998</v>
      </c>
      <c r="P13">
        <f>+[9]T9!Q20</f>
        <v>17648.782944999999</v>
      </c>
      <c r="Q13">
        <f>+[9]T9!R20</f>
        <v>1962.9941154200001</v>
      </c>
      <c r="R13">
        <f>+[9]T9!S20</f>
        <v>1827.6986989399998</v>
      </c>
      <c r="S13">
        <f>+[9]T9!T20</f>
        <v>445973.23529531999</v>
      </c>
      <c r="T13">
        <f>+[9]T9!U20</f>
        <v>46772.789460290005</v>
      </c>
      <c r="U13">
        <f>+[9]T9!V20</f>
        <v>2618.8749378100001</v>
      </c>
    </row>
    <row r="14" spans="2:21" x14ac:dyDescent="0.25">
      <c r="B14" t="str">
        <f>+[9]T9!C21</f>
        <v>Mais de 20 a 30</v>
      </c>
      <c r="C14">
        <f>+[9]T9!D21</f>
        <v>1086611</v>
      </c>
      <c r="D14">
        <f>+[9]T9!E21</f>
        <v>157913.55522325</v>
      </c>
      <c r="E14">
        <f>+[9]T9!F21</f>
        <v>21738.680631349998</v>
      </c>
      <c r="F14">
        <f>+[9]T9!G21</f>
        <v>69413.599377909995</v>
      </c>
      <c r="G14">
        <f>+[9]T9!H21</f>
        <v>10701.81943657</v>
      </c>
      <c r="H14">
        <f>+[9]T9!I21</f>
        <v>2198.6486874000002</v>
      </c>
      <c r="I14">
        <f>+[9]T9!J21</f>
        <v>1740.0721195399999</v>
      </c>
      <c r="J14">
        <f>+[9]T9!K21</f>
        <v>7688.8220240200008</v>
      </c>
      <c r="K14">
        <f>+[9]T9!L21</f>
        <v>1686.75680923</v>
      </c>
      <c r="L14">
        <f>+[9]T9!M21</f>
        <v>1971.58749268</v>
      </c>
      <c r="M14">
        <f>+[9]T9!N21</f>
        <v>4290.1044840200002</v>
      </c>
      <c r="N14">
        <f>+[9]T9!O21</f>
        <v>128492.00240013</v>
      </c>
      <c r="O14">
        <f>+[9]T9!P21</f>
        <v>25414.350769019999</v>
      </c>
      <c r="P14">
        <f>+[9]T9!Q21</f>
        <v>24849.707778749998</v>
      </c>
      <c r="Q14">
        <f>+[9]T9!R21</f>
        <v>2409.2377423899998</v>
      </c>
      <c r="R14">
        <f>+[9]T9!S21</f>
        <v>1844.5947521199998</v>
      </c>
      <c r="S14">
        <f>+[9]T9!T21</f>
        <v>622921.80975858006</v>
      </c>
      <c r="T14">
        <f>+[9]T9!U21</f>
        <v>58664.307549029996</v>
      </c>
      <c r="U14">
        <f>+[9]T9!V21</f>
        <v>4487.8721925900009</v>
      </c>
    </row>
    <row r="15" spans="2:21" x14ac:dyDescent="0.25">
      <c r="B15" t="str">
        <f>+[9]T9!C22</f>
        <v>Mais de 30 a 40</v>
      </c>
      <c r="C15">
        <f>+[9]T9!D22</f>
        <v>489421</v>
      </c>
      <c r="D15">
        <f>+[9]T9!E22</f>
        <v>92454.101179630001</v>
      </c>
      <c r="E15">
        <f>+[9]T9!F22</f>
        <v>14777.265241050001</v>
      </c>
      <c r="F15">
        <f>+[9]T9!G22</f>
        <v>51598.708101619995</v>
      </c>
      <c r="G15">
        <f>+[9]T9!H22</f>
        <v>6838.2842712800002</v>
      </c>
      <c r="H15">
        <f>+[9]T9!I22</f>
        <v>960.94374024000001</v>
      </c>
      <c r="I15">
        <f>+[9]T9!J22</f>
        <v>758.25054541999998</v>
      </c>
      <c r="J15">
        <f>+[9]T9!K22</f>
        <v>4411.0989670400004</v>
      </c>
      <c r="K15">
        <f>+[9]T9!L22</f>
        <v>1271.30468277</v>
      </c>
      <c r="L15">
        <f>+[9]T9!M22</f>
        <v>1205.63771428</v>
      </c>
      <c r="M15">
        <f>+[9]T9!N22</f>
        <v>1499.2362500300001</v>
      </c>
      <c r="N15">
        <f>+[9]T9!O22</f>
        <v>76123.783959310007</v>
      </c>
      <c r="O15">
        <f>+[9]T9!P22</f>
        <v>16530.620474989999</v>
      </c>
      <c r="P15">
        <f>+[9]T9!Q22</f>
        <v>16021.717308560001</v>
      </c>
      <c r="Q15">
        <f>+[9]T9!R22</f>
        <v>1493.95670784</v>
      </c>
      <c r="R15">
        <f>+[9]T9!S22</f>
        <v>985.05354140999987</v>
      </c>
      <c r="S15">
        <f>+[9]T9!T22</f>
        <v>426299.46441982005</v>
      </c>
      <c r="T15">
        <f>+[9]T9!U22</f>
        <v>35691.35003786</v>
      </c>
      <c r="U15">
        <f>+[9]T9!V22</f>
        <v>3722.9561047699999</v>
      </c>
    </row>
    <row r="16" spans="2:21" x14ac:dyDescent="0.25">
      <c r="B16" t="str">
        <f>+[9]T9!C23</f>
        <v>Mais de 40 a 60</v>
      </c>
      <c r="C16">
        <f>+[9]T9!D23</f>
        <v>389811</v>
      </c>
      <c r="D16">
        <f>+[9]T9!E23</f>
        <v>89905.375219329988</v>
      </c>
      <c r="E16">
        <f>+[9]T9!F23</f>
        <v>18317.99822084</v>
      </c>
      <c r="F16">
        <f>+[9]T9!G23</f>
        <v>69381.542425549997</v>
      </c>
      <c r="G16">
        <f>+[9]T9!H23</f>
        <v>6470.9155820199994</v>
      </c>
      <c r="H16">
        <f>+[9]T9!I23</f>
        <v>764.50650780000001</v>
      </c>
      <c r="I16">
        <f>+[9]T9!J23</f>
        <v>601.96560908000004</v>
      </c>
      <c r="J16">
        <f>+[9]T9!K23</f>
        <v>3898.9605245799999</v>
      </c>
      <c r="K16">
        <f>+[9]T9!L23</f>
        <v>1686.4721066099999</v>
      </c>
      <c r="L16">
        <f>+[9]T9!M23</f>
        <v>1163.48829783</v>
      </c>
      <c r="M16">
        <f>+[9]T9!N23</f>
        <v>1159.7383823800001</v>
      </c>
      <c r="N16">
        <f>+[9]T9!O23</f>
        <v>74662.052253900009</v>
      </c>
      <c r="O16">
        <f>+[9]T9!P23</f>
        <v>17117.65423244</v>
      </c>
      <c r="P16">
        <f>+[9]T9!Q23</f>
        <v>16284.893948860001</v>
      </c>
      <c r="Q16">
        <f>+[9]T9!R23</f>
        <v>1663.5511485</v>
      </c>
      <c r="R16">
        <f>+[9]T9!S23</f>
        <v>830.79086491999999</v>
      </c>
      <c r="S16">
        <f>+[9]T9!T23</f>
        <v>524434.1079535801</v>
      </c>
      <c r="T16">
        <f>+[9]T9!U23</f>
        <v>36411.355751709998</v>
      </c>
      <c r="U16">
        <f>+[9]T9!V23</f>
        <v>5804.0774077699998</v>
      </c>
    </row>
    <row r="17" spans="2:21" x14ac:dyDescent="0.25">
      <c r="B17" t="str">
        <f>+[9]T9!C24</f>
        <v>Mais de 60 a 80</v>
      </c>
      <c r="C17">
        <f>+[9]T9!D24</f>
        <v>142916</v>
      </c>
      <c r="D17">
        <f>+[9]T9!E24</f>
        <v>37609.740006079999</v>
      </c>
      <c r="E17">
        <f>+[9]T9!F24</f>
        <v>10550.233306189999</v>
      </c>
      <c r="F17">
        <f>+[9]T9!G24</f>
        <v>44526.708388389998</v>
      </c>
      <c r="G17">
        <f>+[9]T9!H24</f>
        <v>2424.7720481400002</v>
      </c>
      <c r="H17">
        <f>+[9]T9!I24</f>
        <v>285.59761764000001</v>
      </c>
      <c r="I17">
        <f>+[9]T9!J24</f>
        <v>223.63391030000003</v>
      </c>
      <c r="J17">
        <f>+[9]T9!K24</f>
        <v>1510.66013656</v>
      </c>
      <c r="K17">
        <f>+[9]T9!L24</f>
        <v>906.85639675999994</v>
      </c>
      <c r="L17">
        <f>+[9]T9!M24</f>
        <v>480.98470944000002</v>
      </c>
      <c r="M17">
        <f>+[9]T9!N24</f>
        <v>455.60926181999997</v>
      </c>
      <c r="N17">
        <f>+[9]T9!O24</f>
        <v>31509.445535320003</v>
      </c>
      <c r="O17">
        <f>+[9]T9!P24</f>
        <v>7472.14523371</v>
      </c>
      <c r="P17">
        <f>+[9]T9!Q24</f>
        <v>6982.6801681900006</v>
      </c>
      <c r="Q17">
        <f>+[9]T9!R24</f>
        <v>825.19718405000003</v>
      </c>
      <c r="R17">
        <f>+[9]T9!S24</f>
        <v>335.73211853000004</v>
      </c>
      <c r="S17">
        <f>+[9]T9!T24</f>
        <v>303921.58446619997</v>
      </c>
      <c r="T17">
        <f>+[9]T9!U24</f>
        <v>20141.925792850001</v>
      </c>
      <c r="U17">
        <f>+[9]T9!V24</f>
        <v>4240.7755694000007</v>
      </c>
    </row>
    <row r="18" spans="2:21" x14ac:dyDescent="0.25">
      <c r="B18" t="str">
        <f>+[9]T9!C25</f>
        <v>Mais de 80 a 160</v>
      </c>
      <c r="C18">
        <f>+[9]T9!D25</f>
        <v>141451</v>
      </c>
      <c r="D18">
        <f>+[9]T9!E25</f>
        <v>40986.552901460003</v>
      </c>
      <c r="E18">
        <f>+[9]T9!F25</f>
        <v>18426.770848619999</v>
      </c>
      <c r="F18">
        <f>+[9]T9!G25</f>
        <v>84342.720111750008</v>
      </c>
      <c r="G18">
        <f>+[9]T9!H25</f>
        <v>1983.15371751</v>
      </c>
      <c r="H18">
        <f>+[9]T9!I25</f>
        <v>263.51796624000002</v>
      </c>
      <c r="I18">
        <f>+[9]T9!J25</f>
        <v>194.40254668</v>
      </c>
      <c r="J18">
        <f>+[9]T9!K25</f>
        <v>1495.7009525000001</v>
      </c>
      <c r="K18">
        <f>+[9]T9!L25</f>
        <v>1444.1636278699998</v>
      </c>
      <c r="L18">
        <f>+[9]T9!M25</f>
        <v>446.04453151000007</v>
      </c>
      <c r="M18">
        <f>+[9]T9!N25</f>
        <v>536.89389625000001</v>
      </c>
      <c r="N18">
        <f>+[9]T9!O25</f>
        <v>34862.067145979992</v>
      </c>
      <c r="O18">
        <f>+[9]T9!P25</f>
        <v>8503.6140856500006</v>
      </c>
      <c r="P18">
        <f>+[9]T9!Q25</f>
        <v>7726.6413823700004</v>
      </c>
      <c r="Q18">
        <f>+[9]T9!R25</f>
        <v>1129.22987814</v>
      </c>
      <c r="R18">
        <f>+[9]T9!S25</f>
        <v>352.25717486000002</v>
      </c>
      <c r="S18">
        <f>+[9]T9!T25</f>
        <v>533681.14661036001</v>
      </c>
      <c r="T18">
        <f>+[9]T9!U25</f>
        <v>30233.890524760005</v>
      </c>
      <c r="U18">
        <f>+[9]T9!V25</f>
        <v>9890.8763442800009</v>
      </c>
    </row>
    <row r="19" spans="2:21" x14ac:dyDescent="0.25">
      <c r="B19" t="str">
        <f>+[9]T9!C26</f>
        <v>Mais de 160 a 240</v>
      </c>
      <c r="C19">
        <f>+[9]T9!D26</f>
        <v>32329</v>
      </c>
      <c r="D19">
        <f>+[9]T9!E26</f>
        <v>11540.152115239998</v>
      </c>
      <c r="E19">
        <f>+[9]T9!F26</f>
        <v>8268.6530594199994</v>
      </c>
      <c r="F19">
        <f>+[9]T9!G26</f>
        <v>39315.331151029997</v>
      </c>
      <c r="G19">
        <f>+[9]T9!H26</f>
        <v>371.93046054999996</v>
      </c>
      <c r="H19">
        <f>+[9]T9!I26</f>
        <v>57.275139000000003</v>
      </c>
      <c r="I19">
        <f>+[9]T9!J26</f>
        <v>40.350670110000003</v>
      </c>
      <c r="J19">
        <f>+[9]T9!K26</f>
        <v>373.28349264999997</v>
      </c>
      <c r="K19">
        <f>+[9]T9!L26</f>
        <v>717.54298179</v>
      </c>
      <c r="L19">
        <f>+[9]T9!M26</f>
        <v>105.01040157</v>
      </c>
      <c r="M19">
        <f>+[9]T9!N26</f>
        <v>133.98186988</v>
      </c>
      <c r="N19">
        <f>+[9]T9!O26</f>
        <v>9808.2405245500013</v>
      </c>
      <c r="O19">
        <f>+[9]T9!P26</f>
        <v>2466.3235984999997</v>
      </c>
      <c r="P19">
        <f>+[9]T9!Q26</f>
        <v>2123.6086563700001</v>
      </c>
      <c r="Q19">
        <f>+[9]T9!R26</f>
        <v>428.43170271999998</v>
      </c>
      <c r="R19">
        <f>+[9]T9!S26</f>
        <v>85.716760590000007</v>
      </c>
      <c r="S19">
        <f>+[9]T9!T26</f>
        <v>245036.54864424001</v>
      </c>
      <c r="T19">
        <f>+[9]T9!U26</f>
        <v>16349.07651305</v>
      </c>
      <c r="U19">
        <f>+[9]T9!V26</f>
        <v>5515.5746391299999</v>
      </c>
    </row>
    <row r="20" spans="2:21" x14ac:dyDescent="0.25">
      <c r="B20" t="str">
        <f>+[9]T9!C27</f>
        <v>Mais de 240 a 320</v>
      </c>
      <c r="C20">
        <f>+[9]T9!D27</f>
        <v>13753</v>
      </c>
      <c r="D20">
        <f>+[9]T9!E27</f>
        <v>6062.9430938099995</v>
      </c>
      <c r="E20">
        <f>+[9]T9!F27</f>
        <v>5447.2513155199995</v>
      </c>
      <c r="F20">
        <f>+[9]T9!G27</f>
        <v>24336.677618559999</v>
      </c>
      <c r="G20">
        <f>+[9]T9!H27</f>
        <v>165.51327816999998</v>
      </c>
      <c r="H20">
        <f>+[9]T9!I27</f>
        <v>24.395682839999999</v>
      </c>
      <c r="I20">
        <f>+[9]T9!J27</f>
        <v>16.899356960000002</v>
      </c>
      <c r="J20">
        <f>+[9]T9!K27</f>
        <v>177.51158752000001</v>
      </c>
      <c r="K20">
        <f>+[9]T9!L27</f>
        <v>484.62515758999996</v>
      </c>
      <c r="L20">
        <f>+[9]T9!M27</f>
        <v>50.615599400000001</v>
      </c>
      <c r="M20">
        <f>+[9]T9!N27</f>
        <v>57.381396100000003</v>
      </c>
      <c r="N20">
        <f>+[9]T9!O27</f>
        <v>5125.30922895</v>
      </c>
      <c r="O20">
        <f>+[9]T9!P27</f>
        <v>1309.0954335000001</v>
      </c>
      <c r="P20">
        <f>+[9]T9!Q27</f>
        <v>1098.6588055500001</v>
      </c>
      <c r="Q20">
        <f>+[9]T9!R27</f>
        <v>251.58253924999997</v>
      </c>
      <c r="R20">
        <f>+[9]T9!S27</f>
        <v>41.145911300000002</v>
      </c>
      <c r="S20">
        <f>+[9]T9!T27</f>
        <v>151526.20006783001</v>
      </c>
      <c r="T20">
        <f>+[9]T9!U27</f>
        <v>7827.3908669699995</v>
      </c>
      <c r="U20">
        <f>+[9]T9!V27</f>
        <v>3485.1280109300001</v>
      </c>
    </row>
    <row r="21" spans="2:21" x14ac:dyDescent="0.25">
      <c r="B21" t="str">
        <f>+[9]T9!C28</f>
        <v>Mais de 320</v>
      </c>
      <c r="C21">
        <f>+[9]T9!D28</f>
        <v>29311</v>
      </c>
      <c r="D21">
        <f>+[9]T9!E28</f>
        <v>27541.35980713</v>
      </c>
      <c r="E21">
        <f>+[9]T9!F28</f>
        <v>62826.245992049997</v>
      </c>
      <c r="F21">
        <f>+[9]T9!G28</f>
        <v>207571.90473317003</v>
      </c>
      <c r="G21">
        <f>+[9]T9!H28</f>
        <v>552.58606902000008</v>
      </c>
      <c r="H21">
        <f>+[9]T9!I28</f>
        <v>54.297059279999999</v>
      </c>
      <c r="I21">
        <f>+[9]T9!J28</f>
        <v>37.533142340000005</v>
      </c>
      <c r="J21">
        <f>+[9]T9!K28</f>
        <v>468.89937537999998</v>
      </c>
      <c r="K21">
        <f>+[9]T9!L28</f>
        <v>4344.5466425900004</v>
      </c>
      <c r="L21">
        <f>+[9]T9!M28</f>
        <v>218.59876209000001</v>
      </c>
      <c r="M21">
        <f>+[9]T9!N28</f>
        <v>117.63257933</v>
      </c>
      <c r="N21">
        <f>+[9]T9!O28</f>
        <v>21878.593134940002</v>
      </c>
      <c r="O21">
        <f>+[9]T9!P28</f>
        <v>5774.5356735300002</v>
      </c>
      <c r="P21">
        <f>+[9]T9!Q28</f>
        <v>4925.3012053000002</v>
      </c>
      <c r="Q21">
        <f>+[9]T9!R28</f>
        <v>1005.0492993</v>
      </c>
      <c r="R21">
        <f>+[9]T9!S28</f>
        <v>155.81483107</v>
      </c>
      <c r="S21">
        <f>+[9]T9!T28</f>
        <v>1288419.11758586</v>
      </c>
      <c r="T21">
        <f>+[9]T9!U28</f>
        <v>101762.45948843</v>
      </c>
      <c r="U21">
        <f>+[9]T9!V28</f>
        <v>43618.256234469998</v>
      </c>
    </row>
    <row r="22" spans="2:21" x14ac:dyDescent="0.25">
      <c r="B22" t="str">
        <f>+[9]T9!C29</f>
        <v xml:space="preserve">    Total</v>
      </c>
      <c r="C22">
        <f>+[9]T9!D29</f>
        <v>27518844</v>
      </c>
      <c r="D22">
        <f>+[9]T9!E29</f>
        <v>1522690.37068599</v>
      </c>
      <c r="E22">
        <f>+[9]T9!F29</f>
        <v>252949.44409604999</v>
      </c>
      <c r="F22">
        <f>+[9]T9!G29</f>
        <v>809206.34455778007</v>
      </c>
      <c r="G22">
        <f>+[9]T9!H29</f>
        <v>74363.306011619992</v>
      </c>
      <c r="H22">
        <f>+[9]T9!I29</f>
        <v>41314.292509199979</v>
      </c>
      <c r="I22">
        <f>+[9]T9!J29</f>
        <v>20778.899030869998</v>
      </c>
      <c r="J22">
        <f>+[9]T9!K29</f>
        <v>62031.481752510008</v>
      </c>
      <c r="K22">
        <f>+[9]T9!L29</f>
        <v>16645.829943389999</v>
      </c>
      <c r="L22">
        <f>+[9]T9!M29</f>
        <v>14396.453434539999</v>
      </c>
      <c r="M22">
        <f>+[9]T9!N29</f>
        <v>119375.86761777001</v>
      </c>
      <c r="N22">
        <f>+[9]T9!O29</f>
        <v>1188478.01428159</v>
      </c>
      <c r="O22">
        <f>+[9]T9!P29</f>
        <v>141499.75504068998</v>
      </c>
      <c r="P22">
        <f>+[9]T9!Q29</f>
        <v>144148.10867955998</v>
      </c>
      <c r="Q22">
        <f>+[9]T9!R29</f>
        <v>17176.354285589998</v>
      </c>
      <c r="R22">
        <f>+[9]T9!S29</f>
        <v>19824.715747529997</v>
      </c>
      <c r="S22">
        <f>+[9]T9!T29</f>
        <v>7193390.5813157903</v>
      </c>
      <c r="T22">
        <f>+[9]T9!U29</f>
        <v>660136.86559904995</v>
      </c>
      <c r="U22">
        <f>+[9]T9!V29</f>
        <v>89636.659792860009</v>
      </c>
    </row>
    <row r="25" spans="2:2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788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21" x14ac:dyDescent="0.25">
      <c r="B26" t="str">
        <f>+B5</f>
        <v>Até 1/2</v>
      </c>
      <c r="C26" s="1">
        <f>+D5+E5+F5-K5</f>
        <v>413.42106218999999</v>
      </c>
      <c r="D26" s="1">
        <f>+O5</f>
        <v>2.4875209999999998E-2</v>
      </c>
      <c r="E26">
        <f>+C5</f>
        <v>1301366</v>
      </c>
      <c r="F26" s="2">
        <f>+D26/C26</f>
        <v>6.0169188933503959E-5</v>
      </c>
      <c r="G26" s="1">
        <f>+C26*$H$18</f>
        <v>108943.87750908936</v>
      </c>
      <c r="I26">
        <f>+C26*1000000/$H$25</f>
        <v>524646.01800761418</v>
      </c>
      <c r="J26">
        <f>+I26/E26</f>
        <v>0.40315024213604334</v>
      </c>
      <c r="K26">
        <f>+J26/12</f>
        <v>3.3595853511336947E-2</v>
      </c>
      <c r="N26">
        <f>+C26*1000000/E26</f>
        <v>317.68239080320217</v>
      </c>
      <c r="O26" s="3">
        <f>+F26</f>
        <v>6.0169188933503959E-5</v>
      </c>
    </row>
    <row r="27" spans="2:21" x14ac:dyDescent="0.25">
      <c r="B27" t="str">
        <f t="shared" ref="B27:B43" si="0">+B6</f>
        <v>Mais de 1/2 a 1</v>
      </c>
      <c r="C27" s="1">
        <f t="shared" ref="C27:C43" si="1">+D6+E6+F6-K6</f>
        <v>4919.6837114900009</v>
      </c>
      <c r="D27" s="1">
        <f t="shared" ref="D27:D43" si="2">+O6</f>
        <v>8.9832619999999988E-2</v>
      </c>
      <c r="E27">
        <f t="shared" ref="E27:E43" si="3">+C6</f>
        <v>573674</v>
      </c>
      <c r="F27" s="2">
        <f t="shared" ref="F27:F43" si="4">+D27/C27</f>
        <v>1.8259836458631366E-5</v>
      </c>
      <c r="G27" s="1">
        <f t="shared" ref="G27:G43" si="5">+C27*$H$18</f>
        <v>1296425.0461959001</v>
      </c>
      <c r="I27">
        <f t="shared" ref="I27:I43" si="6">+C27*1000000/$H$25</f>
        <v>6243253.440977158</v>
      </c>
      <c r="J27">
        <f t="shared" ref="J27:J43" si="7">+I27/E27</f>
        <v>10.882929052000192</v>
      </c>
      <c r="K27">
        <f t="shared" ref="K27:K43" si="8">+J27/12</f>
        <v>0.90691075433334933</v>
      </c>
      <c r="N27">
        <f t="shared" ref="N27:N43" si="9">+C27*1000000/E27</f>
        <v>8575.7480929761514</v>
      </c>
      <c r="O27" s="3">
        <f t="shared" ref="O27:O43" si="10">+F27</f>
        <v>1.8259836458631366E-5</v>
      </c>
    </row>
    <row r="28" spans="2:21" x14ac:dyDescent="0.25">
      <c r="B28" t="str">
        <f t="shared" si="0"/>
        <v>Mais de 1 a 2</v>
      </c>
      <c r="C28" s="1">
        <f t="shared" si="1"/>
        <v>17672.570800729998</v>
      </c>
      <c r="D28" s="1">
        <f t="shared" si="2"/>
        <v>0.5248373999999999</v>
      </c>
      <c r="E28">
        <f t="shared" si="3"/>
        <v>1227268</v>
      </c>
      <c r="F28" s="2">
        <f t="shared" si="4"/>
        <v>2.9697852447042991E-5</v>
      </c>
      <c r="G28" s="1">
        <f t="shared" si="5"/>
        <v>4657039.9156407779</v>
      </c>
      <c r="I28">
        <f t="shared" si="6"/>
        <v>22427120.305494923</v>
      </c>
      <c r="J28">
        <f t="shared" si="7"/>
        <v>18.274020267370226</v>
      </c>
      <c r="K28">
        <f t="shared" si="8"/>
        <v>1.5228350222808522</v>
      </c>
      <c r="N28">
        <f t="shared" si="9"/>
        <v>14399.927970687739</v>
      </c>
      <c r="O28" s="3">
        <f t="shared" si="10"/>
        <v>2.9697852447042991E-5</v>
      </c>
    </row>
    <row r="29" spans="2:21" x14ac:dyDescent="0.25">
      <c r="B29" t="str">
        <f t="shared" si="0"/>
        <v>Mais de 2 a 3</v>
      </c>
      <c r="C29" s="1">
        <f t="shared" si="1"/>
        <v>82027.49242884999</v>
      </c>
      <c r="D29" s="1">
        <f t="shared" si="2"/>
        <v>3.0781801299999998</v>
      </c>
      <c r="E29">
        <f t="shared" si="3"/>
        <v>3278035</v>
      </c>
      <c r="F29" s="2">
        <f t="shared" si="4"/>
        <v>3.752620053173013E-5</v>
      </c>
      <c r="G29" s="1">
        <f t="shared" si="5"/>
        <v>21615717.980617549</v>
      </c>
      <c r="I29">
        <f t="shared" si="6"/>
        <v>104095802.57468273</v>
      </c>
      <c r="J29">
        <f t="shared" si="7"/>
        <v>31.755549460174382</v>
      </c>
      <c r="K29">
        <f t="shared" si="8"/>
        <v>2.6462957883478651</v>
      </c>
      <c r="N29">
        <f t="shared" si="9"/>
        <v>25023.372974617414</v>
      </c>
      <c r="O29" s="3">
        <f t="shared" si="10"/>
        <v>3.752620053173013E-5</v>
      </c>
    </row>
    <row r="30" spans="2:21" x14ac:dyDescent="0.25">
      <c r="B30" t="str">
        <f t="shared" si="0"/>
        <v>Mais de 3 a 5</v>
      </c>
      <c r="C30" s="1">
        <f t="shared" si="1"/>
        <v>275092.30028639996</v>
      </c>
      <c r="D30" s="1">
        <f t="shared" si="2"/>
        <v>1718.44368201</v>
      </c>
      <c r="E30">
        <f t="shared" si="3"/>
        <v>7403868</v>
      </c>
      <c r="F30" s="2">
        <f t="shared" si="4"/>
        <v>6.2467894601954312E-3</v>
      </c>
      <c r="G30" s="1">
        <f t="shared" si="5"/>
        <v>72491763.499755487</v>
      </c>
      <c r="I30">
        <f t="shared" si="6"/>
        <v>349101903.91675121</v>
      </c>
      <c r="J30">
        <f t="shared" si="7"/>
        <v>47.151286856647253</v>
      </c>
      <c r="K30">
        <f t="shared" si="8"/>
        <v>3.9292739047206044</v>
      </c>
      <c r="N30">
        <f t="shared" si="9"/>
        <v>37155.214043038039</v>
      </c>
      <c r="O30" s="3">
        <f t="shared" si="10"/>
        <v>6.2467894601954312E-3</v>
      </c>
    </row>
    <row r="31" spans="2:21" x14ac:dyDescent="0.25">
      <c r="B31" t="str">
        <f t="shared" si="0"/>
        <v>Mais de 5 a 7</v>
      </c>
      <c r="C31" s="1">
        <f t="shared" si="1"/>
        <v>241680.79287054998</v>
      </c>
      <c r="D31" s="1">
        <f t="shared" si="2"/>
        <v>5135.3093153500004</v>
      </c>
      <c r="E31">
        <f t="shared" si="3"/>
        <v>4339708</v>
      </c>
      <c r="F31" s="2">
        <f t="shared" si="4"/>
        <v>2.1248313754500942E-2</v>
      </c>
      <c r="G31" s="1">
        <f t="shared" si="5"/>
        <v>63687231.016518027</v>
      </c>
      <c r="I31">
        <f t="shared" si="6"/>
        <v>306701513.79511422</v>
      </c>
      <c r="J31">
        <f t="shared" si="7"/>
        <v>70.67330654392282</v>
      </c>
      <c r="K31">
        <f t="shared" si="8"/>
        <v>5.8894422119935683</v>
      </c>
      <c r="N31">
        <f t="shared" si="9"/>
        <v>55690.565556611182</v>
      </c>
      <c r="O31" s="3">
        <f t="shared" si="10"/>
        <v>2.1248313754500942E-2</v>
      </c>
    </row>
    <row r="32" spans="2:21" x14ac:dyDescent="0.25">
      <c r="B32" t="str">
        <f t="shared" si="0"/>
        <v>Mais de 7 a 10</v>
      </c>
      <c r="C32" s="1">
        <f t="shared" si="1"/>
        <v>262654.21645946999</v>
      </c>
      <c r="D32" s="1">
        <f t="shared" si="2"/>
        <v>11209.076855810001</v>
      </c>
      <c r="E32">
        <f t="shared" si="3"/>
        <v>3352450</v>
      </c>
      <c r="F32" s="2">
        <f t="shared" si="4"/>
        <v>4.2676173285570183E-2</v>
      </c>
      <c r="G32" s="1">
        <f t="shared" si="5"/>
        <v>69214104.945760265</v>
      </c>
      <c r="I32">
        <f t="shared" si="6"/>
        <v>333317533.57800764</v>
      </c>
      <c r="J32">
        <f t="shared" si="7"/>
        <v>99.425057369388853</v>
      </c>
      <c r="K32">
        <f t="shared" si="8"/>
        <v>8.2854214474490711</v>
      </c>
      <c r="N32">
        <f t="shared" si="9"/>
        <v>78346.945207078403</v>
      </c>
      <c r="O32" s="3">
        <f t="shared" si="10"/>
        <v>4.2676173285570183E-2</v>
      </c>
    </row>
    <row r="33" spans="2:15" x14ac:dyDescent="0.25">
      <c r="B33" t="str">
        <f t="shared" si="0"/>
        <v>Mais de 10 a 15</v>
      </c>
      <c r="C33" s="1">
        <f t="shared" si="1"/>
        <v>290231.78727689001</v>
      </c>
      <c r="D33" s="1">
        <f t="shared" si="2"/>
        <v>21060.789599339998</v>
      </c>
      <c r="E33">
        <f t="shared" si="3"/>
        <v>2536352</v>
      </c>
      <c r="F33" s="2">
        <f t="shared" si="4"/>
        <v>7.2565413309629526E-2</v>
      </c>
      <c r="G33" s="1">
        <f t="shared" si="5"/>
        <v>76481290.321406364</v>
      </c>
      <c r="I33">
        <f t="shared" si="6"/>
        <v>368314450.85899746</v>
      </c>
      <c r="J33">
        <f t="shared" si="7"/>
        <v>145.21424899185817</v>
      </c>
      <c r="K33">
        <f t="shared" si="8"/>
        <v>12.10118741598818</v>
      </c>
      <c r="N33">
        <f t="shared" si="9"/>
        <v>114428.82820558424</v>
      </c>
      <c r="O33" s="3">
        <f t="shared" si="10"/>
        <v>7.2565413309629526E-2</v>
      </c>
    </row>
    <row r="34" spans="2:15" x14ac:dyDescent="0.25">
      <c r="B34" t="str">
        <f t="shared" si="0"/>
        <v>Mais de 15 a 20</v>
      </c>
      <c r="C34" s="1">
        <f t="shared" si="1"/>
        <v>191196.26283612</v>
      </c>
      <c r="D34" s="1">
        <f t="shared" si="2"/>
        <v>17784.078361479998</v>
      </c>
      <c r="E34">
        <f t="shared" si="3"/>
        <v>1180520</v>
      </c>
      <c r="F34" s="2">
        <f t="shared" si="4"/>
        <v>9.3014780193288932E-2</v>
      </c>
      <c r="G34" s="1">
        <f t="shared" si="5"/>
        <v>50383650.335262842</v>
      </c>
      <c r="I34">
        <f t="shared" si="6"/>
        <v>242634851.3148731</v>
      </c>
      <c r="J34">
        <f t="shared" si="7"/>
        <v>205.53218184772228</v>
      </c>
      <c r="K34">
        <f t="shared" si="8"/>
        <v>17.127681820643524</v>
      </c>
      <c r="N34">
        <f t="shared" si="9"/>
        <v>161959.35929600513</v>
      </c>
      <c r="O34" s="3">
        <f t="shared" si="10"/>
        <v>9.3014780193288932E-2</v>
      </c>
    </row>
    <row r="35" spans="2:15" x14ac:dyDescent="0.25">
      <c r="B35" t="str">
        <f t="shared" si="0"/>
        <v>Mais de 20 a 30</v>
      </c>
      <c r="C35" s="1">
        <f t="shared" si="1"/>
        <v>247379.07842328001</v>
      </c>
      <c r="D35" s="1">
        <f t="shared" si="2"/>
        <v>25414.350769019999</v>
      </c>
      <c r="E35">
        <f t="shared" si="3"/>
        <v>1086611</v>
      </c>
      <c r="F35" s="2">
        <f t="shared" si="4"/>
        <v>0.10273443870437</v>
      </c>
      <c r="G35" s="1">
        <f t="shared" si="5"/>
        <v>65188831.636428222</v>
      </c>
      <c r="I35">
        <f t="shared" si="6"/>
        <v>313932840.63868022</v>
      </c>
      <c r="J35">
        <f t="shared" si="7"/>
        <v>288.91005211495212</v>
      </c>
      <c r="K35">
        <f t="shared" si="8"/>
        <v>24.07583767624601</v>
      </c>
      <c r="N35">
        <f t="shared" si="9"/>
        <v>227661.12106658224</v>
      </c>
      <c r="O35" s="3">
        <f t="shared" si="10"/>
        <v>0.10273443870437</v>
      </c>
    </row>
    <row r="36" spans="2:15" x14ac:dyDescent="0.25">
      <c r="B36" t="str">
        <f t="shared" si="0"/>
        <v>Mais de 30 a 40</v>
      </c>
      <c r="C36" s="1">
        <f t="shared" si="1"/>
        <v>157558.76983953</v>
      </c>
      <c r="D36" s="1">
        <f t="shared" si="2"/>
        <v>16530.620474989999</v>
      </c>
      <c r="E36">
        <f t="shared" si="3"/>
        <v>489421</v>
      </c>
      <c r="F36" s="2">
        <f t="shared" si="4"/>
        <v>0.10491717148988951</v>
      </c>
      <c r="G36" s="1">
        <f t="shared" si="5"/>
        <v>41519566.591389202</v>
      </c>
      <c r="I36">
        <f t="shared" si="6"/>
        <v>199947677.4613325</v>
      </c>
      <c r="J36">
        <f t="shared" si="7"/>
        <v>408.53922790671527</v>
      </c>
      <c r="K36">
        <f t="shared" si="8"/>
        <v>34.044935658892939</v>
      </c>
      <c r="N36">
        <f t="shared" si="9"/>
        <v>321928.9115904916</v>
      </c>
      <c r="O36" s="3">
        <f t="shared" si="10"/>
        <v>0.10491717148988951</v>
      </c>
    </row>
    <row r="37" spans="2:15" x14ac:dyDescent="0.25">
      <c r="B37" t="str">
        <f t="shared" si="0"/>
        <v>Mais de 40 a 60</v>
      </c>
      <c r="C37" s="1">
        <f t="shared" si="1"/>
        <v>175918.44375911</v>
      </c>
      <c r="D37" s="1">
        <f t="shared" si="2"/>
        <v>17117.65423244</v>
      </c>
      <c r="E37">
        <f t="shared" si="3"/>
        <v>389811</v>
      </c>
      <c r="F37" s="2">
        <f t="shared" si="4"/>
        <v>9.7304488754343901E-2</v>
      </c>
      <c r="G37" s="1">
        <f t="shared" si="5"/>
        <v>46357670.523506492</v>
      </c>
      <c r="I37">
        <f t="shared" si="6"/>
        <v>223246756.03947967</v>
      </c>
      <c r="J37">
        <f t="shared" si="7"/>
        <v>572.70512130103987</v>
      </c>
      <c r="K37">
        <f t="shared" si="8"/>
        <v>47.725426775086653</v>
      </c>
      <c r="N37">
        <f t="shared" si="9"/>
        <v>451291.63558521948</v>
      </c>
      <c r="O37" s="3">
        <f t="shared" si="10"/>
        <v>9.7304488754343901E-2</v>
      </c>
    </row>
    <row r="38" spans="2:15" x14ac:dyDescent="0.25">
      <c r="B38" t="str">
        <f t="shared" si="0"/>
        <v>Mais de 60 a 80</v>
      </c>
      <c r="C38" s="1">
        <f t="shared" si="1"/>
        <v>91779.825303899997</v>
      </c>
      <c r="D38" s="1">
        <f t="shared" si="2"/>
        <v>7472.14523371</v>
      </c>
      <c r="E38">
        <f t="shared" si="3"/>
        <v>142916</v>
      </c>
      <c r="F38" s="2">
        <f t="shared" si="4"/>
        <v>8.1413809723088315E-2</v>
      </c>
      <c r="G38" s="1">
        <f t="shared" si="5"/>
        <v>24185632.905946217</v>
      </c>
      <c r="I38">
        <f t="shared" si="6"/>
        <v>116471859.52271573</v>
      </c>
      <c r="J38">
        <f t="shared" si="7"/>
        <v>814.9672501519475</v>
      </c>
      <c r="K38">
        <f t="shared" si="8"/>
        <v>67.913937512662287</v>
      </c>
      <c r="N38">
        <f t="shared" si="9"/>
        <v>642194.19311973464</v>
      </c>
      <c r="O38" s="3">
        <f t="shared" si="10"/>
        <v>8.1413809723088315E-2</v>
      </c>
    </row>
    <row r="39" spans="2:15" x14ac:dyDescent="0.25">
      <c r="B39" t="str">
        <f t="shared" si="0"/>
        <v>Mais de 80 a 160</v>
      </c>
      <c r="C39" s="1">
        <f t="shared" si="1"/>
        <v>142311.88023396002</v>
      </c>
      <c r="D39" s="1">
        <f t="shared" si="2"/>
        <v>8503.6140856500006</v>
      </c>
      <c r="E39">
        <f t="shared" si="3"/>
        <v>141451</v>
      </c>
      <c r="F39" s="2">
        <f t="shared" si="4"/>
        <v>5.9753367545071441E-2</v>
      </c>
      <c r="G39" s="1">
        <f t="shared" si="5"/>
        <v>37501737.251043603</v>
      </c>
      <c r="I39">
        <f t="shared" si="6"/>
        <v>180598832.78421322</v>
      </c>
      <c r="J39">
        <f t="shared" si="7"/>
        <v>1276.7589680116309</v>
      </c>
      <c r="K39">
        <f t="shared" si="8"/>
        <v>106.39658066763592</v>
      </c>
      <c r="N39">
        <f t="shared" si="9"/>
        <v>1006086.0667931653</v>
      </c>
      <c r="O39" s="3">
        <f t="shared" si="10"/>
        <v>5.9753367545071441E-2</v>
      </c>
    </row>
    <row r="40" spans="2:15" x14ac:dyDescent="0.25">
      <c r="B40" t="str">
        <f t="shared" si="0"/>
        <v>Mais de 160 a 240</v>
      </c>
      <c r="C40" s="1">
        <f t="shared" si="1"/>
        <v>58406.593343899993</v>
      </c>
      <c r="D40" s="1">
        <f t="shared" si="2"/>
        <v>2466.3235984999997</v>
      </c>
      <c r="E40">
        <f t="shared" si="3"/>
        <v>32329</v>
      </c>
      <c r="F40" s="2">
        <f t="shared" si="4"/>
        <v>4.2226801073265874E-2</v>
      </c>
      <c r="G40" s="1">
        <f t="shared" si="5"/>
        <v>15391186.692991247</v>
      </c>
      <c r="I40">
        <f t="shared" si="6"/>
        <v>74120042.314593896</v>
      </c>
      <c r="J40">
        <f t="shared" si="7"/>
        <v>2292.6797090721611</v>
      </c>
      <c r="K40">
        <f t="shared" si="8"/>
        <v>191.05664242268008</v>
      </c>
      <c r="N40">
        <f t="shared" si="9"/>
        <v>1806631.6107488631</v>
      </c>
      <c r="O40" s="3">
        <f t="shared" si="10"/>
        <v>4.2226801073265874E-2</v>
      </c>
    </row>
    <row r="41" spans="2:15" x14ac:dyDescent="0.25">
      <c r="B41" t="str">
        <f t="shared" si="0"/>
        <v>Mais de 240 a 320</v>
      </c>
      <c r="C41" s="1">
        <f t="shared" si="1"/>
        <v>35362.246870299998</v>
      </c>
      <c r="D41" s="1">
        <f t="shared" si="2"/>
        <v>1309.0954335000001</v>
      </c>
      <c r="E41">
        <f t="shared" si="3"/>
        <v>13753</v>
      </c>
      <c r="F41" s="2">
        <f t="shared" si="4"/>
        <v>3.7019577356083716E-2</v>
      </c>
      <c r="G41" s="1">
        <f t="shared" si="5"/>
        <v>9318587.3769382611</v>
      </c>
      <c r="I41">
        <f t="shared" si="6"/>
        <v>44875947.804949231</v>
      </c>
      <c r="J41">
        <f t="shared" si="7"/>
        <v>3262.9933690794178</v>
      </c>
      <c r="K41">
        <f t="shared" si="8"/>
        <v>271.91611408995146</v>
      </c>
      <c r="N41">
        <f t="shared" si="9"/>
        <v>2571238.7748345812</v>
      </c>
      <c r="O41" s="3">
        <f t="shared" si="10"/>
        <v>3.7019577356083716E-2</v>
      </c>
    </row>
    <row r="42" spans="2:15" x14ac:dyDescent="0.25">
      <c r="B42" t="str">
        <f t="shared" si="0"/>
        <v>Mais de 320</v>
      </c>
      <c r="C42" s="1">
        <f t="shared" si="1"/>
        <v>293594.96388976002</v>
      </c>
      <c r="D42" s="1">
        <f t="shared" si="2"/>
        <v>5774.5356735300002</v>
      </c>
      <c r="E42">
        <f t="shared" si="3"/>
        <v>29311</v>
      </c>
      <c r="F42" s="2">
        <f t="shared" si="4"/>
        <v>1.9668374406102692E-2</v>
      </c>
      <c r="G42" s="1">
        <f t="shared" si="5"/>
        <v>77367547.782535806</v>
      </c>
      <c r="I42">
        <f t="shared" si="6"/>
        <v>372582441.48446703</v>
      </c>
      <c r="J42">
        <f t="shared" si="7"/>
        <v>12711.352102775989</v>
      </c>
      <c r="K42">
        <f t="shared" si="8"/>
        <v>1059.2793418979991</v>
      </c>
      <c r="N42">
        <f t="shared" si="9"/>
        <v>10016545.45698748</v>
      </c>
      <c r="O42" s="3">
        <f t="shared" si="10"/>
        <v>1.9668374406102692E-2</v>
      </c>
    </row>
    <row r="43" spans="2:15" x14ac:dyDescent="0.25">
      <c r="B43" t="str">
        <f t="shared" si="0"/>
        <v xml:space="preserve">    Total</v>
      </c>
      <c r="C43" s="1">
        <f t="shared" si="1"/>
        <v>2568200.3293964299</v>
      </c>
      <c r="D43" s="1">
        <f t="shared" si="2"/>
        <v>141499.75504068998</v>
      </c>
      <c r="E43">
        <f t="shared" si="3"/>
        <v>27518844</v>
      </c>
      <c r="F43" s="2">
        <f t="shared" si="4"/>
        <v>5.5096852617390946E-2</v>
      </c>
      <c r="G43" s="1">
        <f t="shared" si="5"/>
        <v>676766927.69944537</v>
      </c>
      <c r="I43">
        <f t="shared" si="6"/>
        <v>3259137473.8533378</v>
      </c>
      <c r="J43">
        <f t="shared" si="7"/>
        <v>118.43293540431196</v>
      </c>
      <c r="K43">
        <f t="shared" si="8"/>
        <v>9.8694112836926635</v>
      </c>
      <c r="N43">
        <f t="shared" si="9"/>
        <v>93325.153098597832</v>
      </c>
      <c r="O43" s="3">
        <f t="shared" si="10"/>
        <v>5.5096852617390946E-2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U43"/>
  <sheetViews>
    <sheetView workbookViewId="0">
      <selection activeCell="I5" sqref="I5"/>
    </sheetView>
  </sheetViews>
  <sheetFormatPr baseColWidth="10" defaultColWidth="8.85546875" defaultRowHeight="15" x14ac:dyDescent="0.25"/>
  <sheetData>
    <row r="2" spans="2:21" x14ac:dyDescent="0.25">
      <c r="B2" t="str">
        <f>+'[10]faixa SM RTT+RTE+RTI'!C7</f>
        <v>Tabela 9 - Resumo das Declarações Por Faixa de Rendimentos Totais (em salários mínimos)</v>
      </c>
      <c r="C2">
        <f>+'[10]faixa SM RTT+RTE+RTI'!D7</f>
        <v>0</v>
      </c>
      <c r="D2">
        <f>+'[10]faixa SM RTT+RTE+RTI'!E7</f>
        <v>0</v>
      </c>
      <c r="E2">
        <f>+'[10]faixa SM RTT+RTE+RTI'!F7</f>
        <v>0</v>
      </c>
      <c r="F2">
        <f>+'[10]faixa SM RTT+RTE+RTI'!G7</f>
        <v>0</v>
      </c>
      <c r="G2">
        <f>+'[10]faixa SM RTT+RTE+RTI'!H7</f>
        <v>0</v>
      </c>
      <c r="H2">
        <f>+'[10]faixa SM RTT+RTE+RTI'!I7</f>
        <v>0</v>
      </c>
      <c r="I2">
        <f>+'[10]faixa SM RTT+RTE+RTI'!J7</f>
        <v>0</v>
      </c>
      <c r="J2">
        <f>+'[10]faixa SM RTT+RTE+RTI'!K7</f>
        <v>0</v>
      </c>
      <c r="K2">
        <f>+'[10]faixa SM RTT+RTE+RTI'!L7</f>
        <v>0</v>
      </c>
      <c r="L2">
        <f>+'[10]faixa SM RTT+RTE+RTI'!M7</f>
        <v>0</v>
      </c>
      <c r="M2">
        <f>+'[10]faixa SM RTT+RTE+RTI'!N7</f>
        <v>0</v>
      </c>
      <c r="N2">
        <f>+'[10]faixa SM RTT+RTE+RTI'!O7</f>
        <v>0</v>
      </c>
      <c r="O2">
        <f>+'[10]faixa SM RTT+RTE+RTI'!P7</f>
        <v>0</v>
      </c>
      <c r="P2">
        <f>+'[10]faixa SM RTT+RTE+RTI'!Q7</f>
        <v>0</v>
      </c>
      <c r="Q2">
        <f>+'[10]faixa SM RTT+RTE+RTI'!R7</f>
        <v>0</v>
      </c>
      <c r="R2">
        <f>+'[10]faixa SM RTT+RTE+RTI'!S7</f>
        <v>0</v>
      </c>
      <c r="S2">
        <f>+'[10]faixa SM RTT+RTE+RTI'!T7</f>
        <v>0</v>
      </c>
      <c r="T2">
        <f>+'[10]faixa SM RTT+RTE+RTI'!U7</f>
        <v>0</v>
      </c>
      <c r="U2" t="str">
        <f>+'[10]faixa SM RTT+RTE+RTI'!V7</f>
        <v>Valores R$ milhões</v>
      </c>
    </row>
    <row r="3" spans="2:21" x14ac:dyDescent="0.25">
      <c r="B3" t="str">
        <f>+'[10]faixa SM RTT+RTE+RTI'!C8</f>
        <v>Faixa de Salário Mín. Mensal</v>
      </c>
      <c r="C3" t="str">
        <f>+'[10]faixa SM RTT+RTE+RTI'!D8</f>
        <v>Qtde Declarantes</v>
      </c>
      <c r="D3" t="str">
        <f>+'[10]faixa SM RTT+RTE+RTI'!E8</f>
        <v>Rendim. Tribut.</v>
      </c>
      <c r="E3" t="str">
        <f>+'[10]faixa SM RTT+RTE+RTI'!F8</f>
        <v>Rendim. Tribut. Exclus.</v>
      </c>
      <c r="F3" t="str">
        <f>+'[10]faixa SM RTT+RTE+RTI'!G8</f>
        <v>Rendim. Isentos</v>
      </c>
      <c r="G3" t="str">
        <f>+'[10]faixa SM RTT+RTE+RTI'!H8</f>
        <v>DEDUÇÕES</v>
      </c>
      <c r="H3">
        <f>+'[10]faixa SM RTT+RTE+RTI'!I8</f>
        <v>0</v>
      </c>
      <c r="I3">
        <f>+'[10]faixa SM RTT+RTE+RTI'!J8</f>
        <v>0</v>
      </c>
      <c r="J3">
        <f>+'[10]faixa SM RTT+RTE+RTI'!K8</f>
        <v>0</v>
      </c>
      <c r="K3">
        <f>+'[10]faixa SM RTT+RTE+RTI'!L8</f>
        <v>0</v>
      </c>
      <c r="L3">
        <f>+'[10]faixa SM RTT+RTE+RTI'!M8</f>
        <v>0</v>
      </c>
      <c r="M3">
        <f>+'[10]faixa SM RTT+RTE+RTI'!N8</f>
        <v>0</v>
      </c>
      <c r="N3" t="str">
        <f>+'[10]faixa SM RTT+RTE+RTI'!O8</f>
        <v>Base de Cálculo (RTL)</v>
      </c>
      <c r="O3" t="str">
        <f>+'[10]faixa SM RTT+RTE+RTI'!P8</f>
        <v>Imposto Devido</v>
      </c>
      <c r="P3" t="str">
        <f>+'[10]faixa SM RTT+RTE+RTI'!Q8</f>
        <v>Imposto Pago</v>
      </c>
      <c r="Q3" t="str">
        <f>+'[10]faixa SM RTT+RTE+RTI'!R8</f>
        <v>Imposto a Pagar</v>
      </c>
      <c r="R3" t="str">
        <f>+'[10]faixa SM RTT+RTE+RTI'!S8</f>
        <v>Imposto a Restituir</v>
      </c>
      <c r="S3" t="str">
        <f>+'[10]faixa SM RTT+RTE+RTI'!T8</f>
        <v>Bens e Direitos</v>
      </c>
      <c r="T3" t="str">
        <f>+'[10]faixa SM RTT+RTE+RTI'!U8</f>
        <v>Dívidas e Ônus</v>
      </c>
      <c r="U3" t="str">
        <f>+'[10]faixa SM RTT+RTE+RTI'!V8</f>
        <v>Doações e Heranças</v>
      </c>
    </row>
    <row r="4" spans="2:21" x14ac:dyDescent="0.25">
      <c r="B4">
        <f>+'[10]faixa SM RTT+RTE+RTI'!C9</f>
        <v>0</v>
      </c>
      <c r="C4">
        <f>+'[10]faixa SM RTT+RTE+RTI'!D9</f>
        <v>0</v>
      </c>
      <c r="D4">
        <f>+'[10]faixa SM RTT+RTE+RTI'!E9</f>
        <v>0</v>
      </c>
      <c r="E4">
        <f>+'[10]faixa SM RTT+RTE+RTI'!F9</f>
        <v>0</v>
      </c>
      <c r="F4">
        <f>+'[10]faixa SM RTT+RTE+RTI'!G9</f>
        <v>0</v>
      </c>
      <c r="G4" t="str">
        <f>+'[10]faixa SM RTT+RTE+RTI'!H9</f>
        <v>Contrib. Previden.</v>
      </c>
      <c r="H4" t="str">
        <f>+'[10]faixa SM RTT+RTE+RTI'!I9</f>
        <v>Dependentes</v>
      </c>
      <c r="I4" t="str">
        <f>+'[10]faixa SM RTT+RTE+RTI'!J9</f>
        <v>Instrução</v>
      </c>
      <c r="J4" t="str">
        <f>+'[10]faixa SM RTT+RTE+RTI'!K9</f>
        <v>Médicas</v>
      </c>
      <c r="K4" t="str">
        <f>+'[10]faixa SM RTT+RTE+RTI'!L9</f>
        <v>Livro Caixa</v>
      </c>
      <c r="L4" t="str">
        <f>+'[10]faixa SM RTT+RTE+RTI'!M9</f>
        <v>Pensão Aliment.</v>
      </c>
      <c r="M4" t="str">
        <f>+'[10]faixa SM RTT+RTE+RTI'!N9</f>
        <v>Desc. Padrão</v>
      </c>
      <c r="N4">
        <f>+'[10]faixa SM RTT+RTE+RTI'!O9</f>
        <v>0</v>
      </c>
      <c r="O4">
        <f>+'[10]faixa SM RTT+RTE+RTI'!P9</f>
        <v>0</v>
      </c>
      <c r="P4">
        <f>+'[10]faixa SM RTT+RTE+RTI'!Q9</f>
        <v>0</v>
      </c>
      <c r="Q4">
        <f>+'[10]faixa SM RTT+RTE+RTI'!R9</f>
        <v>0</v>
      </c>
      <c r="R4">
        <f>+'[10]faixa SM RTT+RTE+RTI'!S9</f>
        <v>0</v>
      </c>
      <c r="S4">
        <f>+'[10]faixa SM RTT+RTE+RTI'!T9</f>
        <v>0</v>
      </c>
      <c r="T4">
        <f>+'[10]faixa SM RTT+RTE+RTI'!U9</f>
        <v>0</v>
      </c>
      <c r="U4">
        <f>+'[10]faixa SM RTT+RTE+RTI'!V9</f>
        <v>0</v>
      </c>
    </row>
    <row r="5" spans="2:21" x14ac:dyDescent="0.25">
      <c r="B5" t="str">
        <f>+'[10]faixa SM RTT+RTE+RTI'!C10</f>
        <v>Até 1/2</v>
      </c>
      <c r="C5">
        <f>+'[10]faixa SM RTT+RTE+RTI'!D10</f>
        <v>1304128</v>
      </c>
      <c r="D5">
        <f>+'[10]faixa SM RTT+RTE+RTI'!E10</f>
        <v>308.52941770000001</v>
      </c>
      <c r="E5">
        <f>+'[10]faixa SM RTT+RTE+RTI'!F10</f>
        <v>58.601458730000004</v>
      </c>
      <c r="F5">
        <f>+'[10]faixa SM RTT+RTE+RTI'!G10</f>
        <v>142.18873221000001</v>
      </c>
      <c r="G5">
        <f>+'[10]faixa SM RTT+RTE+RTI'!H10</f>
        <v>28.26737151</v>
      </c>
      <c r="H5">
        <f>+'[10]faixa SM RTT+RTE+RTI'!I10</f>
        <v>335.75630639999997</v>
      </c>
      <c r="I5">
        <f>+'[10]faixa SM RTT+RTE+RTI'!J10</f>
        <v>21.11929589</v>
      </c>
      <c r="J5">
        <f>+'[10]faixa SM RTT+RTE+RTI'!K10</f>
        <v>95.650477769999995</v>
      </c>
      <c r="K5">
        <f>+'[10]faixa SM RTT+RTE+RTI'!L10</f>
        <v>0.13548415999999999</v>
      </c>
      <c r="L5">
        <f>+'[10]faixa SM RTT+RTE+RTI'!M10</f>
        <v>38.091862939999999</v>
      </c>
      <c r="M5">
        <f>+'[10]faixa SM RTT+RTE+RTI'!N10</f>
        <v>36.100599850000002</v>
      </c>
      <c r="N5">
        <f>+'[10]faixa SM RTT+RTE+RTI'!O10</f>
        <v>243.52648944999999</v>
      </c>
      <c r="O5">
        <f>+'[10]faixa SM RTT+RTE+RTI'!P10</f>
        <v>1.2188060000000001E-2</v>
      </c>
      <c r="P5">
        <f>+'[10]faixa SM RTT+RTE+RTI'!Q10</f>
        <v>15.035360359999999</v>
      </c>
      <c r="Q5">
        <f>+'[10]faixa SM RTT+RTE+RTI'!R10</f>
        <v>4.7283500000000001E-3</v>
      </c>
      <c r="R5">
        <f>+'[10]faixa SM RTT+RTE+RTI'!S10</f>
        <v>15.027900649999999</v>
      </c>
      <c r="S5">
        <f>+'[10]faixa SM RTT+RTE+RTI'!T10</f>
        <v>186682.09911975998</v>
      </c>
      <c r="T5">
        <f>+'[10]faixa SM RTT+RTE+RTI'!U10</f>
        <v>15441.482235129999</v>
      </c>
      <c r="U5">
        <f>+'[10]faixa SM RTT+RTE+RTI'!V10</f>
        <v>1.31795577</v>
      </c>
    </row>
    <row r="6" spans="2:21" x14ac:dyDescent="0.25">
      <c r="B6" t="str">
        <f>+'[10]faixa SM RTT+RTE+RTI'!C11</f>
        <v>De 1/2 a 1</v>
      </c>
      <c r="C6">
        <f>+'[10]faixa SM RTT+RTE+RTI'!D11</f>
        <v>588273</v>
      </c>
      <c r="D6">
        <f>+'[10]faixa SM RTT+RTE+RTI'!E11</f>
        <v>5068.7356959500003</v>
      </c>
      <c r="E6">
        <f>+'[10]faixa SM RTT+RTE+RTI'!F11</f>
        <v>120.91874135</v>
      </c>
      <c r="F6">
        <f>+'[10]faixa SM RTT+RTE+RTI'!G11</f>
        <v>433.12352325999996</v>
      </c>
      <c r="G6">
        <f>+'[10]faixa SM RTT+RTE+RTI'!H11</f>
        <v>129.59545796999996</v>
      </c>
      <c r="H6">
        <f>+'[10]faixa SM RTT+RTE+RTI'!I11</f>
        <v>186.18117180000002</v>
      </c>
      <c r="I6">
        <f>+'[10]faixa SM RTT+RTE+RTI'!J11</f>
        <v>15.17540743</v>
      </c>
      <c r="J6">
        <f>+'[10]faixa SM RTT+RTE+RTI'!K11</f>
        <v>51.929909039999998</v>
      </c>
      <c r="K6">
        <f>+'[10]faixa SM RTT+RTE+RTI'!L11</f>
        <v>0.70520257999999991</v>
      </c>
      <c r="L6">
        <f>+'[10]faixa SM RTT+RTE+RTI'!M11</f>
        <v>8.8066315300000007</v>
      </c>
      <c r="M6">
        <f>+'[10]faixa SM RTT+RTE+RTI'!N11</f>
        <v>695.88126424999996</v>
      </c>
      <c r="N6">
        <f>+'[10]faixa SM RTT+RTE+RTI'!O11</f>
        <v>4140.3912690100005</v>
      </c>
      <c r="O6">
        <f>+'[10]faixa SM RTT+RTE+RTI'!P11</f>
        <v>0.12367</v>
      </c>
      <c r="P6">
        <f>+'[10]faixa SM RTT+RTE+RTI'!Q11</f>
        <v>17.714369389999998</v>
      </c>
      <c r="Q6">
        <f>+'[10]faixa SM RTT+RTE+RTI'!R11</f>
        <v>5.9862199999999997E-2</v>
      </c>
      <c r="R6">
        <f>+'[10]faixa SM RTT+RTE+RTI'!S11</f>
        <v>17.650561590000002</v>
      </c>
      <c r="S6">
        <f>+'[10]faixa SM RTT+RTE+RTI'!T11</f>
        <v>52519.087431669999</v>
      </c>
      <c r="T6">
        <f>+'[10]faixa SM RTT+RTE+RTI'!U11</f>
        <v>4463.0309196799999</v>
      </c>
      <c r="U6">
        <f>+'[10]faixa SM RTT+RTE+RTI'!V11</f>
        <v>6.2925832699999997</v>
      </c>
    </row>
    <row r="7" spans="2:21" x14ac:dyDescent="0.25">
      <c r="B7" t="str">
        <f>+'[10]faixa SM RTT+RTE+RTI'!C12</f>
        <v>De 1 a 2</v>
      </c>
      <c r="C7">
        <f>+'[10]faixa SM RTT+RTE+RTI'!D12</f>
        <v>1360094</v>
      </c>
      <c r="D7">
        <f>+'[10]faixa SM RTT+RTE+RTI'!E12</f>
        <v>17910.356423950001</v>
      </c>
      <c r="E7">
        <f>+'[10]faixa SM RTT+RTE+RTI'!F12</f>
        <v>789.45725639</v>
      </c>
      <c r="F7">
        <f>+'[10]faixa SM RTT+RTE+RTI'!G12</f>
        <v>3252.9108659499998</v>
      </c>
      <c r="G7">
        <f>+'[10]faixa SM RTT+RTE+RTI'!H12</f>
        <v>373.74289539000006</v>
      </c>
      <c r="H7">
        <f>+'[10]faixa SM RTT+RTE+RTI'!I12</f>
        <v>627.82425155999999</v>
      </c>
      <c r="I7">
        <f>+'[10]faixa SM RTT+RTE+RTI'!J12</f>
        <v>65.506709579999992</v>
      </c>
      <c r="J7">
        <f>+'[10]faixa SM RTT+RTE+RTI'!K12</f>
        <v>238.60129799000001</v>
      </c>
      <c r="K7">
        <f>+'[10]faixa SM RTT+RTE+RTI'!L12</f>
        <v>5.8210587300000007</v>
      </c>
      <c r="L7">
        <f>+'[10]faixa SM RTT+RTE+RTI'!M12</f>
        <v>28.535575169999998</v>
      </c>
      <c r="M7">
        <f>+'[10]faixa SM RTT+RTE+RTI'!N12</f>
        <v>2357.75974563</v>
      </c>
      <c r="N7">
        <f>+'[10]faixa SM RTT+RTE+RTI'!O12</f>
        <v>14680.545884929999</v>
      </c>
      <c r="O7">
        <f>+'[10]faixa SM RTT+RTE+RTI'!P12</f>
        <v>0.66146938</v>
      </c>
      <c r="P7">
        <f>+'[10]faixa SM RTT+RTE+RTI'!Q12</f>
        <v>160.30648460999998</v>
      </c>
      <c r="Q7">
        <f>+'[10]faixa SM RTT+RTE+RTI'!R12</f>
        <v>0.23534316</v>
      </c>
      <c r="R7">
        <f>+'[10]faixa SM RTT+RTE+RTI'!S12</f>
        <v>159.88035839</v>
      </c>
      <c r="S7">
        <f>+'[10]faixa SM RTT+RTE+RTI'!T12</f>
        <v>144297.59179442</v>
      </c>
      <c r="T7">
        <f>+'[10]faixa SM RTT+RTE+RTI'!U12</f>
        <v>12769.22062443</v>
      </c>
      <c r="U7">
        <f>+'[10]faixa SM RTT+RTE+RTI'!V12</f>
        <v>40.284295290000003</v>
      </c>
    </row>
    <row r="8" spans="2:21" x14ac:dyDescent="0.25">
      <c r="B8" t="str">
        <f>+'[10]faixa SM RTT+RTE+RTI'!C13</f>
        <v>De 2 a 3</v>
      </c>
      <c r="C8">
        <f>+'[10]faixa SM RTT+RTE+RTI'!D13</f>
        <v>3994153</v>
      </c>
      <c r="D8">
        <f>+'[10]faixa SM RTT+RTE+RTI'!E13</f>
        <v>96860.274257270008</v>
      </c>
      <c r="E8">
        <f>+'[10]faixa SM RTT+RTE+RTI'!F13</f>
        <v>3587.7032542400002</v>
      </c>
      <c r="F8">
        <f>+'[10]faixa SM RTT+RTE+RTI'!G13</f>
        <v>8352.0172283299999</v>
      </c>
      <c r="G8">
        <f>+'[10]faixa SM RTT+RTE+RTI'!H13</f>
        <v>1357.7753651999999</v>
      </c>
      <c r="H8">
        <f>+'[10]faixa SM RTT+RTE+RTI'!I13</f>
        <v>2513.8359955199999</v>
      </c>
      <c r="I8">
        <f>+'[10]faixa SM RTT+RTE+RTI'!J13</f>
        <v>281.32976833999999</v>
      </c>
      <c r="J8">
        <f>+'[10]faixa SM RTT+RTE+RTI'!K13</f>
        <v>884.64157838999995</v>
      </c>
      <c r="K8">
        <f>+'[10]faixa SM RTT+RTE+RTI'!L13</f>
        <v>43.239692920000003</v>
      </c>
      <c r="L8">
        <f>+'[10]faixa SM RTT+RTE+RTI'!M13</f>
        <v>128.88568103</v>
      </c>
      <c r="M8">
        <f>+'[10]faixa SM RTT+RTE+RTI'!N13</f>
        <v>16070.71332081</v>
      </c>
      <c r="N8">
        <f>+'[10]faixa SM RTT+RTE+RTI'!O13</f>
        <v>77201.568106310006</v>
      </c>
      <c r="O8">
        <f>+'[10]faixa SM RTT+RTE+RTI'!P13</f>
        <v>27.00385344</v>
      </c>
      <c r="P8">
        <f>+'[10]faixa SM RTT+RTE+RTI'!Q13</f>
        <v>449.02944841999999</v>
      </c>
      <c r="Q8">
        <f>+'[10]faixa SM RTT+RTE+RTI'!R13</f>
        <v>15.770752359999999</v>
      </c>
      <c r="R8">
        <f>+'[10]faixa SM RTT+RTE+RTI'!S13</f>
        <v>437.79744417999996</v>
      </c>
      <c r="S8">
        <f>+'[10]faixa SM RTT+RTE+RTI'!T13</f>
        <v>406006.49225730007</v>
      </c>
      <c r="T8">
        <f>+'[10]faixa SM RTT+RTE+RTI'!U13</f>
        <v>29103.79539205</v>
      </c>
      <c r="U8">
        <f>+'[10]faixa SM RTT+RTE+RTI'!V13</f>
        <v>98.993147600000015</v>
      </c>
    </row>
    <row r="9" spans="2:21" x14ac:dyDescent="0.25">
      <c r="B9" t="str">
        <f>+'[10]faixa SM RTT+RTE+RTI'!C14</f>
        <v>De 3 a 5</v>
      </c>
      <c r="C9">
        <f>+'[10]faixa SM RTT+RTE+RTI'!D14</f>
        <v>7605675</v>
      </c>
      <c r="D9">
        <f>+'[10]faixa SM RTT+RTE+RTI'!E14</f>
        <v>257552.65549820999</v>
      </c>
      <c r="E9">
        <f>+'[10]faixa SM RTT+RTE+RTI'!F14</f>
        <v>20080.589155040001</v>
      </c>
      <c r="F9">
        <f>+'[10]faixa SM RTT+RTE+RTI'!G14</f>
        <v>36316.598737369997</v>
      </c>
      <c r="G9">
        <f>+'[10]faixa SM RTT+RTE+RTI'!H14</f>
        <v>10813.747664450002</v>
      </c>
      <c r="H9">
        <f>+'[10]faixa SM RTT+RTE+RTI'!I14</f>
        <v>12279.585044399999</v>
      </c>
      <c r="I9">
        <f>+'[10]faixa SM RTT+RTE+RTI'!J14</f>
        <v>3669.9255518</v>
      </c>
      <c r="J9">
        <f>+'[10]faixa SM RTT+RTE+RTI'!K14</f>
        <v>8432.6777858299993</v>
      </c>
      <c r="K9">
        <f>+'[10]faixa SM RTT+RTE+RTI'!L14</f>
        <v>349.47401513</v>
      </c>
      <c r="L9">
        <f>+'[10]faixa SM RTT+RTE+RTI'!M14</f>
        <v>1484.41620932</v>
      </c>
      <c r="M9">
        <f>+'[10]faixa SM RTT+RTE+RTI'!N14</f>
        <v>30524.214408129999</v>
      </c>
      <c r="N9">
        <f>+'[10]faixa SM RTT+RTE+RTI'!O14</f>
        <v>193810.77897513</v>
      </c>
      <c r="O9">
        <f>+'[10]faixa SM RTT+RTE+RTI'!P14</f>
        <v>2796.2595517</v>
      </c>
      <c r="P9">
        <f>+'[10]faixa SM RTT+RTE+RTI'!Q14</f>
        <v>34483.847528670005</v>
      </c>
      <c r="Q9">
        <f>+'[10]faixa SM RTT+RTE+RTI'!R14</f>
        <v>515.33194004999996</v>
      </c>
      <c r="R9">
        <f>+'[10]faixa SM RTT+RTE+RTI'!S14</f>
        <v>32202.924434380002</v>
      </c>
      <c r="S9">
        <f>+'[10]faixa SM RTT+RTE+RTI'!T14</f>
        <v>594527.80777468998</v>
      </c>
      <c r="T9">
        <f>+'[10]faixa SM RTT+RTE+RTI'!U14</f>
        <v>62091.637542689998</v>
      </c>
      <c r="U9">
        <f>+'[10]faixa SM RTT+RTE+RTI'!V14</f>
        <v>543.39038104999997</v>
      </c>
    </row>
    <row r="10" spans="2:21" x14ac:dyDescent="0.25">
      <c r="B10" t="str">
        <f>+'[10]faixa SM RTT+RTE+RTI'!C15</f>
        <v>De 5 a 7</v>
      </c>
      <c r="C10">
        <f>+'[10]faixa SM RTT+RTE+RTI'!D15</f>
        <v>4219050</v>
      </c>
      <c r="D10">
        <f>+'[10]faixa SM RTT+RTE+RTI'!E15</f>
        <v>206200.98409256001</v>
      </c>
      <c r="E10">
        <f>+'[10]faixa SM RTT+RTE+RTI'!F15</f>
        <v>18507.156242810001</v>
      </c>
      <c r="F10">
        <f>+'[10]faixa SM RTT+RTE+RTI'!G15</f>
        <v>37993.530161729999</v>
      </c>
      <c r="G10">
        <f>+'[10]faixa SM RTT+RTE+RTI'!H15</f>
        <v>9044.9224520500011</v>
      </c>
      <c r="H10">
        <f>+'[10]faixa SM RTT+RTE+RTI'!I15</f>
        <v>8001.8203727999999</v>
      </c>
      <c r="I10">
        <f>+'[10]faixa SM RTT+RTE+RTI'!J15</f>
        <v>4112.9437070499998</v>
      </c>
      <c r="J10">
        <f>+'[10]faixa SM RTT+RTE+RTI'!K15</f>
        <v>9638.1623468799989</v>
      </c>
      <c r="K10">
        <f>+'[10]faixa SM RTT+RTE+RTI'!L15</f>
        <v>586.75172598999995</v>
      </c>
      <c r="L10">
        <f>+'[10]faixa SM RTT+RTE+RTI'!M15</f>
        <v>1760.4111476800001</v>
      </c>
      <c r="M10">
        <f>+'[10]faixa SM RTT+RTE+RTI'!N15</f>
        <v>22754.095189169999</v>
      </c>
      <c r="N10">
        <f>+'[10]faixa SM RTT+RTE+RTI'!O15</f>
        <v>152380.20754520001</v>
      </c>
      <c r="O10">
        <f>+'[10]faixa SM RTT+RTE+RTI'!P15</f>
        <v>6862.5226710400002</v>
      </c>
      <c r="P10">
        <f>+'[10]faixa SM RTT+RTE+RTI'!Q15</f>
        <v>9398.2757765599999</v>
      </c>
      <c r="Q10">
        <f>+'[10]faixa SM RTT+RTE+RTI'!R15</f>
        <v>1145.54374519</v>
      </c>
      <c r="R10">
        <f>+'[10]faixa SM RTT+RTE+RTI'!S15</f>
        <v>3681.3024354899999</v>
      </c>
      <c r="S10">
        <f>+'[10]faixa SM RTT+RTE+RTI'!T15</f>
        <v>488311.71336826007</v>
      </c>
      <c r="T10">
        <f>+'[10]faixa SM RTT+RTE+RTI'!U15</f>
        <v>52214.54802324</v>
      </c>
      <c r="U10">
        <f>+'[10]faixa SM RTT+RTE+RTI'!V15</f>
        <v>1119.5830979299999</v>
      </c>
    </row>
    <row r="11" spans="2:21" x14ac:dyDescent="0.25">
      <c r="B11" t="str">
        <f>+'[10]faixa SM RTT+RTE+RTI'!C16</f>
        <v>De 7 a 10</v>
      </c>
      <c r="C11">
        <f>+'[10]faixa SM RTT+RTE+RTI'!D16</f>
        <v>3202633</v>
      </c>
      <c r="D11">
        <f>+'[10]faixa SM RTT+RTE+RTI'!E16</f>
        <v>212317.10755232</v>
      </c>
      <c r="E11">
        <f>+'[10]faixa SM RTT+RTE+RTI'!F16</f>
        <v>21016.68543885</v>
      </c>
      <c r="F11">
        <f>+'[10]faixa SM RTT+RTE+RTI'!G16</f>
        <v>47965.885802439996</v>
      </c>
      <c r="G11">
        <f>+'[10]faixa SM RTT+RTE+RTI'!H16</f>
        <v>8958.8583352699989</v>
      </c>
      <c r="H11">
        <f>+'[10]faixa SM RTT+RTE+RTI'!I16</f>
        <v>6468.5597828399996</v>
      </c>
      <c r="I11">
        <f>+'[10]faixa SM RTT+RTE+RTI'!J16</f>
        <v>4212.9544679999999</v>
      </c>
      <c r="J11">
        <f>+'[10]faixa SM RTT+RTE+RTI'!K16</f>
        <v>10788.73367157</v>
      </c>
      <c r="K11">
        <f>+'[10]faixa SM RTT+RTE+RTI'!L16</f>
        <v>934.61483709000004</v>
      </c>
      <c r="L11">
        <f>+'[10]faixa SM RTT+RTE+RTI'!M16</f>
        <v>2179.8748051900002</v>
      </c>
      <c r="M11">
        <f>+'[10]faixa SM RTT+RTE+RTI'!N16</f>
        <v>22773.31638308</v>
      </c>
      <c r="N11">
        <f>+'[10]faixa SM RTT+RTE+RTI'!O16</f>
        <v>157759.32250193998</v>
      </c>
      <c r="O11">
        <f>+'[10]faixa SM RTT+RTE+RTI'!P16</f>
        <v>13964.630746500003</v>
      </c>
      <c r="P11">
        <f>+'[10]faixa SM RTT+RTE+RTI'!Q16</f>
        <v>16221.264649249999</v>
      </c>
      <c r="Q11">
        <f>+'[10]faixa SM RTT+RTE+RTI'!R16</f>
        <v>2200.5552907700003</v>
      </c>
      <c r="R11">
        <f>+'[10]faixa SM RTT+RTE+RTI'!S16</f>
        <v>4457.1939129599996</v>
      </c>
      <c r="S11">
        <f>+'[10]faixa SM RTT+RTE+RTI'!T16</f>
        <v>656550.57667188998</v>
      </c>
      <c r="T11">
        <f>+'[10]faixa SM RTT+RTE+RTI'!U16</f>
        <v>60059.186584220006</v>
      </c>
      <c r="U11">
        <f>+'[10]faixa SM RTT+RTE+RTI'!V16</f>
        <v>2024.4705763200002</v>
      </c>
    </row>
    <row r="12" spans="2:21" x14ac:dyDescent="0.25">
      <c r="B12" t="str">
        <f>+'[10]faixa SM RTT+RTE+RTI'!C17</f>
        <v>De 10 a 15</v>
      </c>
      <c r="C12">
        <f>+'[10]faixa SM RTT+RTE+RTI'!D17</f>
        <v>2441109</v>
      </c>
      <c r="D12">
        <f>+'[10]faixa SM RTT+RTE+RTI'!E17</f>
        <v>223342.95986524</v>
      </c>
      <c r="E12">
        <f>+'[10]faixa SM RTT+RTE+RTI'!F17</f>
        <v>24636.214125319999</v>
      </c>
      <c r="F12">
        <f>+'[10]faixa SM RTT+RTE+RTI'!G17</f>
        <v>65209.973976039997</v>
      </c>
      <c r="G12">
        <f>+'[10]faixa SM RTT+RTE+RTI'!H17</f>
        <v>10757.66374446</v>
      </c>
      <c r="H12">
        <f>+'[10]faixa SM RTT+RTE+RTI'!I17</f>
        <v>4902.1763031600003</v>
      </c>
      <c r="I12">
        <f>+'[10]faixa SM RTT+RTE+RTI'!J17</f>
        <v>3709.0637716900001</v>
      </c>
      <c r="J12">
        <f>+'[10]faixa SM RTT+RTE+RTI'!K17</f>
        <v>11682.275458169999</v>
      </c>
      <c r="K12">
        <f>+'[10]faixa SM RTT+RTE+RTI'!L17</f>
        <v>1460.55243769</v>
      </c>
      <c r="L12">
        <f>+'[10]faixa SM RTT+RTE+RTI'!M17</f>
        <v>2368.7508828400005</v>
      </c>
      <c r="M12">
        <f>+'[10]faixa SM RTT+RTE+RTI'!N17</f>
        <v>16586.44167489</v>
      </c>
      <c r="N12">
        <f>+'[10]faixa SM RTT+RTE+RTI'!O17</f>
        <v>173210.67037305998</v>
      </c>
      <c r="O12">
        <f>+'[10]faixa SM RTT+RTE+RTI'!P17</f>
        <v>24781.567428510003</v>
      </c>
      <c r="P12">
        <f>+'[10]faixa SM RTT+RTE+RTI'!Q17</f>
        <v>25401.964490489998</v>
      </c>
      <c r="Q12">
        <f>+'[10]faixa SM RTT+RTE+RTI'!R17</f>
        <v>3151.96161656</v>
      </c>
      <c r="R12">
        <f>+'[10]faixa SM RTT+RTE+RTI'!S17</f>
        <v>3772.36447671</v>
      </c>
      <c r="S12">
        <f>+'[10]faixa SM RTT+RTE+RTI'!T17</f>
        <v>670961.86046852008</v>
      </c>
      <c r="T12">
        <f>+'[10]faixa SM RTT+RTE+RTI'!U17</f>
        <v>67737.328843230003</v>
      </c>
      <c r="U12">
        <f>+'[10]faixa SM RTT+RTE+RTI'!V17</f>
        <v>3080.8790278900001</v>
      </c>
    </row>
    <row r="13" spans="2:21" x14ac:dyDescent="0.25">
      <c r="B13" t="str">
        <f>+'[10]faixa SM RTT+RTE+RTI'!C18</f>
        <v>De 15 a 20</v>
      </c>
      <c r="C13">
        <f>+'[10]faixa SM RTT+RTE+RTI'!D18</f>
        <v>1121037</v>
      </c>
      <c r="D13">
        <f>+'[10]faixa SM RTT+RTE+RTI'!E18</f>
        <v>136707.93950184999</v>
      </c>
      <c r="E13">
        <f>+'[10]faixa SM RTT+RTE+RTI'!F18</f>
        <v>17457.871441069998</v>
      </c>
      <c r="F13">
        <f>+'[10]faixa SM RTT+RTE+RTI'!G18</f>
        <v>49815.59856138</v>
      </c>
      <c r="G13">
        <f>+'[10]faixa SM RTT+RTE+RTI'!H18</f>
        <v>8221.2992431500006</v>
      </c>
      <c r="H13">
        <f>+'[10]faixa SM RTT+RTE+RTI'!I18</f>
        <v>2253.97180776</v>
      </c>
      <c r="I13">
        <f>+'[10]faixa SM RTT+RTE+RTI'!J18</f>
        <v>1793.10643332</v>
      </c>
      <c r="J13">
        <f>+'[10]faixa SM RTT+RTE+RTI'!K18</f>
        <v>7285.8294142799996</v>
      </c>
      <c r="K13">
        <f>+'[10]faixa SM RTT+RTE+RTI'!L18</f>
        <v>1186.4084137899999</v>
      </c>
      <c r="L13">
        <f>+'[10]faixa SM RTT+RTE+RTI'!M18</f>
        <v>1564.13328813</v>
      </c>
      <c r="M13">
        <f>+'[10]faixa SM RTT+RTE+RTI'!N18</f>
        <v>5468.9743513900003</v>
      </c>
      <c r="N13">
        <f>+'[10]faixa SM RTT+RTE+RTI'!O18</f>
        <v>109576.216223</v>
      </c>
      <c r="O13">
        <f>+'[10]faixa SM RTT+RTE+RTI'!P18</f>
        <v>19690.858338270002</v>
      </c>
      <c r="P13">
        <f>+'[10]faixa SM RTT+RTE+RTI'!Q18</f>
        <v>19411.648322429999</v>
      </c>
      <c r="Q13">
        <f>+'[10]faixa SM RTT+RTE+RTI'!R18</f>
        <v>2074.3055012999998</v>
      </c>
      <c r="R13">
        <f>+'[10]faixa SM RTT+RTE+RTI'!S18</f>
        <v>1795.0999942500002</v>
      </c>
      <c r="S13">
        <f>+'[10]faixa SM RTT+RTE+RTI'!T18</f>
        <v>500743.60861198994</v>
      </c>
      <c r="T13">
        <f>+'[10]faixa SM RTT+RTE+RTI'!U18</f>
        <v>45734.90498372</v>
      </c>
      <c r="U13">
        <f>+'[10]faixa SM RTT+RTE+RTI'!V18</f>
        <v>2706.7976320799999</v>
      </c>
    </row>
    <row r="14" spans="2:21" x14ac:dyDescent="0.25">
      <c r="B14" t="str">
        <f>+'[10]faixa SM RTT+RTE+RTI'!C19</f>
        <v>De 20 a 30</v>
      </c>
      <c r="C14">
        <f>+'[10]faixa SM RTT+RTE+RTI'!D19</f>
        <v>1038518</v>
      </c>
      <c r="D14">
        <f>+'[10]faixa SM RTT+RTE+RTI'!E19</f>
        <v>165628.81699164998</v>
      </c>
      <c r="E14">
        <f>+'[10]faixa SM RTT+RTE+RTI'!F19</f>
        <v>24915.11224522</v>
      </c>
      <c r="F14">
        <f>+'[10]faixa SM RTT+RTE+RTI'!G19</f>
        <v>75725.972425769985</v>
      </c>
      <c r="G14">
        <f>+'[10]faixa SM RTT+RTE+RTI'!H19</f>
        <v>11588.199818720001</v>
      </c>
      <c r="H14">
        <f>+'[10]faixa SM RTT+RTE+RTI'!I19</f>
        <v>2028.01541232</v>
      </c>
      <c r="I14">
        <f>+'[10]faixa SM RTT+RTE+RTI'!J19</f>
        <v>1609.0817670399999</v>
      </c>
      <c r="J14">
        <f>+'[10]faixa SM RTT+RTE+RTI'!K19</f>
        <v>8557.3848167600008</v>
      </c>
      <c r="K14">
        <f>+'[10]faixa SM RTT+RTE+RTI'!L19</f>
        <v>1792.2536391800002</v>
      </c>
      <c r="L14">
        <f>+'[10]faixa SM RTT+RTE+RTI'!M19</f>
        <v>2024.0328486199999</v>
      </c>
      <c r="M14">
        <f>+'[10]faixa SM RTT+RTE+RTI'!N19</f>
        <v>3702.3577186900002</v>
      </c>
      <c r="N14">
        <f>+'[10]faixa SM RTT+RTE+RTI'!O19</f>
        <v>135227.28592152998</v>
      </c>
      <c r="O14">
        <f>+'[10]faixa SM RTT+RTE+RTI'!P19</f>
        <v>27619.600207700001</v>
      </c>
      <c r="P14">
        <f>+'[10]faixa SM RTT+RTE+RTI'!Q19</f>
        <v>27034.074562419999</v>
      </c>
      <c r="Q14">
        <f>+'[10]faixa SM RTT+RTE+RTI'!R19</f>
        <v>2511.3186517300001</v>
      </c>
      <c r="R14">
        <f>+'[10]faixa SM RTT+RTE+RTI'!S19</f>
        <v>1925.8065921599998</v>
      </c>
      <c r="S14">
        <f>+'[10]faixa SM RTT+RTE+RTI'!T19</f>
        <v>726990.53875104</v>
      </c>
      <c r="T14">
        <f>+'[10]faixa SM RTT+RTE+RTI'!U19</f>
        <v>58854.476699760002</v>
      </c>
      <c r="U14">
        <f>+'[10]faixa SM RTT+RTE+RTI'!V19</f>
        <v>4759.4023005400004</v>
      </c>
    </row>
    <row r="15" spans="2:21" x14ac:dyDescent="0.25">
      <c r="B15" t="str">
        <f>+'[10]faixa SM RTT+RTE+RTI'!C20</f>
        <v>De 30 a 40</v>
      </c>
      <c r="C15">
        <f>+'[10]faixa SM RTT+RTE+RTI'!D20</f>
        <v>449733</v>
      </c>
      <c r="D15">
        <f>+'[10]faixa SM RTT+RTE+RTI'!E20</f>
        <v>91659.39267406</v>
      </c>
      <c r="E15">
        <f>+'[10]faixa SM RTT+RTE+RTI'!F20</f>
        <v>16648.913161830002</v>
      </c>
      <c r="F15">
        <f>+'[10]faixa SM RTT+RTE+RTI'!G20</f>
        <v>54970.838599540002</v>
      </c>
      <c r="G15">
        <f>+'[10]faixa SM RTT+RTE+RTI'!H20</f>
        <v>6744.6299846599995</v>
      </c>
      <c r="H15">
        <f>+'[10]faixa SM RTT+RTE+RTI'!I20</f>
        <v>856.26275928000007</v>
      </c>
      <c r="I15">
        <f>+'[10]faixa SM RTT+RTE+RTI'!J20</f>
        <v>675.7038452999999</v>
      </c>
      <c r="J15">
        <f>+'[10]faixa SM RTT+RTE+RTI'!K20</f>
        <v>4539.5970510799998</v>
      </c>
      <c r="K15">
        <f>+'[10]faixa SM RTT+RTE+RTI'!L20</f>
        <v>1337.2457447500001</v>
      </c>
      <c r="L15">
        <f>+'[10]faixa SM RTT+RTE+RTI'!M20</f>
        <v>1175.0385359299999</v>
      </c>
      <c r="M15">
        <f>+'[10]faixa SM RTT+RTE+RTI'!N20</f>
        <v>1338.1850107400001</v>
      </c>
      <c r="N15">
        <f>+'[10]faixa SM RTT+RTE+RTI'!O20</f>
        <v>75525.40134266</v>
      </c>
      <c r="O15">
        <f>+'[10]faixa SM RTT+RTE+RTI'!P20</f>
        <v>16701.087346730001</v>
      </c>
      <c r="P15">
        <f>+'[10]faixa SM RTT+RTE+RTI'!Q20</f>
        <v>16159.57576077</v>
      </c>
      <c r="Q15">
        <f>+'[10]faixa SM RTT+RTE+RTI'!R20</f>
        <v>1505.7552670300001</v>
      </c>
      <c r="R15">
        <f>+'[10]faixa SM RTT+RTE+RTI'!S20</f>
        <v>964.24368107000009</v>
      </c>
      <c r="S15">
        <f>+'[10]faixa SM RTT+RTE+RTI'!T20</f>
        <v>465429.05857371003</v>
      </c>
      <c r="T15">
        <f>+'[10]faixa SM RTT+RTE+RTI'!U20</f>
        <v>34159.568042650004</v>
      </c>
      <c r="U15">
        <f>+'[10]faixa SM RTT+RTE+RTI'!V20</f>
        <v>3853.39234274</v>
      </c>
    </row>
    <row r="16" spans="2:21" x14ac:dyDescent="0.25">
      <c r="B16" t="str">
        <f>+'[10]faixa SM RTT+RTE+RTI'!C21</f>
        <v>De 40 a 60</v>
      </c>
      <c r="C16">
        <f>+'[10]faixa SM RTT+RTE+RTI'!D21</f>
        <v>354401</v>
      </c>
      <c r="D16">
        <f>+'[10]faixa SM RTT+RTE+RTI'!E21</f>
        <v>86116.207045850009</v>
      </c>
      <c r="E16">
        <f>+'[10]faixa SM RTT+RTE+RTI'!F21</f>
        <v>20764.192340409998</v>
      </c>
      <c r="F16">
        <f>+'[10]faixa SM RTT+RTE+RTI'!G21</f>
        <v>73347.289602500008</v>
      </c>
      <c r="G16">
        <f>+'[10]faixa SM RTT+RTE+RTI'!H21</f>
        <v>6134.4560647300004</v>
      </c>
      <c r="H16">
        <f>+'[10]faixa SM RTT+RTE+RTI'!I21</f>
        <v>687.62927952000007</v>
      </c>
      <c r="I16">
        <f>+'[10]faixa SM RTT+RTE+RTI'!J21</f>
        <v>546.21876069000007</v>
      </c>
      <c r="J16">
        <f>+'[10]faixa SM RTT+RTE+RTI'!K21</f>
        <v>3917.47173436</v>
      </c>
      <c r="K16">
        <f>+'[10]faixa SM RTT+RTE+RTI'!L21</f>
        <v>1713.8753941700002</v>
      </c>
      <c r="L16">
        <f>+'[10]faixa SM RTT+RTE+RTI'!M21</f>
        <v>1078.1325412000001</v>
      </c>
      <c r="M16">
        <f>+'[10]faixa SM RTT+RTE+RTI'!N21</f>
        <v>1037.20515331</v>
      </c>
      <c r="N16">
        <f>+'[10]faixa SM RTT+RTE+RTI'!O21</f>
        <v>71431.719984700001</v>
      </c>
      <c r="O16">
        <f>+'[10]faixa SM RTT+RTE+RTI'!P21</f>
        <v>16547.303729020001</v>
      </c>
      <c r="P16">
        <f>+'[10]faixa SM RTT+RTE+RTI'!Q21</f>
        <v>15707.27904768</v>
      </c>
      <c r="Q16">
        <f>+'[10]faixa SM RTT+RTE+RTI'!R21</f>
        <v>1651.22516021</v>
      </c>
      <c r="R16">
        <f>+'[10]faixa SM RTT+RTE+RTI'!S21</f>
        <v>811.22580235999999</v>
      </c>
      <c r="S16">
        <f>+'[10]faixa SM RTT+RTE+RTI'!T21</f>
        <v>566396.96163255</v>
      </c>
      <c r="T16">
        <f>+'[10]faixa SM RTT+RTE+RTI'!U21</f>
        <v>36667.039602880002</v>
      </c>
      <c r="U16">
        <f>+'[10]faixa SM RTT+RTE+RTI'!V21</f>
        <v>6018.1208073099997</v>
      </c>
    </row>
    <row r="17" spans="2:21" x14ac:dyDescent="0.25">
      <c r="B17" t="str">
        <f>+'[10]faixa SM RTT+RTE+RTI'!C22</f>
        <v>De 60 a 80</v>
      </c>
      <c r="C17">
        <f>+'[10]faixa SM RTT+RTE+RTI'!D22</f>
        <v>127976</v>
      </c>
      <c r="D17">
        <f>+'[10]faixa SM RTT+RTE+RTI'!E22</f>
        <v>34733.039489329996</v>
      </c>
      <c r="E17">
        <f>+'[10]faixa SM RTT+RTE+RTI'!F22</f>
        <v>12006.454603679998</v>
      </c>
      <c r="F17">
        <f>+'[10]faixa SM RTT+RTE+RTI'!G22</f>
        <v>45991.38611616</v>
      </c>
      <c r="G17">
        <f>+'[10]faixa SM RTT+RTE+RTI'!H22</f>
        <v>2167.4683346000002</v>
      </c>
      <c r="H17">
        <f>+'[10]faixa SM RTT+RTE+RTI'!I22</f>
        <v>248.52063887999998</v>
      </c>
      <c r="I17">
        <f>+'[10]faixa SM RTT+RTE+RTI'!J22</f>
        <v>193.91347372999999</v>
      </c>
      <c r="J17">
        <f>+'[10]faixa SM RTT+RTE+RTI'!K22</f>
        <v>1498.55884573</v>
      </c>
      <c r="K17">
        <f>+'[10]faixa SM RTT+RTE+RTI'!L22</f>
        <v>911.39963276999993</v>
      </c>
      <c r="L17">
        <f>+'[10]faixa SM RTT+RTE+RTI'!M22</f>
        <v>432.32455817000005</v>
      </c>
      <c r="M17">
        <f>+'[10]faixa SM RTT+RTE+RTI'!N22</f>
        <v>417.00072993000003</v>
      </c>
      <c r="N17">
        <f>+'[10]faixa SM RTT+RTE+RTI'!O22</f>
        <v>29054.272777160004</v>
      </c>
      <c r="O17">
        <f>+'[10]faixa SM RTT+RTE+RTI'!P22</f>
        <v>6960.4051855099997</v>
      </c>
      <c r="P17">
        <f>+'[10]faixa SM RTT+RTE+RTI'!Q22</f>
        <v>6516.8424644200004</v>
      </c>
      <c r="Q17">
        <f>+'[10]faixa SM RTT+RTE+RTI'!R22</f>
        <v>790.23998712000002</v>
      </c>
      <c r="R17">
        <f>+'[10]faixa SM RTT+RTE+RTI'!S22</f>
        <v>346.67726603000006</v>
      </c>
      <c r="S17">
        <f>+'[10]faixa SM RTT+RTE+RTI'!T22</f>
        <v>320154.86290181999</v>
      </c>
      <c r="T17">
        <f>+'[10]faixa SM RTT+RTE+RTI'!U22</f>
        <v>18869.914447660001</v>
      </c>
      <c r="U17">
        <f>+'[10]faixa SM RTT+RTE+RTI'!V22</f>
        <v>4250.0282662499994</v>
      </c>
    </row>
    <row r="18" spans="2:21" x14ac:dyDescent="0.25">
      <c r="B18" t="str">
        <f>+'[10]faixa SM RTT+RTE+RTI'!C23</f>
        <v>De 80 a 160</v>
      </c>
      <c r="C18">
        <f>+'[10]faixa SM RTT+RTE+RTI'!D23</f>
        <v>128933</v>
      </c>
      <c r="D18">
        <f>+'[10]faixa SM RTT+RTE+RTI'!E23</f>
        <v>39635.446837149997</v>
      </c>
      <c r="E18">
        <f>+'[10]faixa SM RTT+RTE+RTI'!F23</f>
        <v>20753.409556729999</v>
      </c>
      <c r="F18">
        <f>+'[10]faixa SM RTT+RTE+RTI'!G23</f>
        <v>86009.230057039997</v>
      </c>
      <c r="G18">
        <f>+'[10]faixa SM RTT+RTE+RTI'!H23</f>
        <v>1867.1388896799999</v>
      </c>
      <c r="H18">
        <f>+'[10]faixa SM RTT+RTE+RTI'!I23</f>
        <v>235.99859855999998</v>
      </c>
      <c r="I18">
        <f>+'[10]faixa SM RTT+RTE+RTI'!J23</f>
        <v>176.27019684000001</v>
      </c>
      <c r="J18">
        <f>+'[10]faixa SM RTT+RTE+RTI'!K23</f>
        <v>1503.47972671</v>
      </c>
      <c r="K18">
        <f>+'[10]faixa SM RTT+RTE+RTI'!L23</f>
        <v>1495.8727828699998</v>
      </c>
      <c r="L18">
        <f>+'[10]faixa SM RTT+RTE+RTI'!M23</f>
        <v>419.01177959</v>
      </c>
      <c r="M18">
        <f>+'[10]faixa SM RTT+RTE+RTI'!N23</f>
        <v>481.43633877999997</v>
      </c>
      <c r="N18">
        <f>+'[10]faixa SM RTT+RTE+RTI'!O23</f>
        <v>33661.359032889995</v>
      </c>
      <c r="O18">
        <f>+'[10]faixa SM RTT+RTE+RTI'!P23</f>
        <v>8308.2335983499997</v>
      </c>
      <c r="P18">
        <f>+'[10]faixa SM RTT+RTE+RTI'!Q23</f>
        <v>7503.5855654500001</v>
      </c>
      <c r="Q18">
        <f>+'[10]faixa SM RTT+RTE+RTI'!R23</f>
        <v>1167.19624733</v>
      </c>
      <c r="R18">
        <f>+'[10]faixa SM RTT+RTE+RTI'!S23</f>
        <v>362.54821443000003</v>
      </c>
      <c r="S18">
        <f>+'[10]faixa SM RTT+RTE+RTI'!T23</f>
        <v>578507.24573216995</v>
      </c>
      <c r="T18">
        <f>+'[10]faixa SM RTT+RTE+RTI'!U23</f>
        <v>30592.902545009994</v>
      </c>
      <c r="U18">
        <f>+'[10]faixa SM RTT+RTE+RTI'!V23</f>
        <v>9724.2530364100003</v>
      </c>
    </row>
    <row r="19" spans="2:21" x14ac:dyDescent="0.25">
      <c r="B19" t="str">
        <f>+'[10]faixa SM RTT+RTE+RTI'!C24</f>
        <v>De 160 a 240</v>
      </c>
      <c r="C19">
        <f>+'[10]faixa SM RTT+RTE+RTI'!D24</f>
        <v>29514</v>
      </c>
      <c r="D19">
        <f>+'[10]faixa SM RTT+RTE+RTI'!E24</f>
        <v>11650.078464499999</v>
      </c>
      <c r="E19">
        <f>+'[10]faixa SM RTT+RTE+RTI'!F24</f>
        <v>9268.3152078700004</v>
      </c>
      <c r="F19">
        <f>+'[10]faixa SM RTT+RTE+RTI'!G24</f>
        <v>39322.232708030002</v>
      </c>
      <c r="G19">
        <f>+'[10]faixa SM RTT+RTE+RTI'!H24</f>
        <v>387.46743534000007</v>
      </c>
      <c r="H19">
        <f>+'[10]faixa SM RTT+RTE+RTI'!I24</f>
        <v>52.345040640000008</v>
      </c>
      <c r="I19">
        <f>+'[10]faixa SM RTT+RTE+RTI'!J24</f>
        <v>37.400235240000001</v>
      </c>
      <c r="J19">
        <f>+'[10]faixa SM RTT+RTE+RTI'!K24</f>
        <v>394.09918267</v>
      </c>
      <c r="K19">
        <f>+'[10]faixa SM RTT+RTE+RTI'!L24</f>
        <v>750.80687376000003</v>
      </c>
      <c r="L19">
        <f>+'[10]faixa SM RTT+RTE+RTI'!M24</f>
        <v>114.63336907999999</v>
      </c>
      <c r="M19">
        <f>+'[10]faixa SM RTT+RTE+RTI'!N24</f>
        <v>117.08091929000001</v>
      </c>
      <c r="N19">
        <f>+'[10]faixa SM RTT+RTE+RTI'!O24</f>
        <v>9888.1497887499991</v>
      </c>
      <c r="O19">
        <f>+'[10]faixa SM RTT+RTE+RTI'!P24</f>
        <v>2505.4480861100001</v>
      </c>
      <c r="P19">
        <f>+'[10]faixa SM RTT+RTE+RTI'!Q24</f>
        <v>2136.2416185400002</v>
      </c>
      <c r="Q19">
        <f>+'[10]faixa SM RTT+RTE+RTI'!R24</f>
        <v>457.47562946999994</v>
      </c>
      <c r="R19">
        <f>+'[10]faixa SM RTT+RTE+RTI'!S24</f>
        <v>88.2691619</v>
      </c>
      <c r="S19">
        <f>+'[10]faixa SM RTT+RTE+RTI'!T24</f>
        <v>257115.76756741997</v>
      </c>
      <c r="T19">
        <f>+'[10]faixa SM RTT+RTE+RTI'!U24</f>
        <v>14435.037874950001</v>
      </c>
      <c r="U19">
        <f>+'[10]faixa SM RTT+RTE+RTI'!V24</f>
        <v>5297.2766649299992</v>
      </c>
    </row>
    <row r="20" spans="2:21" x14ac:dyDescent="0.25">
      <c r="B20" t="str">
        <f>+'[10]faixa SM RTT+RTE+RTI'!C25</f>
        <v>De 240 a 320</v>
      </c>
      <c r="C20">
        <f>+'[10]faixa SM RTT+RTE+RTI'!D25</f>
        <v>12635</v>
      </c>
      <c r="D20">
        <f>+'[10]faixa SM RTT+RTE+RTI'!E25</f>
        <v>6228.7957503999996</v>
      </c>
      <c r="E20">
        <f>+'[10]faixa SM RTT+RTE+RTI'!F25</f>
        <v>5972.3537227699999</v>
      </c>
      <c r="F20">
        <f>+'[10]faixa SM RTT+RTE+RTI'!G25</f>
        <v>24547.243084769998</v>
      </c>
      <c r="G20">
        <f>+'[10]faixa SM RTT+RTE+RTI'!H25</f>
        <v>163.59403065000001</v>
      </c>
      <c r="H20">
        <f>+'[10]faixa SM RTT+RTE+RTI'!I25</f>
        <v>22.725774120000001</v>
      </c>
      <c r="I20">
        <f>+'[10]faixa SM RTT+RTE+RTI'!J25</f>
        <v>15.618449140000001</v>
      </c>
      <c r="J20">
        <f>+'[10]faixa SM RTT+RTE+RTI'!K25</f>
        <v>180.49595668000001</v>
      </c>
      <c r="K20">
        <f>+'[10]faixa SM RTT+RTE+RTI'!L25</f>
        <v>581.82047207000005</v>
      </c>
      <c r="L20">
        <f>+'[10]faixa SM RTT+RTE+RTI'!M25</f>
        <v>55.344969559999996</v>
      </c>
      <c r="M20">
        <f>+'[10]faixa SM RTT+RTE+RTI'!N25</f>
        <v>52.00173856</v>
      </c>
      <c r="N20">
        <f>+'[10]faixa SM RTT+RTE+RTI'!O25</f>
        <v>5200.2389539400001</v>
      </c>
      <c r="O20">
        <f>+'[10]faixa SM RTT+RTE+RTI'!P25</f>
        <v>1335.2069691699999</v>
      </c>
      <c r="P20">
        <f>+'[10]faixa SM RTT+RTE+RTI'!Q25</f>
        <v>1144.92289211</v>
      </c>
      <c r="Q20">
        <f>+'[10]faixa SM RTT+RTE+RTI'!R25</f>
        <v>260.52890834999999</v>
      </c>
      <c r="R20">
        <f>+'[10]faixa SM RTT+RTE+RTI'!S25</f>
        <v>70.244831290000008</v>
      </c>
      <c r="S20">
        <f>+'[10]faixa SM RTT+RTE+RTI'!T25</f>
        <v>166280.62446091999</v>
      </c>
      <c r="T20">
        <f>+'[10]faixa SM RTT+RTE+RTI'!U25</f>
        <v>8190.6937489200009</v>
      </c>
      <c r="U20">
        <f>+'[10]faixa SM RTT+RTE+RTI'!V25</f>
        <v>3147.5478458800003</v>
      </c>
    </row>
    <row r="21" spans="2:21" x14ac:dyDescent="0.25">
      <c r="B21" t="str">
        <f>+'[10]faixa SM RTT+RTE+RTI'!C26</f>
        <v>Mais de 320</v>
      </c>
      <c r="C21">
        <f>+'[10]faixa SM RTT+RTE+RTI'!D26</f>
        <v>25785</v>
      </c>
      <c r="D21">
        <f>+'[10]faixa SM RTT+RTE+RTI'!E26</f>
        <v>28174.63316723</v>
      </c>
      <c r="E21">
        <f>+'[10]faixa SM RTT+RTE+RTI'!F26</f>
        <v>64739.675842559998</v>
      </c>
      <c r="F21">
        <f>+'[10]faixa SM RTT+RTE+RTI'!G26</f>
        <v>194652.79638779999</v>
      </c>
      <c r="G21">
        <f>+'[10]faixa SM RTT+RTE+RTI'!H26</f>
        <v>580.75852064000003</v>
      </c>
      <c r="H21">
        <f>+'[10]faixa SM RTT+RTE+RTI'!I26</f>
        <v>47.462718959999997</v>
      </c>
      <c r="I21">
        <f>+'[10]faixa SM RTT+RTE+RTI'!J26</f>
        <v>32.9142534</v>
      </c>
      <c r="J21">
        <f>+'[10]faixa SM RTT+RTE+RTI'!K26</f>
        <v>469.44114060000004</v>
      </c>
      <c r="K21">
        <f>+'[10]faixa SM RTT+RTE+RTI'!L26</f>
        <v>4650.7708748000005</v>
      </c>
      <c r="L21">
        <f>+'[10]faixa SM RTT+RTE+RTI'!M26</f>
        <v>211.61730970000002</v>
      </c>
      <c r="M21">
        <f>+'[10]faixa SM RTT+RTE+RTI'!N26</f>
        <v>102.33808615000001</v>
      </c>
      <c r="N21">
        <f>+'[10]faixa SM RTT+RTE+RTI'!O26</f>
        <v>22222.816447039997</v>
      </c>
      <c r="O21">
        <f>+'[10]faixa SM RTT+RTE+RTI'!P26</f>
        <v>5878.6306524000001</v>
      </c>
      <c r="P21">
        <f>+'[10]faixa SM RTT+RTE+RTI'!Q26</f>
        <v>4759.0746516599993</v>
      </c>
      <c r="Q21">
        <f>+'[10]faixa SM RTT+RTE+RTI'!R26</f>
        <v>1259.40665668</v>
      </c>
      <c r="R21">
        <f>+'[10]faixa SM RTT+RTE+RTI'!S26</f>
        <v>139.85065594000002</v>
      </c>
      <c r="S21">
        <f>+'[10]faixa SM RTT+RTE+RTI'!T26</f>
        <v>1352162.7683431699</v>
      </c>
      <c r="T21">
        <f>+'[10]faixa SM RTT+RTE+RTI'!U26</f>
        <v>57775.567024880002</v>
      </c>
      <c r="U21">
        <f>+'[10]faixa SM RTT+RTE+RTI'!V26</f>
        <v>37723.088621739997</v>
      </c>
    </row>
    <row r="22" spans="2:21" x14ac:dyDescent="0.25">
      <c r="B22" t="str">
        <f>+'[10]faixa SM RTT+RTE+RTI'!C27</f>
        <v xml:space="preserve">    Total</v>
      </c>
      <c r="C22">
        <f>+'[10]faixa SM RTT+RTE+RTI'!D27</f>
        <v>28003647</v>
      </c>
      <c r="D22">
        <f>+'[10]faixa SM RTT+RTE+RTI'!E27</f>
        <v>1620095.9527252202</v>
      </c>
      <c r="E22">
        <f>+'[10]faixa SM RTT+RTE+RTI'!F27</f>
        <v>281323.62379487004</v>
      </c>
      <c r="F22">
        <f>+'[10]faixa SM RTT+RTE+RTI'!G27</f>
        <v>844048.81657032017</v>
      </c>
      <c r="G22">
        <f>+'[10]faixa SM RTT+RTE+RTI'!H27</f>
        <v>79319.585608469992</v>
      </c>
      <c r="H22">
        <f>+'[10]faixa SM RTT+RTE+RTI'!I27</f>
        <v>41748.671258519993</v>
      </c>
      <c r="I22">
        <f>+'[10]faixa SM RTT+RTE+RTI'!J27</f>
        <v>21168.246094479997</v>
      </c>
      <c r="J22">
        <f>+'[10]faixa SM RTT+RTE+RTI'!K27</f>
        <v>70159.030394510002</v>
      </c>
      <c r="K22">
        <f>+'[10]faixa SM RTT+RTE+RTI'!L27</f>
        <v>17801.74828245</v>
      </c>
      <c r="L22">
        <f>+'[10]faixa SM RTT+RTE+RTI'!M27</f>
        <v>15072.04199568</v>
      </c>
      <c r="M22">
        <f>+'[10]faixa SM RTT+RTE+RTI'!N27</f>
        <v>124515.10263265</v>
      </c>
      <c r="N22">
        <f>+'[10]faixa SM RTT+RTE+RTI'!O27</f>
        <v>1265214.4716167001</v>
      </c>
      <c r="O22">
        <f>+'[10]faixa SM RTT+RTE+RTI'!P27</f>
        <v>153979.55569188998</v>
      </c>
      <c r="P22">
        <f>+'[10]faixa SM RTT+RTE+RTI'!Q27</f>
        <v>186520.68299322997</v>
      </c>
      <c r="Q22">
        <f>+'[10]faixa SM RTT+RTE+RTI'!R27</f>
        <v>18706.915287859996</v>
      </c>
      <c r="R22">
        <f>+'[10]faixa SM RTT+RTE+RTI'!S27</f>
        <v>51248.107723779991</v>
      </c>
      <c r="S22">
        <f>+'[10]faixa SM RTT+RTE+RTI'!T27</f>
        <v>8133638.665461299</v>
      </c>
      <c r="T22">
        <f>+'[10]faixa SM RTT+RTE+RTI'!U27</f>
        <v>609160.33513509994</v>
      </c>
      <c r="U22">
        <f>+'[10]faixa SM RTT+RTE+RTI'!V27</f>
        <v>84395.118583000003</v>
      </c>
    </row>
    <row r="25" spans="2:2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880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21" x14ac:dyDescent="0.25">
      <c r="B26" t="str">
        <f>+B5</f>
        <v>Até 1/2</v>
      </c>
      <c r="C26" s="1">
        <f>+D5+E5+F5-K5</f>
        <v>509.18412448000004</v>
      </c>
      <c r="D26" s="1">
        <f>+O5</f>
        <v>1.2188060000000001E-2</v>
      </c>
      <c r="E26">
        <f>+C5</f>
        <v>1304128</v>
      </c>
      <c r="F26" s="2">
        <f>+D26/C26</f>
        <v>2.3936449339316998E-5</v>
      </c>
      <c r="G26" s="1">
        <f>+C26*$H$18</f>
        <v>120166.73978628058</v>
      </c>
      <c r="I26">
        <f>+C26*1000000/$H$25</f>
        <v>578618.32327272731</v>
      </c>
      <c r="J26">
        <f>+I26/E26</f>
        <v>0.44368215640851766</v>
      </c>
      <c r="K26">
        <f>+J26/12</f>
        <v>3.6973513034043136E-2</v>
      </c>
      <c r="N26">
        <f>+C26*1000000/E26</f>
        <v>390.4402976394955</v>
      </c>
      <c r="O26" s="3">
        <f>+F26</f>
        <v>2.3936449339316998E-5</v>
      </c>
    </row>
    <row r="27" spans="2:21" x14ac:dyDescent="0.25">
      <c r="B27" t="str">
        <f t="shared" ref="B27:B43" si="0">+B6</f>
        <v>De 1/2 a 1</v>
      </c>
      <c r="C27" s="1">
        <f t="shared" ref="C27:C43" si="1">+D6+E6+F6-K6</f>
        <v>5622.0727579800005</v>
      </c>
      <c r="D27" s="1">
        <f t="shared" ref="D27:D43" si="2">+O6</f>
        <v>0.12367</v>
      </c>
      <c r="E27">
        <f t="shared" ref="E27:E43" si="3">+C6</f>
        <v>588273</v>
      </c>
      <c r="F27" s="2">
        <f t="shared" ref="F27:F43" si="4">+D27/C27</f>
        <v>2.1997225102514394E-5</v>
      </c>
      <c r="G27" s="1">
        <f t="shared" ref="G27:G43" si="5">+C27*$H$18</f>
        <v>1326801.291885634</v>
      </c>
      <c r="I27">
        <f t="shared" ref="I27:I43" si="6">+C27*1000000/$H$25</f>
        <v>6388719.0431590918</v>
      </c>
      <c r="J27">
        <f t="shared" ref="J27:J43" si="7">+I27/E27</f>
        <v>10.860126239278518</v>
      </c>
      <c r="K27">
        <f t="shared" ref="K27:K43" si="8">+J27/12</f>
        <v>0.90501051993987647</v>
      </c>
      <c r="N27">
        <f t="shared" ref="N27:N43" si="9">+C27*1000000/E27</f>
        <v>9556.9110905650959</v>
      </c>
      <c r="O27" s="3">
        <f t="shared" ref="O27:O43" si="10">+F27</f>
        <v>2.1997225102514394E-5</v>
      </c>
    </row>
    <row r="28" spans="2:21" x14ac:dyDescent="0.25">
      <c r="B28" t="str">
        <f t="shared" si="0"/>
        <v>De 1 a 2</v>
      </c>
      <c r="C28" s="1">
        <f t="shared" si="1"/>
        <v>21946.903487560005</v>
      </c>
      <c r="D28" s="1">
        <f t="shared" si="2"/>
        <v>0.66146938</v>
      </c>
      <c r="E28">
        <f t="shared" si="3"/>
        <v>1360094</v>
      </c>
      <c r="F28" s="2">
        <f t="shared" si="4"/>
        <v>3.0139531090339719E-5</v>
      </c>
      <c r="G28" s="1">
        <f t="shared" si="5"/>
        <v>5179438.4657957368</v>
      </c>
      <c r="I28">
        <f t="shared" si="6"/>
        <v>24939663.054045461</v>
      </c>
      <c r="J28">
        <f t="shared" si="7"/>
        <v>18.336720148787851</v>
      </c>
      <c r="K28">
        <f t="shared" si="8"/>
        <v>1.5280600123989876</v>
      </c>
      <c r="N28">
        <f t="shared" si="9"/>
        <v>16136.313730933307</v>
      </c>
      <c r="O28" s="3">
        <f t="shared" si="10"/>
        <v>3.0139531090339719E-5</v>
      </c>
    </row>
    <row r="29" spans="2:21" x14ac:dyDescent="0.25">
      <c r="B29" t="str">
        <f t="shared" si="0"/>
        <v>De 2 a 3</v>
      </c>
      <c r="C29" s="1">
        <f t="shared" si="1"/>
        <v>108756.75504692001</v>
      </c>
      <c r="D29" s="1">
        <f t="shared" si="2"/>
        <v>27.00385344</v>
      </c>
      <c r="E29">
        <f t="shared" si="3"/>
        <v>3994153</v>
      </c>
      <c r="F29" s="2">
        <f t="shared" si="4"/>
        <v>2.482958730089911E-4</v>
      </c>
      <c r="G29" s="1">
        <f t="shared" si="5"/>
        <v>25666441.775006328</v>
      </c>
      <c r="I29">
        <f t="shared" si="6"/>
        <v>123587221.64422728</v>
      </c>
      <c r="J29">
        <f t="shared" si="7"/>
        <v>30.94203493061665</v>
      </c>
      <c r="K29">
        <f t="shared" si="8"/>
        <v>2.5785029108847208</v>
      </c>
      <c r="N29">
        <f t="shared" si="9"/>
        <v>27228.990738942652</v>
      </c>
      <c r="O29" s="3">
        <f t="shared" si="10"/>
        <v>2.482958730089911E-4</v>
      </c>
    </row>
    <row r="30" spans="2:21" x14ac:dyDescent="0.25">
      <c r="B30" t="str">
        <f t="shared" si="0"/>
        <v>De 3 a 5</v>
      </c>
      <c r="C30" s="1">
        <f t="shared" si="1"/>
        <v>313600.36937548994</v>
      </c>
      <c r="D30" s="1">
        <f t="shared" si="2"/>
        <v>2796.2595517</v>
      </c>
      <c r="E30">
        <f t="shared" si="3"/>
        <v>7605675</v>
      </c>
      <c r="F30" s="2">
        <f t="shared" si="4"/>
        <v>8.9166334761292768E-3</v>
      </c>
      <c r="G30" s="1">
        <f t="shared" si="5"/>
        <v>74009247.680513963</v>
      </c>
      <c r="I30">
        <f t="shared" si="6"/>
        <v>356364056.10851127</v>
      </c>
      <c r="J30">
        <f t="shared" si="7"/>
        <v>46.85502024587052</v>
      </c>
      <c r="K30">
        <f t="shared" si="8"/>
        <v>3.9045850204892099</v>
      </c>
      <c r="N30">
        <f t="shared" si="9"/>
        <v>41232.417816366062</v>
      </c>
      <c r="O30" s="3">
        <f t="shared" si="10"/>
        <v>8.9166334761292768E-3</v>
      </c>
    </row>
    <row r="31" spans="2:21" x14ac:dyDescent="0.25">
      <c r="B31" t="str">
        <f t="shared" si="0"/>
        <v>De 5 a 7</v>
      </c>
      <c r="C31" s="1">
        <f t="shared" si="1"/>
        <v>262114.91877111004</v>
      </c>
      <c r="D31" s="1">
        <f t="shared" si="2"/>
        <v>6862.5226710400002</v>
      </c>
      <c r="E31">
        <f t="shared" si="3"/>
        <v>4219050</v>
      </c>
      <c r="F31" s="2">
        <f t="shared" si="4"/>
        <v>2.6181350925059892E-2</v>
      </c>
      <c r="G31" s="1">
        <f t="shared" si="5"/>
        <v>61858753.491650201</v>
      </c>
      <c r="I31">
        <f t="shared" si="6"/>
        <v>297857862.23989779</v>
      </c>
      <c r="J31">
        <f t="shared" si="7"/>
        <v>70.598324798212346</v>
      </c>
      <c r="K31">
        <f t="shared" si="8"/>
        <v>5.8831937331843625</v>
      </c>
      <c r="N31">
        <f t="shared" si="9"/>
        <v>62126.525822426862</v>
      </c>
      <c r="O31" s="3">
        <f t="shared" si="10"/>
        <v>2.6181350925059892E-2</v>
      </c>
    </row>
    <row r="32" spans="2:21" x14ac:dyDescent="0.25">
      <c r="B32" t="str">
        <f t="shared" si="0"/>
        <v>De 7 a 10</v>
      </c>
      <c r="C32" s="1">
        <f t="shared" si="1"/>
        <v>280365.06395651994</v>
      </c>
      <c r="D32" s="1">
        <f t="shared" si="2"/>
        <v>13964.630746500003</v>
      </c>
      <c r="E32">
        <f t="shared" si="3"/>
        <v>3202633</v>
      </c>
      <c r="F32" s="2">
        <f t="shared" si="4"/>
        <v>4.9808740609228297E-2</v>
      </c>
      <c r="G32" s="1">
        <f t="shared" si="5"/>
        <v>66165762.178923465</v>
      </c>
      <c r="I32">
        <f t="shared" si="6"/>
        <v>318596663.58695447</v>
      </c>
      <c r="J32">
        <f t="shared" si="7"/>
        <v>99.479604309002767</v>
      </c>
      <c r="K32">
        <f t="shared" si="8"/>
        <v>8.2899670257502311</v>
      </c>
      <c r="N32">
        <f t="shared" si="9"/>
        <v>87542.051791922451</v>
      </c>
      <c r="O32" s="3">
        <f t="shared" si="10"/>
        <v>4.9808740609228297E-2</v>
      </c>
    </row>
    <row r="33" spans="2:15" x14ac:dyDescent="0.25">
      <c r="B33" t="str">
        <f t="shared" si="0"/>
        <v>De 10 a 15</v>
      </c>
      <c r="C33" s="1">
        <f t="shared" si="1"/>
        <v>311728.59552890999</v>
      </c>
      <c r="D33" s="1">
        <f t="shared" si="2"/>
        <v>24781.567428510003</v>
      </c>
      <c r="E33">
        <f t="shared" si="3"/>
        <v>2441109</v>
      </c>
      <c r="F33" s="2">
        <f t="shared" si="4"/>
        <v>7.9497254290910049E-2</v>
      </c>
      <c r="G33" s="1">
        <f t="shared" si="5"/>
        <v>73567511.675899833</v>
      </c>
      <c r="I33">
        <f t="shared" si="6"/>
        <v>354237040.37376136</v>
      </c>
      <c r="J33">
        <f t="shared" si="7"/>
        <v>145.11315978670405</v>
      </c>
      <c r="K33">
        <f t="shared" si="8"/>
        <v>12.09276331555867</v>
      </c>
      <c r="N33">
        <f t="shared" si="9"/>
        <v>127699.58061229956</v>
      </c>
      <c r="O33" s="3">
        <f t="shared" si="10"/>
        <v>7.9497254290910049E-2</v>
      </c>
    </row>
    <row r="34" spans="2:15" x14ac:dyDescent="0.25">
      <c r="B34" t="str">
        <f t="shared" si="0"/>
        <v>De 15 a 20</v>
      </c>
      <c r="C34" s="1">
        <f t="shared" si="1"/>
        <v>202795.00109050999</v>
      </c>
      <c r="D34" s="1">
        <f t="shared" si="2"/>
        <v>19690.858338270002</v>
      </c>
      <c r="E34">
        <f t="shared" si="3"/>
        <v>1121037</v>
      </c>
      <c r="F34" s="2">
        <f t="shared" si="4"/>
        <v>9.7097355617171852E-2</v>
      </c>
      <c r="G34" s="1">
        <f t="shared" si="5"/>
        <v>47859336.052334026</v>
      </c>
      <c r="I34">
        <f t="shared" si="6"/>
        <v>230448864.87557954</v>
      </c>
      <c r="J34">
        <f t="shared" si="7"/>
        <v>205.56758151209954</v>
      </c>
      <c r="K34">
        <f t="shared" si="8"/>
        <v>17.130631792674961</v>
      </c>
      <c r="N34">
        <f t="shared" si="9"/>
        <v>180899.47173064758</v>
      </c>
      <c r="O34" s="3">
        <f t="shared" si="10"/>
        <v>9.7097355617171852E-2</v>
      </c>
    </row>
    <row r="35" spans="2:15" x14ac:dyDescent="0.25">
      <c r="B35" t="str">
        <f t="shared" si="0"/>
        <v>De 20 a 30</v>
      </c>
      <c r="C35" s="1">
        <f t="shared" si="1"/>
        <v>264477.64802345994</v>
      </c>
      <c r="D35" s="1">
        <f t="shared" si="2"/>
        <v>27619.600207700001</v>
      </c>
      <c r="E35">
        <f t="shared" si="3"/>
        <v>1038518</v>
      </c>
      <c r="F35" s="2">
        <f t="shared" si="4"/>
        <v>0.10443075403200069</v>
      </c>
      <c r="G35" s="1">
        <f t="shared" si="5"/>
        <v>62416354.283981495</v>
      </c>
      <c r="I35">
        <f t="shared" si="6"/>
        <v>300542781.84484082</v>
      </c>
      <c r="J35">
        <f t="shared" si="7"/>
        <v>289.39583314380764</v>
      </c>
      <c r="K35">
        <f t="shared" si="8"/>
        <v>24.116319428650637</v>
      </c>
      <c r="N35">
        <f t="shared" si="9"/>
        <v>254668.33316655073</v>
      </c>
      <c r="O35" s="3">
        <f t="shared" si="10"/>
        <v>0.10443075403200069</v>
      </c>
    </row>
    <row r="36" spans="2:15" x14ac:dyDescent="0.25">
      <c r="B36" t="str">
        <f t="shared" si="0"/>
        <v>De 30 a 40</v>
      </c>
      <c r="C36" s="1">
        <f t="shared" si="1"/>
        <v>161941.89869068001</v>
      </c>
      <c r="D36" s="1">
        <f t="shared" si="2"/>
        <v>16701.087346730001</v>
      </c>
      <c r="E36">
        <f t="shared" si="3"/>
        <v>449733</v>
      </c>
      <c r="F36" s="2">
        <f t="shared" si="4"/>
        <v>0.1031301193931918</v>
      </c>
      <c r="G36" s="1">
        <f t="shared" si="5"/>
        <v>38218061.139145978</v>
      </c>
      <c r="I36">
        <f t="shared" si="6"/>
        <v>184024884.87577274</v>
      </c>
      <c r="J36">
        <f t="shared" si="7"/>
        <v>409.18697288340582</v>
      </c>
      <c r="K36">
        <f t="shared" si="8"/>
        <v>34.098914406950485</v>
      </c>
      <c r="N36">
        <f t="shared" si="9"/>
        <v>360084.53613739711</v>
      </c>
      <c r="O36" s="3">
        <f t="shared" si="10"/>
        <v>0.1031301193931918</v>
      </c>
    </row>
    <row r="37" spans="2:15" x14ac:dyDescent="0.25">
      <c r="B37" t="str">
        <f t="shared" si="0"/>
        <v>De 40 a 60</v>
      </c>
      <c r="C37" s="1">
        <f t="shared" si="1"/>
        <v>178513.81359459</v>
      </c>
      <c r="D37" s="1">
        <f t="shared" si="2"/>
        <v>16547.303729020001</v>
      </c>
      <c r="E37">
        <f t="shared" si="3"/>
        <v>354401</v>
      </c>
      <c r="F37" s="2">
        <f t="shared" si="4"/>
        <v>9.2694808294216391E-2</v>
      </c>
      <c r="G37" s="1">
        <f t="shared" si="5"/>
        <v>42129009.831924312</v>
      </c>
      <c r="I37">
        <f t="shared" si="6"/>
        <v>202856606.35748863</v>
      </c>
      <c r="J37">
        <f t="shared" si="7"/>
        <v>572.39287236065536</v>
      </c>
      <c r="K37">
        <f t="shared" si="8"/>
        <v>47.699406030054611</v>
      </c>
      <c r="N37">
        <f t="shared" si="9"/>
        <v>503705.72767737677</v>
      </c>
      <c r="O37" s="3">
        <f t="shared" si="10"/>
        <v>9.2694808294216391E-2</v>
      </c>
    </row>
    <row r="38" spans="2:15" x14ac:dyDescent="0.25">
      <c r="B38" t="str">
        <f t="shared" si="0"/>
        <v>De 60 a 80</v>
      </c>
      <c r="C38" s="1">
        <f t="shared" si="1"/>
        <v>91819.48057639999</v>
      </c>
      <c r="D38" s="1">
        <f t="shared" si="2"/>
        <v>6960.4051855099997</v>
      </c>
      <c r="E38">
        <f t="shared" si="3"/>
        <v>127976</v>
      </c>
      <c r="F38" s="2">
        <f t="shared" si="4"/>
        <v>7.5805320851477412E-2</v>
      </c>
      <c r="G38" s="1">
        <f t="shared" si="5"/>
        <v>21669268.736537535</v>
      </c>
      <c r="I38">
        <f t="shared" si="6"/>
        <v>104340318.83681817</v>
      </c>
      <c r="J38">
        <f t="shared" si="7"/>
        <v>815.31161183986194</v>
      </c>
      <c r="K38">
        <f t="shared" si="8"/>
        <v>67.9426343199885</v>
      </c>
      <c r="N38">
        <f t="shared" si="9"/>
        <v>717474.2184190785</v>
      </c>
      <c r="O38" s="3">
        <f t="shared" si="10"/>
        <v>7.5805320851477412E-2</v>
      </c>
    </row>
    <row r="39" spans="2:15" x14ac:dyDescent="0.25">
      <c r="B39" t="str">
        <f t="shared" si="0"/>
        <v>De 80 a 160</v>
      </c>
      <c r="C39" s="1">
        <f t="shared" si="1"/>
        <v>144902.21366804998</v>
      </c>
      <c r="D39" s="1">
        <f t="shared" si="2"/>
        <v>8308.2335983499997</v>
      </c>
      <c r="E39">
        <f t="shared" si="3"/>
        <v>128933</v>
      </c>
      <c r="F39" s="2">
        <f t="shared" si="4"/>
        <v>5.7336830045833266E-2</v>
      </c>
      <c r="G39" s="1">
        <f t="shared" si="5"/>
        <v>34196719.353901468</v>
      </c>
      <c r="I39">
        <f t="shared" si="6"/>
        <v>164661606.44096589</v>
      </c>
      <c r="J39">
        <f t="shared" si="7"/>
        <v>1277.1098666824312</v>
      </c>
      <c r="K39">
        <f t="shared" si="8"/>
        <v>106.42582222353593</v>
      </c>
      <c r="N39">
        <f t="shared" si="9"/>
        <v>1123856.6826805393</v>
      </c>
      <c r="O39" s="3">
        <f t="shared" si="10"/>
        <v>5.7336830045833266E-2</v>
      </c>
    </row>
    <row r="40" spans="2:15" x14ac:dyDescent="0.25">
      <c r="B40" t="str">
        <f t="shared" si="0"/>
        <v>De 160 a 240</v>
      </c>
      <c r="C40" s="1">
        <f t="shared" si="1"/>
        <v>59489.819506640008</v>
      </c>
      <c r="D40" s="1">
        <f t="shared" si="2"/>
        <v>2505.4480861100001</v>
      </c>
      <c r="E40">
        <f t="shared" si="3"/>
        <v>29514</v>
      </c>
      <c r="F40" s="2">
        <f t="shared" si="4"/>
        <v>4.2115577201076435E-2</v>
      </c>
      <c r="G40" s="1">
        <f t="shared" si="5"/>
        <v>14039514.032154391</v>
      </c>
      <c r="I40">
        <f t="shared" si="6"/>
        <v>67602067.621181831</v>
      </c>
      <c r="J40">
        <f t="shared" si="7"/>
        <v>2290.5084916033688</v>
      </c>
      <c r="K40">
        <f t="shared" si="8"/>
        <v>190.87570763361407</v>
      </c>
      <c r="N40">
        <f t="shared" si="9"/>
        <v>2015647.4726109644</v>
      </c>
      <c r="O40" s="3">
        <f t="shared" si="10"/>
        <v>4.2115577201076435E-2</v>
      </c>
    </row>
    <row r="41" spans="2:15" x14ac:dyDescent="0.25">
      <c r="B41" t="str">
        <f t="shared" si="0"/>
        <v>De 240 a 320</v>
      </c>
      <c r="C41" s="1">
        <f t="shared" si="1"/>
        <v>36166.572085869993</v>
      </c>
      <c r="D41" s="1">
        <f t="shared" si="2"/>
        <v>1335.2069691699999</v>
      </c>
      <c r="E41">
        <f t="shared" si="3"/>
        <v>12635</v>
      </c>
      <c r="F41" s="2">
        <f t="shared" si="4"/>
        <v>3.6918261592495664E-2</v>
      </c>
      <c r="G41" s="1">
        <f t="shared" si="5"/>
        <v>8535260.326984534</v>
      </c>
      <c r="I41">
        <f t="shared" si="6"/>
        <v>41098377.370306812</v>
      </c>
      <c r="J41">
        <f t="shared" si="7"/>
        <v>3252.7405912391619</v>
      </c>
      <c r="K41">
        <f t="shared" si="8"/>
        <v>271.06171593659684</v>
      </c>
      <c r="N41">
        <f t="shared" si="9"/>
        <v>2862411.7202904625</v>
      </c>
      <c r="O41" s="3">
        <f t="shared" si="10"/>
        <v>3.6918261592495664E-2</v>
      </c>
    </row>
    <row r="42" spans="2:15" x14ac:dyDescent="0.25">
      <c r="B42" t="str">
        <f t="shared" si="0"/>
        <v>Mais de 320</v>
      </c>
      <c r="C42" s="1">
        <f t="shared" si="1"/>
        <v>282916.33452278998</v>
      </c>
      <c r="D42" s="1">
        <f t="shared" si="2"/>
        <v>5878.6306524000001</v>
      </c>
      <c r="E42">
        <f t="shared" si="3"/>
        <v>25785</v>
      </c>
      <c r="F42" s="2">
        <f t="shared" si="4"/>
        <v>2.0778689439462018E-2</v>
      </c>
      <c r="G42" s="1">
        <f t="shared" si="5"/>
        <v>66767858.457110576</v>
      </c>
      <c r="I42">
        <f t="shared" si="6"/>
        <v>321495834.68498862</v>
      </c>
      <c r="J42">
        <f t="shared" si="7"/>
        <v>12468.327891603205</v>
      </c>
      <c r="K42">
        <f t="shared" si="8"/>
        <v>1039.0273243002671</v>
      </c>
      <c r="N42">
        <f t="shared" si="9"/>
        <v>10972128.544610819</v>
      </c>
      <c r="O42" s="3">
        <f t="shared" si="10"/>
        <v>2.0778689439462018E-2</v>
      </c>
    </row>
    <row r="43" spans="2:15" x14ac:dyDescent="0.25">
      <c r="B43" t="str">
        <f t="shared" si="0"/>
        <v xml:space="preserve">    Total</v>
      </c>
      <c r="C43" s="1">
        <f t="shared" si="1"/>
        <v>2727666.6448079604</v>
      </c>
      <c r="D43" s="1">
        <f t="shared" si="2"/>
        <v>153979.55569188998</v>
      </c>
      <c r="E43">
        <f t="shared" si="3"/>
        <v>28003647</v>
      </c>
      <c r="F43" s="2">
        <f t="shared" si="4"/>
        <v>5.6451016837041249E-2</v>
      </c>
      <c r="G43" s="1">
        <f t="shared" si="5"/>
        <v>643725505.51353586</v>
      </c>
      <c r="I43">
        <f t="shared" si="6"/>
        <v>3099621187.2817731</v>
      </c>
      <c r="J43">
        <f t="shared" si="7"/>
        <v>110.68633979287674</v>
      </c>
      <c r="K43">
        <f t="shared" si="8"/>
        <v>9.2238616494063947</v>
      </c>
      <c r="N43">
        <f t="shared" si="9"/>
        <v>97403.97901773153</v>
      </c>
      <c r="O43" s="3">
        <f t="shared" si="10"/>
        <v>5.6451016837041249E-2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43"/>
  <sheetViews>
    <sheetView topLeftCell="A16" workbookViewId="0">
      <selection activeCell="L10" sqref="L10"/>
    </sheetView>
  </sheetViews>
  <sheetFormatPr baseColWidth="10" defaultColWidth="8.85546875" defaultRowHeight="15" x14ac:dyDescent="0.25"/>
  <cols>
    <col min="15" max="15" width="10.28515625" customWidth="1"/>
  </cols>
  <sheetData>
    <row r="2" spans="2:21" x14ac:dyDescent="0.25">
      <c r="B2" t="str">
        <f>+'[11]faixa SM RTT+RTE+RTI'!B6</f>
        <v>Tabela 9 - Resumo das Declarações Por Faixa de Rendimentos Totais (em salários mínimos)</v>
      </c>
      <c r="C2">
        <f>+'[11]faixa SM RTT+RTE+RTI'!C6</f>
        <v>0</v>
      </c>
      <c r="D2">
        <f>+'[11]faixa SM RTT+RTE+RTI'!D6</f>
        <v>0</v>
      </c>
      <c r="E2">
        <f>+'[11]faixa SM RTT+RTE+RTI'!E6</f>
        <v>0</v>
      </c>
      <c r="F2">
        <f>+'[11]faixa SM RTT+RTE+RTI'!F6</f>
        <v>0</v>
      </c>
      <c r="G2">
        <f>+'[11]faixa SM RTT+RTE+RTI'!G6</f>
        <v>0</v>
      </c>
      <c r="H2">
        <f>+'[11]faixa SM RTT+RTE+RTI'!H6</f>
        <v>0</v>
      </c>
      <c r="I2">
        <f>+'[11]faixa SM RTT+RTE+RTI'!I6</f>
        <v>0</v>
      </c>
      <c r="J2">
        <f>+'[11]faixa SM RTT+RTE+RTI'!J6</f>
        <v>0</v>
      </c>
      <c r="K2">
        <f>+'[11]faixa SM RTT+RTE+RTI'!K6</f>
        <v>0</v>
      </c>
      <c r="L2">
        <f>+'[11]faixa SM RTT+RTE+RTI'!L6</f>
        <v>0</v>
      </c>
      <c r="M2">
        <f>+'[11]faixa SM RTT+RTE+RTI'!M6</f>
        <v>0</v>
      </c>
      <c r="N2">
        <f>+'[11]faixa SM RTT+RTE+RTI'!N6</f>
        <v>0</v>
      </c>
      <c r="O2">
        <f>+'[11]faixa SM RTT+RTE+RTI'!O6</f>
        <v>0</v>
      </c>
      <c r="P2">
        <f>+'[11]faixa SM RTT+RTE+RTI'!P6</f>
        <v>0</v>
      </c>
      <c r="Q2">
        <f>+'[11]faixa SM RTT+RTE+RTI'!Q6</f>
        <v>0</v>
      </c>
      <c r="R2">
        <f>+'[11]faixa SM RTT+RTE+RTI'!R6</f>
        <v>0</v>
      </c>
      <c r="S2">
        <f>+'[11]faixa SM RTT+RTE+RTI'!S6</f>
        <v>0</v>
      </c>
      <c r="T2">
        <f>+'[11]faixa SM RTT+RTE+RTI'!T6</f>
        <v>0</v>
      </c>
      <c r="U2" t="str">
        <f>+'[11]faixa SM RTT+RTE+RTI'!U6</f>
        <v>Valores R$ milhões</v>
      </c>
    </row>
    <row r="3" spans="2:21" x14ac:dyDescent="0.25">
      <c r="B3" t="str">
        <f>+'[11]faixa SM RTT+RTE+RTI'!B7</f>
        <v>Faixa de Salário Mín. Mensal</v>
      </c>
      <c r="C3" t="str">
        <f>+'[11]faixa SM RTT+RTE+RTI'!C7</f>
        <v>Qtde Declarantes</v>
      </c>
      <c r="D3" t="str">
        <f>+'[11]faixa SM RTT+RTE+RTI'!D7</f>
        <v>Rendim. Tribut.</v>
      </c>
      <c r="E3" t="str">
        <f>+'[11]faixa SM RTT+RTE+RTI'!E7</f>
        <v>Rendim. Tribut. Exclus.</v>
      </c>
      <c r="F3" t="str">
        <f>+'[11]faixa SM RTT+RTE+RTI'!F7</f>
        <v>Rendim. Isentos</v>
      </c>
      <c r="G3" t="str">
        <f>+'[11]faixa SM RTT+RTE+RTI'!G7</f>
        <v>DEDUÇÕES</v>
      </c>
      <c r="H3">
        <f>+'[11]faixa SM RTT+RTE+RTI'!H7</f>
        <v>0</v>
      </c>
      <c r="I3">
        <f>+'[11]faixa SM RTT+RTE+RTI'!I7</f>
        <v>0</v>
      </c>
      <c r="J3">
        <f>+'[11]faixa SM RTT+RTE+RTI'!J7</f>
        <v>0</v>
      </c>
      <c r="K3">
        <f>+'[11]faixa SM RTT+RTE+RTI'!K7</f>
        <v>0</v>
      </c>
      <c r="L3">
        <f>+'[11]faixa SM RTT+RTE+RTI'!L7</f>
        <v>0</v>
      </c>
      <c r="M3">
        <f>+'[11]faixa SM RTT+RTE+RTI'!M7</f>
        <v>0</v>
      </c>
      <c r="N3" t="str">
        <f>+'[11]faixa SM RTT+RTE+RTI'!N7</f>
        <v>Base de Cálculo (RTL)</v>
      </c>
      <c r="O3" t="str">
        <f>+'[11]faixa SM RTT+RTE+RTI'!O7</f>
        <v>Imposto Devido</v>
      </c>
      <c r="P3" t="str">
        <f>+'[11]faixa SM RTT+RTE+RTI'!P7</f>
        <v>Imposto Pago</v>
      </c>
      <c r="Q3" t="str">
        <f>+'[11]faixa SM RTT+RTE+RTI'!Q7</f>
        <v>Imposto a Pagar</v>
      </c>
      <c r="R3" t="str">
        <f>+'[11]faixa SM RTT+RTE+RTI'!R7</f>
        <v>Imposto a Restituir</v>
      </c>
      <c r="S3" t="str">
        <f>+'[11]faixa SM RTT+RTE+RTI'!S7</f>
        <v>Bens e Direitos</v>
      </c>
      <c r="T3" t="str">
        <f>+'[11]faixa SM RTT+RTE+RTI'!T7</f>
        <v>Dívidas e Ônus</v>
      </c>
      <c r="U3" t="str">
        <f>+'[11]faixa SM RTT+RTE+RTI'!U7</f>
        <v>Doações e Heranças</v>
      </c>
    </row>
    <row r="4" spans="2:21" x14ac:dyDescent="0.25">
      <c r="B4">
        <f>+'[11]faixa SM RTT+RTE+RTI'!B8</f>
        <v>0</v>
      </c>
      <c r="C4">
        <f>+'[11]faixa SM RTT+RTE+RTI'!C8</f>
        <v>0</v>
      </c>
      <c r="D4">
        <f>+'[11]faixa SM RTT+RTE+RTI'!D8</f>
        <v>0</v>
      </c>
      <c r="E4">
        <f>+'[11]faixa SM RTT+RTE+RTI'!E8</f>
        <v>0</v>
      </c>
      <c r="F4">
        <f>+'[11]faixa SM RTT+RTE+RTI'!F8</f>
        <v>0</v>
      </c>
      <c r="G4" t="str">
        <f>+'[11]faixa SM RTT+RTE+RTI'!G8</f>
        <v>Contrib. Previden.</v>
      </c>
      <c r="H4" t="str">
        <f>+'[11]faixa SM RTT+RTE+RTI'!H8</f>
        <v>Dependentes</v>
      </c>
      <c r="I4" t="str">
        <f>+'[11]faixa SM RTT+RTE+RTI'!I8</f>
        <v>Instrução</v>
      </c>
      <c r="J4" t="str">
        <f>+'[11]faixa SM RTT+RTE+RTI'!J8</f>
        <v>Médicas</v>
      </c>
      <c r="K4" t="str">
        <f>+'[11]faixa SM RTT+RTE+RTI'!K8</f>
        <v>Livro Caixa</v>
      </c>
      <c r="L4" t="str">
        <f>+'[11]faixa SM RTT+RTE+RTI'!L8</f>
        <v>Pensão Aliment.</v>
      </c>
      <c r="M4" t="str">
        <f>+'[11]faixa SM RTT+RTE+RTI'!M8</f>
        <v>Desc. Padrão</v>
      </c>
      <c r="N4">
        <f>+'[11]faixa SM RTT+RTE+RTI'!N8</f>
        <v>0</v>
      </c>
      <c r="O4">
        <f>+'[11]faixa SM RTT+RTE+RTI'!O8</f>
        <v>0</v>
      </c>
      <c r="P4">
        <f>+'[11]faixa SM RTT+RTE+RTI'!P8</f>
        <v>0</v>
      </c>
      <c r="Q4">
        <f>+'[11]faixa SM RTT+RTE+RTI'!Q8</f>
        <v>0</v>
      </c>
      <c r="R4">
        <f>+'[11]faixa SM RTT+RTE+RTI'!R8</f>
        <v>0</v>
      </c>
      <c r="S4">
        <f>+'[11]faixa SM RTT+RTE+RTI'!S8</f>
        <v>0</v>
      </c>
      <c r="T4">
        <f>+'[11]faixa SM RTT+RTE+RTI'!T8</f>
        <v>0</v>
      </c>
      <c r="U4">
        <f>+'[11]faixa SM RTT+RTE+RTI'!U8</f>
        <v>0</v>
      </c>
    </row>
    <row r="5" spans="2:21" x14ac:dyDescent="0.25">
      <c r="B5" t="str">
        <f>+'[11]faixa SM RTT+RTE+RTI'!B9</f>
        <v>Até 1/2</v>
      </c>
      <c r="C5">
        <f>+'[11]faixa SM RTT+RTE+RTI'!C9</f>
        <v>1351834</v>
      </c>
      <c r="D5">
        <f>+'[11]faixa SM RTT+RTE+RTI'!D9</f>
        <v>381.39107942999999</v>
      </c>
      <c r="E5">
        <f>+'[11]faixa SM RTT+RTE+RTI'!E9</f>
        <v>79.543294790000004</v>
      </c>
      <c r="F5">
        <f>+'[11]faixa SM RTT+RTE+RTI'!F9</f>
        <v>168.87043861000001</v>
      </c>
      <c r="G5">
        <f>+'[11]faixa SM RTT+RTE+RTI'!G9</f>
        <v>167.01551390000003</v>
      </c>
      <c r="H5">
        <f>+'[11]faixa SM RTT+RTE+RTI'!H9</f>
        <v>370.6219074</v>
      </c>
      <c r="I5">
        <f>+'[11]faixa SM RTT+RTE+RTI'!I9</f>
        <v>26.316180249999999</v>
      </c>
      <c r="J5">
        <f>+'[11]faixa SM RTT+RTE+RTI'!J9</f>
        <v>126.71215635</v>
      </c>
      <c r="K5">
        <f>+'[11]faixa SM RTT+RTE+RTI'!K9</f>
        <v>0.19177763</v>
      </c>
      <c r="L5">
        <f>+'[11]faixa SM RTT+RTE+RTI'!L9</f>
        <v>27.770347999999998</v>
      </c>
      <c r="M5">
        <f>+'[11]faixa SM RTT+RTE+RTI'!M9</f>
        <v>43.820324190000001</v>
      </c>
      <c r="N5">
        <f>+'[11]faixa SM RTT+RTE+RTI'!N9</f>
        <v>300.36613454999997</v>
      </c>
      <c r="O5">
        <f>+'[11]faixa SM RTT+RTE+RTI'!O9</f>
        <v>3.1224620000000002E-2</v>
      </c>
      <c r="P5">
        <f>+'[11]faixa SM RTT+RTE+RTI'!P9</f>
        <v>10515.910895199999</v>
      </c>
      <c r="Q5">
        <f>+'[11]faixa SM RTT+RTE+RTI'!Q9</f>
        <v>9.7036500000000012E-3</v>
      </c>
      <c r="R5">
        <f>+'[11]faixa SM RTT+RTE+RTI'!R9</f>
        <v>10515.889374229999</v>
      </c>
      <c r="S5">
        <f>+'[11]faixa SM RTT+RTE+RTI'!S9</f>
        <v>225223.61899138999</v>
      </c>
      <c r="T5">
        <f>+'[11]faixa SM RTT+RTE+RTI'!T9</f>
        <v>35098.29732392</v>
      </c>
      <c r="U5">
        <f>+'[11]faixa SM RTT+RTE+RTI'!U9</f>
        <v>3.03380793</v>
      </c>
    </row>
    <row r="6" spans="2:21" x14ac:dyDescent="0.25">
      <c r="B6" t="str">
        <f>+'[11]faixa SM RTT+RTE+RTI'!B10</f>
        <v>De 1/2 a 1</v>
      </c>
      <c r="C6">
        <f>+'[11]faixa SM RTT+RTE+RTI'!C10</f>
        <v>640769</v>
      </c>
      <c r="D6">
        <f>+'[11]faixa SM RTT+RTE+RTI'!D10</f>
        <v>5792.1446246899995</v>
      </c>
      <c r="E6">
        <f>+'[11]faixa SM RTT+RTE+RTI'!E10</f>
        <v>161.29639515000002</v>
      </c>
      <c r="F6">
        <f>+'[11]faixa SM RTT+RTE+RTI'!F10</f>
        <v>503.12886674000003</v>
      </c>
      <c r="G6">
        <f>+'[11]faixa SM RTT+RTE+RTI'!G10</f>
        <v>152.18102973999999</v>
      </c>
      <c r="H6">
        <f>+'[11]faixa SM RTT+RTE+RTI'!H10</f>
        <v>211.66661796</v>
      </c>
      <c r="I6">
        <f>+'[11]faixa SM RTT+RTE+RTI'!I10</f>
        <v>19.013184170000002</v>
      </c>
      <c r="J6">
        <f>+'[11]faixa SM RTT+RTE+RTI'!J10</f>
        <v>69.410209299999991</v>
      </c>
      <c r="K6">
        <f>+'[11]faixa SM RTT+RTE+RTI'!K10</f>
        <v>0.85869468999999998</v>
      </c>
      <c r="L6">
        <f>+'[11]faixa SM RTT+RTE+RTI'!L10</f>
        <v>10.265282609999998</v>
      </c>
      <c r="M6">
        <f>+'[11]faixa SM RTT+RTE+RTI'!M10</f>
        <v>794.12514958000008</v>
      </c>
      <c r="N6">
        <f>+'[11]faixa SM RTT+RTE+RTI'!N10</f>
        <v>4725.0929994799999</v>
      </c>
      <c r="O6">
        <f>+'[11]faixa SM RTT+RTE+RTI'!O10</f>
        <v>0.11850160000000001</v>
      </c>
      <c r="P6">
        <f>+'[11]faixa SM RTT+RTE+RTI'!P10</f>
        <v>24.439587880000001</v>
      </c>
      <c r="Q6">
        <f>+'[11]faixa SM RTT+RTE+RTI'!Q10</f>
        <v>4.5451789999999992E-2</v>
      </c>
      <c r="R6">
        <f>+'[11]faixa SM RTT+RTE+RTI'!R10</f>
        <v>24.366537909999998</v>
      </c>
      <c r="S6">
        <f>+'[11]faixa SM RTT+RTE+RTI'!S10</f>
        <v>62709.180009860007</v>
      </c>
      <c r="T6">
        <f>+'[11]faixa SM RTT+RTE+RTI'!T10</f>
        <v>5101.9701659600005</v>
      </c>
      <c r="U6">
        <f>+'[11]faixa SM RTT+RTE+RTI'!U10</f>
        <v>7.8884170600000001</v>
      </c>
    </row>
    <row r="7" spans="2:21" x14ac:dyDescent="0.25">
      <c r="B7" t="str">
        <f>+'[11]faixa SM RTT+RTE+RTI'!B11</f>
        <v>De 1 a 2</v>
      </c>
      <c r="C7">
        <f>+'[11]faixa SM RTT+RTE+RTI'!C11</f>
        <v>1578831</v>
      </c>
      <c r="D7">
        <f>+'[11]faixa SM RTT+RTE+RTI'!D11</f>
        <v>22228.075774599998</v>
      </c>
      <c r="E7">
        <f>+'[11]faixa SM RTT+RTE+RTI'!E11</f>
        <v>993.57575187999998</v>
      </c>
      <c r="F7">
        <f>+'[11]faixa SM RTT+RTE+RTI'!F11</f>
        <v>3877.6276477900001</v>
      </c>
      <c r="G7">
        <f>+'[11]faixa SM RTT+RTE+RTI'!G11</f>
        <v>456.75121208999991</v>
      </c>
      <c r="H7">
        <f>+'[11]faixa SM RTT+RTE+RTI'!H11</f>
        <v>732.59396063999998</v>
      </c>
      <c r="I7">
        <f>+'[11]faixa SM RTT+RTE+RTI'!I11</f>
        <v>82.508143610000005</v>
      </c>
      <c r="J7">
        <f>+'[11]faixa SM RTT+RTE+RTI'!J11</f>
        <v>343.32760695999997</v>
      </c>
      <c r="K7">
        <f>+'[11]faixa SM RTT+RTE+RTI'!K11</f>
        <v>7.8151131999999999</v>
      </c>
      <c r="L7">
        <f>+'[11]faixa SM RTT+RTE+RTI'!L11</f>
        <v>36.849909220000001</v>
      </c>
      <c r="M7">
        <f>+'[11]faixa SM RTT+RTE+RTI'!M11</f>
        <v>2873.5993938299998</v>
      </c>
      <c r="N7">
        <f>+'[11]faixa SM RTT+RTE+RTI'!N11</f>
        <v>18268.80389771</v>
      </c>
      <c r="O7">
        <f>+'[11]faixa SM RTT+RTE+RTI'!O11</f>
        <v>0.88728666999999994</v>
      </c>
      <c r="P7">
        <f>+'[11]faixa SM RTT+RTE+RTI'!P11</f>
        <v>136.68650281999999</v>
      </c>
      <c r="Q7">
        <f>+'[11]faixa SM RTT+RTE+RTI'!Q11</f>
        <v>0.30903016999999999</v>
      </c>
      <c r="R7">
        <f>+'[11]faixa SM RTT+RTE+RTI'!R11</f>
        <v>136.10833022</v>
      </c>
      <c r="S7">
        <f>+'[11]faixa SM RTT+RTE+RTI'!S11</f>
        <v>174046.64624956</v>
      </c>
      <c r="T7">
        <f>+'[11]faixa SM RTT+RTE+RTI'!T11</f>
        <v>14660.253140889999</v>
      </c>
      <c r="U7">
        <f>+'[11]faixa SM RTT+RTE+RTI'!U11</f>
        <v>47.691166159999995</v>
      </c>
    </row>
    <row r="8" spans="2:21" x14ac:dyDescent="0.25">
      <c r="B8" t="str">
        <f>+'[11]faixa SM RTT+RTE+RTI'!B12</f>
        <v>De 2 a 3</v>
      </c>
      <c r="C8">
        <f>+'[11]faixa SM RTT+RTE+RTI'!C12</f>
        <v>4437466</v>
      </c>
      <c r="D8">
        <f>+'[11]faixa SM RTT+RTE+RTI'!D12</f>
        <v>112035.94210699</v>
      </c>
      <c r="E8">
        <f>+'[11]faixa SM RTT+RTE+RTI'!E12</f>
        <v>4987.5210842799997</v>
      </c>
      <c r="F8">
        <f>+'[11]faixa SM RTT+RTE+RTI'!F12</f>
        <v>10053.980405549999</v>
      </c>
      <c r="G8">
        <f>+'[11]faixa SM RTT+RTE+RTI'!G12</f>
        <v>2346.0431533199999</v>
      </c>
      <c r="H8">
        <f>+'[11]faixa SM RTT+RTE+RTI'!H12</f>
        <v>3351.2542671600004</v>
      </c>
      <c r="I8">
        <f>+'[11]faixa SM RTT+RTE+RTI'!I12</f>
        <v>475.53010417000002</v>
      </c>
      <c r="J8">
        <f>+'[11]faixa SM RTT+RTE+RTI'!J12</f>
        <v>1482.9908908099999</v>
      </c>
      <c r="K8">
        <f>+'[11]faixa SM RTT+RTE+RTI'!K12</f>
        <v>56.756664350000001</v>
      </c>
      <c r="L8">
        <f>+'[11]faixa SM RTT+RTE+RTI'!L12</f>
        <v>205.60279800999999</v>
      </c>
      <c r="M8">
        <f>+'[11]faixa SM RTT+RTE+RTI'!M12</f>
        <v>17875.100863160002</v>
      </c>
      <c r="N8">
        <f>+'[11]faixa SM RTT+RTE+RTI'!N12</f>
        <v>88421.711817700008</v>
      </c>
      <c r="O8">
        <f>+'[11]faixa SM RTT+RTE+RTI'!O12</f>
        <v>89.706201930000006</v>
      </c>
      <c r="P8">
        <f>+'[11]faixa SM RTT+RTE+RTI'!P12</f>
        <v>669.26867139000001</v>
      </c>
      <c r="Q8">
        <f>+'[11]faixa SM RTT+RTE+RTI'!Q12</f>
        <v>31.840348499999998</v>
      </c>
      <c r="R8">
        <f>+'[11]faixa SM RTT+RTE+RTI'!R12</f>
        <v>611.40362435999998</v>
      </c>
      <c r="S8">
        <f>+'[11]faixa SM RTT+RTE+RTI'!S12</f>
        <v>453476.56077874999</v>
      </c>
      <c r="T8">
        <f>+'[11]faixa SM RTT+RTE+RTI'!T12</f>
        <v>33703.036713479996</v>
      </c>
      <c r="U8">
        <f>+'[11]faixa SM RTT+RTE+RTI'!U12</f>
        <v>120.15355122999999</v>
      </c>
    </row>
    <row r="9" spans="2:21" x14ac:dyDescent="0.25">
      <c r="B9" t="str">
        <f>+'[11]faixa SM RTT+RTE+RTI'!B13</f>
        <v>De 3 a 5</v>
      </c>
      <c r="C9">
        <f>+'[11]faixa SM RTT+RTE+RTI'!C13</f>
        <v>7945451</v>
      </c>
      <c r="D9">
        <f>+'[11]faixa SM RTT+RTE+RTI'!D13</f>
        <v>284757.51525724999</v>
      </c>
      <c r="E9">
        <f>+'[11]faixa SM RTT+RTE+RTI'!E13</f>
        <v>22705.096784150002</v>
      </c>
      <c r="F9">
        <f>+'[11]faixa SM RTT+RTE+RTI'!F13</f>
        <v>41037.490896930001</v>
      </c>
      <c r="G9">
        <f>+'[11]faixa SM RTT+RTE+RTI'!G13</f>
        <v>13185.640937190001</v>
      </c>
      <c r="H9">
        <f>+'[11]faixa SM RTT+RTE+RTI'!H13</f>
        <v>12784.814335079998</v>
      </c>
      <c r="I9">
        <f>+'[11]faixa SM RTT+RTE+RTI'!I13</f>
        <v>4108.2278214899998</v>
      </c>
      <c r="J9">
        <f>+'[11]faixa SM RTT+RTE+RTI'!J13</f>
        <v>10172.942250639999</v>
      </c>
      <c r="K9">
        <f>+'[11]faixa SM RTT+RTE+RTI'!K13</f>
        <v>374.69473522999999</v>
      </c>
      <c r="L9">
        <f>+'[11]faixa SM RTT+RTE+RTI'!L13</f>
        <v>1713.0033728600001</v>
      </c>
      <c r="M9">
        <f>+'[11]faixa SM RTT+RTE+RTI'!M13</f>
        <v>33688.612463029996</v>
      </c>
      <c r="N9">
        <f>+'[11]faixa SM RTT+RTE+RTI'!N13</f>
        <v>213984.41329555001</v>
      </c>
      <c r="O9">
        <f>+'[11]faixa SM RTT+RTE+RTI'!O13</f>
        <v>3906.41538597</v>
      </c>
      <c r="P9">
        <f>+'[11]faixa SM RTT+RTE+RTI'!P13</f>
        <v>6676.4082074399994</v>
      </c>
      <c r="Q9">
        <f>+'[11]faixa SM RTT+RTE+RTI'!Q13</f>
        <v>665.40719033000005</v>
      </c>
      <c r="R9">
        <f>+'[11]faixa SM RTT+RTE+RTI'!R13</f>
        <v>3435.4173677700001</v>
      </c>
      <c r="S9">
        <f>+'[11]faixa SM RTT+RTE+RTI'!S13</f>
        <v>683226.98716599005</v>
      </c>
      <c r="T9">
        <f>+'[11]faixa SM RTT+RTE+RTI'!T13</f>
        <v>66297.41492760001</v>
      </c>
      <c r="U9">
        <f>+'[11]faixa SM RTT+RTE+RTI'!U13</f>
        <v>649.30632521000007</v>
      </c>
    </row>
    <row r="10" spans="2:21" x14ac:dyDescent="0.25">
      <c r="B10" t="str">
        <f>+'[11]faixa SM RTT+RTE+RTI'!B14</f>
        <v>De 5 a 7</v>
      </c>
      <c r="C10">
        <f>+'[11]faixa SM RTT+RTE+RTI'!C14</f>
        <v>4220858</v>
      </c>
      <c r="D10">
        <f>+'[11]faixa SM RTT+RTE+RTI'!D14</f>
        <v>218489.51791721</v>
      </c>
      <c r="E10">
        <f>+'[11]faixa SM RTT+RTE+RTI'!E14</f>
        <v>19866.611448880001</v>
      </c>
      <c r="F10">
        <f>+'[11]faixa SM RTT+RTE+RTI'!F14</f>
        <v>41209.581270039998</v>
      </c>
      <c r="G10">
        <f>+'[11]faixa SM RTT+RTE+RTI'!G14</f>
        <v>9463.7540353099994</v>
      </c>
      <c r="H10">
        <f>+'[11]faixa SM RTT+RTE+RTI'!H14</f>
        <v>7793.1022585199999</v>
      </c>
      <c r="I10">
        <f>+'[11]faixa SM RTT+RTE+RTI'!I14</f>
        <v>4189.5934598800004</v>
      </c>
      <c r="J10">
        <f>+'[11]faixa SM RTT+RTE+RTI'!J14</f>
        <v>10905.72559323</v>
      </c>
      <c r="K10">
        <f>+'[11]faixa SM RTT+RTE+RTI'!K14</f>
        <v>579.57603460000007</v>
      </c>
      <c r="L10">
        <f>+'[11]faixa SM RTT+RTE+RTI'!L14</f>
        <v>1835.7057424000002</v>
      </c>
      <c r="M10">
        <f>+'[11]faixa SM RTT+RTE+RTI'!M14</f>
        <v>24202.935785999998</v>
      </c>
      <c r="N10">
        <f>+'[11]faixa SM RTT+RTE+RTI'!N14</f>
        <v>161727.47031619999</v>
      </c>
      <c r="O10">
        <f>+'[11]faixa SM RTT+RTE+RTI'!O14</f>
        <v>8459.8853001400003</v>
      </c>
      <c r="P10">
        <f>+'[11]faixa SM RTT+RTE+RTI'!P14</f>
        <v>11093.429487040001</v>
      </c>
      <c r="Q10">
        <f>+'[11]faixa SM RTT+RTE+RTI'!Q14</f>
        <v>1399.65341982</v>
      </c>
      <c r="R10">
        <f>+'[11]faixa SM RTT+RTE+RTI'!R14</f>
        <v>4033.23554668</v>
      </c>
      <c r="S10">
        <f>+'[11]faixa SM RTT+RTE+RTI'!S14</f>
        <v>583462.36543334997</v>
      </c>
      <c r="T10">
        <f>+'[11]faixa SM RTT+RTE+RTI'!T14</f>
        <v>132769.48222840999</v>
      </c>
      <c r="U10">
        <f>+'[11]faixa SM RTT+RTE+RTI'!U14</f>
        <v>1326.95461512</v>
      </c>
    </row>
    <row r="11" spans="2:21" x14ac:dyDescent="0.25">
      <c r="B11" t="str">
        <f>+'[11]faixa SM RTT+RTE+RTI'!B15</f>
        <v>De 7 a 10</v>
      </c>
      <c r="C11">
        <f>+'[11]faixa SM RTT+RTE+RTI'!C15</f>
        <v>3192689</v>
      </c>
      <c r="D11">
        <f>+'[11]faixa SM RTT+RTE+RTI'!D15</f>
        <v>224715.94858274999</v>
      </c>
      <c r="E11">
        <f>+'[11]faixa SM RTT+RTE+RTI'!E15</f>
        <v>22406.702191420001</v>
      </c>
      <c r="F11">
        <f>+'[11]faixa SM RTT+RTE+RTI'!F15</f>
        <v>51631.847696929995</v>
      </c>
      <c r="G11">
        <f>+'[11]faixa SM RTT+RTE+RTI'!G15</f>
        <v>9583.9134968300004</v>
      </c>
      <c r="H11">
        <f>+'[11]faixa SM RTT+RTE+RTI'!H15</f>
        <v>6237.9963503999998</v>
      </c>
      <c r="I11">
        <f>+'[11]faixa SM RTT+RTE+RTI'!I15</f>
        <v>4170.8412471000001</v>
      </c>
      <c r="J11">
        <f>+'[11]faixa SM RTT+RTE+RTI'!J15</f>
        <v>11829.928295799999</v>
      </c>
      <c r="K11">
        <f>+'[11]faixa SM RTT+RTE+RTI'!K15</f>
        <v>942.02408662999994</v>
      </c>
      <c r="L11">
        <f>+'[11]faixa SM RTT+RTE+RTI'!L15</f>
        <v>2218.6233682099996</v>
      </c>
      <c r="M11">
        <f>+'[11]faixa SM RTT+RTE+RTI'!M15</f>
        <v>23310.966895040001</v>
      </c>
      <c r="N11">
        <f>+'[11]faixa SM RTT+RTE+RTI'!N15</f>
        <v>168193.03490391001</v>
      </c>
      <c r="O11">
        <f>+'[11]faixa SM RTT+RTE+RTI'!O15</f>
        <v>16645.622094489998</v>
      </c>
      <c r="P11">
        <f>+'[11]faixa SM RTT+RTE+RTI'!P15</f>
        <v>18499.204514999998</v>
      </c>
      <c r="Q11">
        <f>+'[11]faixa SM RTT+RTE+RTI'!Q15</f>
        <v>2616.5407045100001</v>
      </c>
      <c r="R11">
        <f>+'[11]faixa SM RTT+RTE+RTI'!R15</f>
        <v>4470.16502683</v>
      </c>
      <c r="S11">
        <f>+'[11]faixa SM RTT+RTE+RTI'!S15</f>
        <v>630663.2679182</v>
      </c>
      <c r="T11">
        <f>+'[11]faixa SM RTT+RTE+RTI'!T15</f>
        <v>60577.958967410006</v>
      </c>
      <c r="U11">
        <f>+'[11]faixa SM RTT+RTE+RTI'!U15</f>
        <v>2254.2948848599999</v>
      </c>
    </row>
    <row r="12" spans="2:21" x14ac:dyDescent="0.25">
      <c r="B12" t="str">
        <f>+'[11]faixa SM RTT+RTE+RTI'!B16</f>
        <v>De 10 a 15</v>
      </c>
      <c r="C12">
        <f>+'[11]faixa SM RTT+RTE+RTI'!C16</f>
        <v>2429334</v>
      </c>
      <c r="D12">
        <f>+'[11]faixa SM RTT+RTE+RTI'!D16</f>
        <v>235735.28014614002</v>
      </c>
      <c r="E12">
        <f>+'[11]faixa SM RTT+RTE+RTI'!E16</f>
        <v>26202.317478650002</v>
      </c>
      <c r="F12">
        <f>+'[11]faixa SM RTT+RTE+RTI'!F16</f>
        <v>69870.936273259998</v>
      </c>
      <c r="G12">
        <f>+'[11]faixa SM RTT+RTE+RTI'!G16</f>
        <v>11769.66992471</v>
      </c>
      <c r="H12">
        <f>+'[11]faixa SM RTT+RTE+RTI'!H16</f>
        <v>4714.7415622799999</v>
      </c>
      <c r="I12">
        <f>+'[11]faixa SM RTT+RTE+RTI'!I16</f>
        <v>3593.2405902199998</v>
      </c>
      <c r="J12">
        <f>+'[11]faixa SM RTT+RTE+RTI'!J16</f>
        <v>12854.05393704</v>
      </c>
      <c r="K12">
        <f>+'[11]faixa SM RTT+RTE+RTI'!K16</f>
        <v>1480.93503418</v>
      </c>
      <c r="L12">
        <f>+'[11]faixa SM RTT+RTE+RTI'!L16</f>
        <v>2390.3105389500001</v>
      </c>
      <c r="M12">
        <f>+'[11]faixa SM RTT+RTE+RTI'!M16</f>
        <v>15678.5855154</v>
      </c>
      <c r="N12">
        <f>+'[11]faixa SM RTT+RTE+RTI'!N16</f>
        <v>184603.65691321</v>
      </c>
      <c r="O12">
        <f>+'[11]faixa SM RTT+RTE+RTI'!O16</f>
        <v>28019.5296973</v>
      </c>
      <c r="P12">
        <f>+'[11]faixa SM RTT+RTE+RTI'!P16</f>
        <v>28147.120232410001</v>
      </c>
      <c r="Q12">
        <f>+'[11]faixa SM RTT+RTE+RTI'!Q16</f>
        <v>3566.0694524199998</v>
      </c>
      <c r="R12">
        <f>+'[11]faixa SM RTT+RTE+RTI'!R16</f>
        <v>3693.67950389</v>
      </c>
      <c r="S12">
        <f>+'[11]faixa SM RTT+RTE+RTI'!S16</f>
        <v>740099.19362582988</v>
      </c>
      <c r="T12">
        <f>+'[11]faixa SM RTT+RTE+RTI'!T16</f>
        <v>150848.47496881001</v>
      </c>
      <c r="U12">
        <f>+'[11]faixa SM RTT+RTE+RTI'!U16</f>
        <v>3384.66576059</v>
      </c>
    </row>
    <row r="13" spans="2:21" x14ac:dyDescent="0.25">
      <c r="B13" t="str">
        <f>+'[11]faixa SM RTT+RTE+RTI'!B17</f>
        <v>De 15 a 20</v>
      </c>
      <c r="C13">
        <f>+'[11]faixa SM RTT+RTE+RTI'!C17</f>
        <v>1128245</v>
      </c>
      <c r="D13">
        <f>+'[11]faixa SM RTT+RTE+RTI'!D17</f>
        <v>145801.11530742998</v>
      </c>
      <c r="E13">
        <f>+'[11]faixa SM RTT+RTE+RTI'!E17</f>
        <v>18945.484711819998</v>
      </c>
      <c r="F13">
        <f>+'[11]faixa SM RTT+RTE+RTI'!F17</f>
        <v>53888.276471040001</v>
      </c>
      <c r="G13">
        <f>+'[11]faixa SM RTT+RTE+RTI'!G17</f>
        <v>8968.5724606599997</v>
      </c>
      <c r="H13">
        <f>+'[11]faixa SM RTT+RTE+RTI'!H17</f>
        <v>2192.7653305200001</v>
      </c>
      <c r="I13">
        <f>+'[11]faixa SM RTT+RTE+RTI'!I17</f>
        <v>1741.8135024100002</v>
      </c>
      <c r="J13">
        <f>+'[11]faixa SM RTT+RTE+RTI'!J17</f>
        <v>8112.9737095699993</v>
      </c>
      <c r="K13">
        <f>+'[11]faixa SM RTT+RTE+RTI'!K17</f>
        <v>1204.8377131500001</v>
      </c>
      <c r="L13">
        <f>+'[11]faixa SM RTT+RTE+RTI'!L17</f>
        <v>1619.9795291699998</v>
      </c>
      <c r="M13">
        <f>+'[11]faixa SM RTT+RTE+RTI'!M17</f>
        <v>5099.2793015799998</v>
      </c>
      <c r="N13">
        <f>+'[11]faixa SM RTT+RTE+RTI'!N17</f>
        <v>117589.71642608001</v>
      </c>
      <c r="O13">
        <f>+'[11]faixa SM RTT+RTE+RTI'!O17</f>
        <v>21853.67520926</v>
      </c>
      <c r="P13">
        <f>+'[11]faixa SM RTT+RTE+RTI'!P17</f>
        <v>21426.029405289999</v>
      </c>
      <c r="Q13">
        <f>+'[11]faixa SM RTT+RTE+RTI'!Q17</f>
        <v>2263.59621135</v>
      </c>
      <c r="R13">
        <f>+'[11]faixa SM RTT+RTE+RTI'!R17</f>
        <v>1835.9827624099999</v>
      </c>
      <c r="S13">
        <f>+'[11]faixa SM RTT+RTE+RTI'!S17</f>
        <v>577178.44391596003</v>
      </c>
      <c r="T13">
        <f>+'[11]faixa SM RTT+RTE+RTI'!T17</f>
        <v>48354.492173880004</v>
      </c>
      <c r="U13">
        <f>+'[11]faixa SM RTT+RTE+RTI'!U17</f>
        <v>2936.48329767</v>
      </c>
    </row>
    <row r="14" spans="2:21" x14ac:dyDescent="0.25">
      <c r="B14" t="str">
        <f>+'[11]faixa SM RTT+RTE+RTI'!B18</f>
        <v>De 20 a 30</v>
      </c>
      <c r="C14">
        <f>+'[11]faixa SM RTT+RTE+RTI'!C18</f>
        <v>1037001</v>
      </c>
      <c r="D14">
        <f>+'[11]faixa SM RTT+RTE+RTI'!D18</f>
        <v>173923.27263666998</v>
      </c>
      <c r="E14">
        <f>+'[11]faixa SM RTT+RTE+RTI'!E18</f>
        <v>26609.263057900003</v>
      </c>
      <c r="F14">
        <f>+'[11]faixa SM RTT+RTE+RTI'!F18</f>
        <v>82061.4558406</v>
      </c>
      <c r="G14">
        <f>+'[11]faixa SM RTT+RTE+RTI'!G18</f>
        <v>12357.996025960003</v>
      </c>
      <c r="H14">
        <f>+'[11]faixa SM RTT+RTE+RTI'!H18</f>
        <v>1968.4720185599999</v>
      </c>
      <c r="I14">
        <f>+'[11]faixa SM RTT+RTE+RTI'!I18</f>
        <v>1562.2114209599999</v>
      </c>
      <c r="J14">
        <f>+'[11]faixa SM RTT+RTE+RTI'!J18</f>
        <v>9394.7262452199993</v>
      </c>
      <c r="K14">
        <f>+'[11]faixa SM RTT+RTE+RTI'!K18</f>
        <v>1861.0639089400001</v>
      </c>
      <c r="L14">
        <f>+'[11]faixa SM RTT+RTE+RTI'!L18</f>
        <v>2035.2487770900002</v>
      </c>
      <c r="M14">
        <f>+'[11]faixa SM RTT+RTE+RTI'!M18</f>
        <v>3455.0613259699999</v>
      </c>
      <c r="N14">
        <f>+'[11]faixa SM RTT+RTE+RTI'!N18</f>
        <v>142346.07444339001</v>
      </c>
      <c r="O14">
        <f>+'[11]faixa SM RTT+RTE+RTI'!O18</f>
        <v>29640.208779209999</v>
      </c>
      <c r="P14">
        <f>+'[11]faixa SM RTT+RTE+RTI'!P18</f>
        <v>29057.00241185</v>
      </c>
      <c r="Q14">
        <f>+'[11]faixa SM RTT+RTE+RTI'!Q18</f>
        <v>2661.0753261300001</v>
      </c>
      <c r="R14">
        <f>+'[11]faixa SM RTT+RTE+RTI'!R18</f>
        <v>2078.0957357299999</v>
      </c>
      <c r="S14">
        <f>+'[11]faixa SM RTT+RTE+RTI'!S18</f>
        <v>763198.17669132003</v>
      </c>
      <c r="T14">
        <f>+'[11]faixa SM RTT+RTE+RTI'!T18</f>
        <v>97980.229298680002</v>
      </c>
      <c r="U14">
        <f>+'[11]faixa SM RTT+RTE+RTI'!U18</f>
        <v>5027.8841684500003</v>
      </c>
    </row>
    <row r="15" spans="2:21" x14ac:dyDescent="0.25">
      <c r="B15" t="str">
        <f>+'[11]faixa SM RTT+RTE+RTI'!B19</f>
        <v>De 30 a 40</v>
      </c>
      <c r="C15">
        <f>+'[11]faixa SM RTT+RTE+RTI'!C19</f>
        <v>466460</v>
      </c>
      <c r="D15">
        <f>+'[11]faixa SM RTT+RTE+RTI'!D19</f>
        <v>101952.75320365001</v>
      </c>
      <c r="E15">
        <f>+'[11]faixa SM RTT+RTE+RTI'!E19</f>
        <v>18371.837655889998</v>
      </c>
      <c r="F15">
        <f>+'[11]faixa SM RTT+RTE+RTI'!F19</f>
        <v>60148.822842020003</v>
      </c>
      <c r="G15">
        <f>+'[11]faixa SM RTT+RTE+RTI'!G19</f>
        <v>7730.0393496899997</v>
      </c>
      <c r="H15">
        <f>+'[11]faixa SM RTT+RTE+RTI'!H19</f>
        <v>865.81127003999995</v>
      </c>
      <c r="I15">
        <f>+'[11]faixa SM RTT+RTE+RTI'!I19</f>
        <v>688.79824219000011</v>
      </c>
      <c r="J15">
        <f>+'[11]faixa SM RTT+RTE+RTI'!J19</f>
        <v>5341.9245588000003</v>
      </c>
      <c r="K15">
        <f>+'[11]faixa SM RTT+RTE+RTI'!K19</f>
        <v>1399.8185522000001</v>
      </c>
      <c r="L15">
        <f>+'[11]faixa SM RTT+RTE+RTI'!L19</f>
        <v>1276.6583285300001</v>
      </c>
      <c r="M15">
        <f>+'[11]faixa SM RTT+RTE+RTI'!M19</f>
        <v>1270.3705827200001</v>
      </c>
      <c r="N15">
        <f>+'[11]faixa SM RTT+RTE+RTI'!N19</f>
        <v>84093.166510260009</v>
      </c>
      <c r="O15">
        <f>+'[11]faixa SM RTT+RTE+RTI'!O19</f>
        <v>18917.318832680001</v>
      </c>
      <c r="P15">
        <f>+'[11]faixa SM RTT+RTE+RTI'!P19</f>
        <v>18407.48581287</v>
      </c>
      <c r="Q15">
        <f>+'[11]faixa SM RTT+RTE+RTI'!Q19</f>
        <v>1601.0885921200002</v>
      </c>
      <c r="R15">
        <f>+'[11]faixa SM RTT+RTE+RTI'!R19</f>
        <v>1091.3063458399999</v>
      </c>
      <c r="S15">
        <f>+'[11]faixa SM RTT+RTE+RTI'!S19</f>
        <v>535535.37201493001</v>
      </c>
      <c r="T15">
        <f>+'[11]faixa SM RTT+RTE+RTI'!T19</f>
        <v>35660.119726969999</v>
      </c>
      <c r="U15">
        <f>+'[11]faixa SM RTT+RTE+RTI'!U19</f>
        <v>4088.9506126699998</v>
      </c>
    </row>
    <row r="16" spans="2:21" x14ac:dyDescent="0.25">
      <c r="B16" t="str">
        <f>+'[11]faixa SM RTT+RTE+RTI'!B20</f>
        <v>De 40 a 60</v>
      </c>
      <c r="C16">
        <f>+'[11]faixa SM RTT+RTE+RTI'!C20</f>
        <v>352400</v>
      </c>
      <c r="D16">
        <f>+'[11]faixa SM RTT+RTE+RTI'!D20</f>
        <v>89287.966406609994</v>
      </c>
      <c r="E16">
        <f>+'[11]faixa SM RTT+RTE+RTI'!E20</f>
        <v>22415.46743597</v>
      </c>
      <c r="F16">
        <f>+'[11]faixa SM RTT+RTE+RTI'!F20</f>
        <v>78914.094115130007</v>
      </c>
      <c r="G16">
        <f>+'[11]faixa SM RTT+RTE+RTI'!G20</f>
        <v>6471.7172062400014</v>
      </c>
      <c r="H16">
        <f>+'[11]faixa SM RTT+RTE+RTI'!H20</f>
        <v>672.44539559999998</v>
      </c>
      <c r="I16">
        <f>+'[11]faixa SM RTT+RTE+RTI'!I20</f>
        <v>543.78737064999996</v>
      </c>
      <c r="J16">
        <f>+'[11]faixa SM RTT+RTE+RTI'!J20</f>
        <v>4315.5660723999999</v>
      </c>
      <c r="K16">
        <f>+'[11]faixa SM RTT+RTE+RTI'!K20</f>
        <v>1777.2390001199999</v>
      </c>
      <c r="L16">
        <f>+'[11]faixa SM RTT+RTE+RTI'!L20</f>
        <v>1059.07496481</v>
      </c>
      <c r="M16">
        <f>+'[11]faixa SM RTT+RTE+RTI'!M20</f>
        <v>990.18034276000003</v>
      </c>
      <c r="N16">
        <f>+'[11]faixa SM RTT+RTE+RTI'!N20</f>
        <v>74010.454340700002</v>
      </c>
      <c r="O16">
        <f>+'[11]faixa SM RTT+RTE+RTI'!O20</f>
        <v>17288.1808145</v>
      </c>
      <c r="P16">
        <f>+'[11]faixa SM RTT+RTE+RTI'!P20</f>
        <v>16458.96876123</v>
      </c>
      <c r="Q16">
        <f>+'[11]faixa SM RTT+RTE+RTI'!Q20</f>
        <v>1690.0042834399999</v>
      </c>
      <c r="R16">
        <f>+'[11]faixa SM RTT+RTE+RTI'!R20</f>
        <v>860.99570390999997</v>
      </c>
      <c r="S16">
        <f>+'[11]faixa SM RTT+RTE+RTI'!S20</f>
        <v>617297.12313118996</v>
      </c>
      <c r="T16">
        <f>+'[11]faixa SM RTT+RTE+RTI'!T20</f>
        <v>40845.320160759999</v>
      </c>
      <c r="U16">
        <f>+'[11]faixa SM RTT+RTE+RTI'!U20</f>
        <v>6284.5071183599994</v>
      </c>
    </row>
    <row r="17" spans="2:21" x14ac:dyDescent="0.25">
      <c r="B17" t="str">
        <f>+'[11]faixa SM RTT+RTE+RTI'!B21</f>
        <v>De 60 a 80</v>
      </c>
      <c r="C17">
        <f>+'[11]faixa SM RTT+RTE+RTI'!C21</f>
        <v>125910</v>
      </c>
      <c r="D17">
        <f>+'[11]faixa SM RTT+RTE+RTI'!D21</f>
        <v>35497.91634471</v>
      </c>
      <c r="E17">
        <f>+'[11]faixa SM RTT+RTE+RTI'!E21</f>
        <v>12914.18099932</v>
      </c>
      <c r="F17">
        <f>+'[11]faixa SM RTT+RTE+RTI'!F21</f>
        <v>48701.176165099998</v>
      </c>
      <c r="G17">
        <f>+'[11]faixa SM RTT+RTE+RTI'!G21</f>
        <v>2172.3356955300001</v>
      </c>
      <c r="H17">
        <f>+'[11]faixa SM RTT+RTE+RTI'!H21</f>
        <v>239.9413122</v>
      </c>
      <c r="I17">
        <f>+'[11]faixa SM RTT+RTE+RTI'!I21</f>
        <v>190.07375678</v>
      </c>
      <c r="J17">
        <f>+'[11]faixa SM RTT+RTE+RTI'!J21</f>
        <v>1597.94997878</v>
      </c>
      <c r="K17">
        <f>+'[11]faixa SM RTT+RTE+RTI'!K21</f>
        <v>936.46758827999997</v>
      </c>
      <c r="L17">
        <f>+'[11]faixa SM RTT+RTE+RTI'!L21</f>
        <v>416.63261373999995</v>
      </c>
      <c r="M17">
        <f>+'[11]faixa SM RTT+RTE+RTI'!M21</f>
        <v>393.96993083000001</v>
      </c>
      <c r="N17">
        <f>+'[11]faixa SM RTT+RTE+RTI'!N21</f>
        <v>29739.579048620002</v>
      </c>
      <c r="O17">
        <f>+'[11]faixa SM RTT+RTE+RTI'!O21</f>
        <v>7183.7865431099999</v>
      </c>
      <c r="P17">
        <f>+'[11]faixa SM RTT+RTE+RTI'!P21</f>
        <v>6727.9118581000002</v>
      </c>
      <c r="Q17">
        <f>+'[11]faixa SM RTT+RTE+RTI'!Q21</f>
        <v>831.22822202999998</v>
      </c>
      <c r="R17">
        <f>+'[11]faixa SM RTT+RTE+RTI'!R21</f>
        <v>375.39094926999996</v>
      </c>
      <c r="S17">
        <f>+'[11]faixa SM RTT+RTE+RTI'!S21</f>
        <v>339507.35509966995</v>
      </c>
      <c r="T17">
        <f>+'[11]faixa SM RTT+RTE+RTI'!T21</f>
        <v>19551.86188344</v>
      </c>
      <c r="U17">
        <f>+'[11]faixa SM RTT+RTE+RTI'!U21</f>
        <v>4393.6065380700002</v>
      </c>
    </row>
    <row r="18" spans="2:21" x14ac:dyDescent="0.25">
      <c r="B18" t="str">
        <f>+'[11]faixa SM RTT+RTE+RTI'!B22</f>
        <v>De 80 a 160</v>
      </c>
      <c r="C18">
        <f>+'[11]faixa SM RTT+RTE+RTI'!C22</f>
        <v>127080</v>
      </c>
      <c r="D18">
        <f>+'[11]faixa SM RTT+RTE+RTI'!D22</f>
        <v>40268.071483289998</v>
      </c>
      <c r="E18">
        <f>+'[11]faixa SM RTT+RTE+RTI'!E22</f>
        <v>22406.797112389999</v>
      </c>
      <c r="F18">
        <f>+'[11]faixa SM RTT+RTE+RTI'!F22</f>
        <v>91055.776725489995</v>
      </c>
      <c r="G18">
        <f>+'[11]faixa SM RTT+RTE+RTI'!G22</f>
        <v>1938.08089475</v>
      </c>
      <c r="H18">
        <f>+'[11]faixa SM RTT+RTE+RTI'!H22</f>
        <v>229.05050424000001</v>
      </c>
      <c r="I18">
        <f>+'[11]faixa SM RTT+RTE+RTI'!I22</f>
        <v>173.52125262999999</v>
      </c>
      <c r="J18">
        <f>+'[11]faixa SM RTT+RTE+RTI'!J22</f>
        <v>1626.88833284</v>
      </c>
      <c r="K18">
        <f>+'[11]faixa SM RTT+RTE+RTI'!K22</f>
        <v>1608.04879097</v>
      </c>
      <c r="L18">
        <f>+'[11]faixa SM RTT+RTE+RTI'!L22</f>
        <v>397.87259732000001</v>
      </c>
      <c r="M18">
        <f>+'[11]faixa SM RTT+RTE+RTI'!M22</f>
        <v>457.22747082999996</v>
      </c>
      <c r="N18">
        <f>+'[11]faixa SM RTT+RTE+RTI'!N22</f>
        <v>34117.680878350002</v>
      </c>
      <c r="O18">
        <f>+'[11]faixa SM RTT+RTE+RTI'!O22</f>
        <v>8484.5705985599998</v>
      </c>
      <c r="P18">
        <f>+'[11]faixa SM RTT+RTE+RTI'!P22</f>
        <v>7621.2937986799998</v>
      </c>
      <c r="Q18">
        <f>+'[11]faixa SM RTT+RTE+RTI'!Q22</f>
        <v>1226.60224814</v>
      </c>
      <c r="R18">
        <f>+'[11]faixa SM RTT+RTE+RTI'!R22</f>
        <v>363.34835597999995</v>
      </c>
      <c r="S18">
        <f>+'[11]faixa SM RTT+RTE+RTI'!S22</f>
        <v>627615.69538259995</v>
      </c>
      <c r="T18">
        <f>+'[11]faixa SM RTT+RTE+RTI'!T22</f>
        <v>32453.528098449999</v>
      </c>
      <c r="U18">
        <f>+'[11]faixa SM RTT+RTE+RTI'!U22</f>
        <v>10077.403775070001</v>
      </c>
    </row>
    <row r="19" spans="2:21" x14ac:dyDescent="0.25">
      <c r="B19" t="str">
        <f>+'[11]faixa SM RTT+RTE+RTI'!B23</f>
        <v>De 160 a 240</v>
      </c>
      <c r="C19">
        <f>+'[11]faixa SM RTT+RTE+RTI'!C23</f>
        <v>29341</v>
      </c>
      <c r="D19">
        <f>+'[11]faixa SM RTT+RTE+RTI'!D23</f>
        <v>11893.077009779998</v>
      </c>
      <c r="E19">
        <f>+'[11]faixa SM RTT+RTE+RTI'!E23</f>
        <v>10145.55640137</v>
      </c>
      <c r="F19">
        <f>+'[11]faixa SM RTT+RTE+RTI'!F23</f>
        <v>41738.468079939994</v>
      </c>
      <c r="G19">
        <f>+'[11]faixa SM RTT+RTE+RTI'!G23</f>
        <v>398.03350435999994</v>
      </c>
      <c r="H19">
        <f>+'[11]faixa SM RTT+RTE+RTI'!H23</f>
        <v>51.241626839999995</v>
      </c>
      <c r="I19">
        <f>+'[11]faixa SM RTT+RTE+RTI'!I23</f>
        <v>37.027176470000001</v>
      </c>
      <c r="J19">
        <f>+'[11]faixa SM RTT+RTE+RTI'!J23</f>
        <v>419.3015264</v>
      </c>
      <c r="K19">
        <f>+'[11]faixa SM RTT+RTE+RTI'!K23</f>
        <v>818.18013828999995</v>
      </c>
      <c r="L19">
        <f>+'[11]faixa SM RTT+RTE+RTI'!L23</f>
        <v>106.33079563</v>
      </c>
      <c r="M19">
        <f>+'[11]faixa SM RTT+RTE+RTI'!M23</f>
        <v>116.10020995000001</v>
      </c>
      <c r="N19">
        <f>+'[11]faixa SM RTT+RTE+RTI'!N23</f>
        <v>10031.35028825</v>
      </c>
      <c r="O19">
        <f>+'[11]faixa SM RTT+RTE+RTI'!O23</f>
        <v>2562.9993269500001</v>
      </c>
      <c r="P19">
        <f>+'[11]faixa SM RTT+RTE+RTI'!P23</f>
        <v>2194.70964736</v>
      </c>
      <c r="Q19">
        <f>+'[11]faixa SM RTT+RTE+RTI'!Q23</f>
        <v>462.88674555999995</v>
      </c>
      <c r="R19">
        <f>+'[11]faixa SM RTT+RTE+RTI'!R23</f>
        <v>94.632161710000005</v>
      </c>
      <c r="S19">
        <f>+'[11]faixa SM RTT+RTE+RTI'!S23</f>
        <v>290566.50441138999</v>
      </c>
      <c r="T19">
        <f>+'[11]faixa SM RTT+RTE+RTI'!T23</f>
        <v>17633.680759260002</v>
      </c>
      <c r="U19">
        <f>+'[11]faixa SM RTT+RTE+RTI'!U23</f>
        <v>5244.2636271499996</v>
      </c>
    </row>
    <row r="20" spans="2:21" x14ac:dyDescent="0.25">
      <c r="B20" t="str">
        <f>+'[11]faixa SM RTT+RTE+RTI'!B24</f>
        <v>De 240 a 320</v>
      </c>
      <c r="C20">
        <f>+'[11]faixa SM RTT+RTE+RTI'!C24</f>
        <v>12670</v>
      </c>
      <c r="D20">
        <f>+'[11]faixa SM RTT+RTE+RTI'!D24</f>
        <v>6423.2696102500004</v>
      </c>
      <c r="E20">
        <f>+'[11]faixa SM RTT+RTE+RTI'!E24</f>
        <v>6436.6942942900005</v>
      </c>
      <c r="F20">
        <f>+'[11]faixa SM RTT+RTE+RTI'!F24</f>
        <v>26448.789002600002</v>
      </c>
      <c r="G20">
        <f>+'[11]faixa SM RTT+RTE+RTI'!G24</f>
        <v>187.33136119</v>
      </c>
      <c r="H20">
        <f>+'[11]faixa SM RTT+RTE+RTI'!H24</f>
        <v>22.521016919999997</v>
      </c>
      <c r="I20">
        <f>+'[11]faixa SM RTT+RTE+RTI'!I24</f>
        <v>16.173943689999998</v>
      </c>
      <c r="J20">
        <f>+'[11]faixa SM RTT+RTE+RTI'!J24</f>
        <v>200.41774125999999</v>
      </c>
      <c r="K20">
        <f>+'[11]faixa SM RTT+RTE+RTI'!K24</f>
        <v>615.84423167999989</v>
      </c>
      <c r="L20">
        <f>+'[11]faixa SM RTT+RTE+RTI'!L24</f>
        <v>55.049995970000005</v>
      </c>
      <c r="M20">
        <f>+'[11]faixa SM RTT+RTE+RTI'!M24</f>
        <v>49.150942189999995</v>
      </c>
      <c r="N20">
        <f>+'[11]faixa SM RTT+RTE+RTI'!N24</f>
        <v>5334.4042571800001</v>
      </c>
      <c r="O20">
        <f>+'[11]faixa SM RTT+RTE+RTI'!O24</f>
        <v>1376.0763474</v>
      </c>
      <c r="P20">
        <f>+'[11]faixa SM RTT+RTE+RTI'!P24</f>
        <v>1156.76521546</v>
      </c>
      <c r="Q20">
        <f>+'[11]faixa SM RTT+RTE+RTI'!Q24</f>
        <v>272.93364080000003</v>
      </c>
      <c r="R20">
        <f>+'[11]faixa SM RTT+RTE+RTI'!R24</f>
        <v>53.622508859999996</v>
      </c>
      <c r="S20">
        <f>+'[11]faixa SM RTT+RTE+RTI'!S24</f>
        <v>180760.39784178999</v>
      </c>
      <c r="T20">
        <f>+'[11]faixa SM RTT+RTE+RTI'!T24</f>
        <v>7705.8481605500001</v>
      </c>
      <c r="U20">
        <f>+'[11]faixa SM RTT+RTE+RTI'!U24</f>
        <v>3336.5964331499999</v>
      </c>
    </row>
    <row r="21" spans="2:21" x14ac:dyDescent="0.25">
      <c r="B21" t="str">
        <f>+'[11]faixa SM RTT+RTE+RTI'!B25</f>
        <v>Mais de 320</v>
      </c>
      <c r="C21">
        <f>+'[11]faixa SM RTT+RTE+RTI'!C25</f>
        <v>25177</v>
      </c>
      <c r="D21">
        <f>+'[11]faixa SM RTT+RTE+RTI'!D25</f>
        <v>27952.597903590002</v>
      </c>
      <c r="E21">
        <f>+'[11]faixa SM RTT+RTE+RTI'!E25</f>
        <v>60107.913208479993</v>
      </c>
      <c r="F21">
        <f>+'[11]faixa SM RTT+RTE+RTI'!F25</f>
        <v>206774.07247305001</v>
      </c>
      <c r="G21">
        <f>+'[11]faixa SM RTT+RTE+RTI'!G25</f>
        <v>639.38469198999996</v>
      </c>
      <c r="H21">
        <f>+'[11]faixa SM RTT+RTE+RTI'!H25</f>
        <v>45.635829720000004</v>
      </c>
      <c r="I21">
        <f>+'[11]faixa SM RTT+RTE+RTI'!I25</f>
        <v>32.226485789999998</v>
      </c>
      <c r="J21">
        <f>+'[11]faixa SM RTT+RTE+RTI'!J25</f>
        <v>497.55788424999997</v>
      </c>
      <c r="K21">
        <f>+'[11]faixa SM RTT+RTE+RTI'!K25</f>
        <v>4825.7753106400005</v>
      </c>
      <c r="L21">
        <f>+'[11]faixa SM RTT+RTE+RTI'!L25</f>
        <v>212.13542105000002</v>
      </c>
      <c r="M21">
        <f>+'[11]faixa SM RTT+RTE+RTI'!M25</f>
        <v>96.428192190000004</v>
      </c>
      <c r="N21">
        <f>+'[11]faixa SM RTT+RTE+RTI'!N25</f>
        <v>21738.060854830004</v>
      </c>
      <c r="O21">
        <f>+'[11]faixa SM RTT+RTE+RTI'!O25</f>
        <v>5761.87617176</v>
      </c>
      <c r="P21">
        <f>+'[11]faixa SM RTT+RTE+RTI'!P25</f>
        <v>4835.5683452599997</v>
      </c>
      <c r="Q21">
        <f>+'[11]faixa SM RTT+RTE+RTI'!Q25</f>
        <v>1100.3081014900001</v>
      </c>
      <c r="R21">
        <f>+'[11]faixa SM RTT+RTE+RTI'!R25</f>
        <v>174.04260340000002</v>
      </c>
      <c r="S21">
        <f>+'[11]faixa SM RTT+RTE+RTI'!S25</f>
        <v>1433675.45880905</v>
      </c>
      <c r="T21">
        <f>+'[11]faixa SM RTT+RTE+RTI'!T25</f>
        <v>55612.686636670005</v>
      </c>
      <c r="U21">
        <f>+'[11]faixa SM RTT+RTE+RTI'!U25</f>
        <v>56417.158264349993</v>
      </c>
    </row>
    <row r="22" spans="2:21" x14ac:dyDescent="0.25">
      <c r="B22" t="str">
        <f>+'[11]faixa SM RTT+RTE+RTI'!B26</f>
        <v xml:space="preserve">    Total</v>
      </c>
      <c r="C22">
        <f>+'[11]faixa SM RTT+RTE+RTI'!C26</f>
        <v>29101516</v>
      </c>
      <c r="D22">
        <f>+'[11]faixa SM RTT+RTE+RTI'!D26</f>
        <v>1737135.8553950402</v>
      </c>
      <c r="E22">
        <f>+'[11]faixa SM RTT+RTE+RTI'!E26</f>
        <v>295755.85930662998</v>
      </c>
      <c r="F22">
        <f>+'[11]faixa SM RTT+RTE+RTI'!F26</f>
        <v>908084.3952108199</v>
      </c>
      <c r="G22">
        <f>+'[11]faixa SM RTT+RTE+RTI'!G26</f>
        <v>87988.460493460007</v>
      </c>
      <c r="H22">
        <f>+'[11]faixa SM RTT+RTE+RTI'!H26</f>
        <v>42484.675564079989</v>
      </c>
      <c r="I22">
        <f>+'[11]faixa SM RTT+RTE+RTI'!I26</f>
        <v>21650.903882460003</v>
      </c>
      <c r="J22">
        <f>+'[11]faixa SM RTT+RTE+RTI'!J26</f>
        <v>79292.396989649991</v>
      </c>
      <c r="K22">
        <f>+'[11]faixa SM RTT+RTE+RTI'!K26</f>
        <v>18490.127374780001</v>
      </c>
      <c r="L22">
        <f>+'[11]faixa SM RTT+RTE+RTI'!L26</f>
        <v>15617.114383569999</v>
      </c>
      <c r="M22">
        <f>+'[11]faixa SM RTT+RTE+RTI'!M26</f>
        <v>130395.51468925001</v>
      </c>
      <c r="N22">
        <f>+'[11]faixa SM RTT+RTE+RTI'!N26</f>
        <v>1359225.0373259701</v>
      </c>
      <c r="O22">
        <f>+'[11]faixa SM RTT+RTE+RTI'!O26</f>
        <v>170190.88831615</v>
      </c>
      <c r="P22">
        <f>+'[11]faixa SM RTT+RTE+RTI'!P26</f>
        <v>183648.20335528001</v>
      </c>
      <c r="Q22">
        <f>+'[11]faixa SM RTT+RTE+RTI'!Q26</f>
        <v>20389.598672250006</v>
      </c>
      <c r="R22">
        <f>+'[11]faixa SM RTT+RTE+RTI'!R26</f>
        <v>33847.682438999982</v>
      </c>
      <c r="S22">
        <f>+'[11]faixa SM RTT+RTE+RTI'!S26</f>
        <v>8918242.3474708293</v>
      </c>
      <c r="T22">
        <f>+'[11]faixa SM RTT+RTE+RTI'!T26</f>
        <v>854854.65533514007</v>
      </c>
      <c r="U22">
        <f>+'[11]faixa SM RTT+RTE+RTI'!U26</f>
        <v>105600.8423631</v>
      </c>
    </row>
    <row r="25" spans="2:2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937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21" x14ac:dyDescent="0.25">
      <c r="B26" t="str">
        <f>+B5</f>
        <v>Até 1/2</v>
      </c>
      <c r="C26" s="1">
        <f>+D5+E5+F5-K5</f>
        <v>629.6130351999999</v>
      </c>
      <c r="D26" s="1">
        <f>+O5</f>
        <v>3.1224620000000002E-2</v>
      </c>
      <c r="E26">
        <f>+C5</f>
        <v>1351834</v>
      </c>
      <c r="F26" s="2">
        <f>+D26/C26</f>
        <v>4.95933506047589E-5</v>
      </c>
      <c r="G26" s="1">
        <f>+C26*$H$18</f>
        <v>144213.18318863685</v>
      </c>
      <c r="I26">
        <f>+C26*1000000/$H$25</f>
        <v>671945.60853788676</v>
      </c>
      <c r="J26">
        <f>+I26/E26</f>
        <v>0.49706221957569252</v>
      </c>
      <c r="K26">
        <f>+J26/12</f>
        <v>4.142185163130771E-2</v>
      </c>
      <c r="N26">
        <f>+C26*1000000/E26</f>
        <v>465.74729974242393</v>
      </c>
      <c r="O26" s="3">
        <f>+F26</f>
        <v>4.95933506047589E-5</v>
      </c>
    </row>
    <row r="27" spans="2:21" x14ac:dyDescent="0.25">
      <c r="B27" t="str">
        <f t="shared" ref="B27:B43" si="0">+B6</f>
        <v>De 1/2 a 1</v>
      </c>
      <c r="C27" s="1">
        <f t="shared" ref="C27:C43" si="1">+D6+E6+F6-K6</f>
        <v>6455.7111918899991</v>
      </c>
      <c r="D27" s="1">
        <f t="shared" ref="D27:D43" si="2">+O6</f>
        <v>0.11850160000000001</v>
      </c>
      <c r="E27">
        <f t="shared" ref="E27:E43" si="3">+C6</f>
        <v>640769</v>
      </c>
      <c r="F27" s="2">
        <f t="shared" ref="F27:F42" si="4">+D27/C27</f>
        <v>1.8356087575427462E-5</v>
      </c>
      <c r="G27" s="1">
        <f t="shared" ref="G27:G43" si="5">+C27*$H$18</f>
        <v>1478683.9037302157</v>
      </c>
      <c r="I27">
        <f t="shared" ref="I27:I31" si="6">+C27*1000000/$H$25</f>
        <v>6889766.4801387396</v>
      </c>
      <c r="J27">
        <f t="shared" ref="J27:J31" si="7">+I27/E27</f>
        <v>10.752340516065445</v>
      </c>
      <c r="K27">
        <f t="shared" ref="K27:K43" si="8">+J27/12</f>
        <v>0.89602837633878707</v>
      </c>
      <c r="N27">
        <f t="shared" ref="N27:N43" si="9">+C27*1000000/E27</f>
        <v>10074.943063553323</v>
      </c>
      <c r="O27" s="3">
        <f t="shared" ref="O27:O42" si="10">+F27</f>
        <v>1.8356087575427462E-5</v>
      </c>
    </row>
    <row r="28" spans="2:21" x14ac:dyDescent="0.25">
      <c r="B28" t="str">
        <f t="shared" si="0"/>
        <v>De 1 a 2</v>
      </c>
      <c r="C28" s="1">
        <f t="shared" si="1"/>
        <v>27091.464061069997</v>
      </c>
      <c r="D28" s="1">
        <f t="shared" si="2"/>
        <v>0.88728666999999994</v>
      </c>
      <c r="E28">
        <f t="shared" si="3"/>
        <v>1578831</v>
      </c>
      <c r="F28" s="2">
        <f t="shared" si="4"/>
        <v>3.275152158627768E-5</v>
      </c>
      <c r="G28" s="1">
        <f t="shared" si="5"/>
        <v>6205313.5037879208</v>
      </c>
      <c r="I28">
        <f t="shared" si="6"/>
        <v>28912981.922166485</v>
      </c>
      <c r="J28">
        <f t="shared" si="7"/>
        <v>18.312904878461651</v>
      </c>
      <c r="K28">
        <f t="shared" si="8"/>
        <v>1.526075406538471</v>
      </c>
      <c r="N28">
        <f t="shared" si="9"/>
        <v>17159.191871118564</v>
      </c>
      <c r="O28" s="3">
        <f t="shared" si="10"/>
        <v>3.275152158627768E-5</v>
      </c>
    </row>
    <row r="29" spans="2:21" x14ac:dyDescent="0.25">
      <c r="B29" t="str">
        <f t="shared" si="0"/>
        <v>De 2 a 3</v>
      </c>
      <c r="C29" s="1">
        <f t="shared" si="1"/>
        <v>127020.68693246999</v>
      </c>
      <c r="D29" s="1">
        <f t="shared" si="2"/>
        <v>89.706201930000006</v>
      </c>
      <c r="E29">
        <f t="shared" si="3"/>
        <v>4437466</v>
      </c>
      <c r="F29" s="2">
        <f t="shared" si="4"/>
        <v>7.0623300894044074E-4</v>
      </c>
      <c r="G29" s="1">
        <f t="shared" si="5"/>
        <v>29094152.390793432</v>
      </c>
      <c r="I29">
        <f t="shared" si="6"/>
        <v>135561031.94500533</v>
      </c>
      <c r="J29">
        <f t="shared" si="7"/>
        <v>30.549199012455606</v>
      </c>
      <c r="K29">
        <f t="shared" si="8"/>
        <v>2.5457665843713007</v>
      </c>
      <c r="N29">
        <f t="shared" si="9"/>
        <v>28624.599474670904</v>
      </c>
      <c r="O29" s="3">
        <f t="shared" si="10"/>
        <v>7.0623300894044074E-4</v>
      </c>
    </row>
    <row r="30" spans="2:21" x14ac:dyDescent="0.25">
      <c r="B30" t="str">
        <f t="shared" si="0"/>
        <v>De 3 a 5</v>
      </c>
      <c r="C30" s="1">
        <f t="shared" si="1"/>
        <v>348125.40820309997</v>
      </c>
      <c r="D30" s="1">
        <f t="shared" si="2"/>
        <v>3906.41538597</v>
      </c>
      <c r="E30">
        <f t="shared" si="3"/>
        <v>7945451</v>
      </c>
      <c r="F30" s="2">
        <f t="shared" si="4"/>
        <v>1.122128777136243E-2</v>
      </c>
      <c r="G30" s="1">
        <f t="shared" si="5"/>
        <v>79738300.287675887</v>
      </c>
      <c r="I30">
        <f t="shared" si="6"/>
        <v>371531919.1068303</v>
      </c>
      <c r="J30">
        <f t="shared" si="7"/>
        <v>46.760331050664121</v>
      </c>
      <c r="K30">
        <f t="shared" si="8"/>
        <v>3.8966942542220102</v>
      </c>
      <c r="N30">
        <f t="shared" si="9"/>
        <v>43814.430194472283</v>
      </c>
      <c r="O30" s="3">
        <f t="shared" si="10"/>
        <v>1.122128777136243E-2</v>
      </c>
    </row>
    <row r="31" spans="2:21" x14ac:dyDescent="0.25">
      <c r="B31" t="str">
        <f t="shared" si="0"/>
        <v>De 5 a 7</v>
      </c>
      <c r="C31" s="1">
        <f t="shared" si="1"/>
        <v>278986.13460153004</v>
      </c>
      <c r="D31" s="1">
        <f t="shared" si="2"/>
        <v>8459.8853001400003</v>
      </c>
      <c r="E31">
        <f t="shared" si="3"/>
        <v>4220858</v>
      </c>
      <c r="F31" s="2">
        <f t="shared" si="4"/>
        <v>3.0323676523290575E-2</v>
      </c>
      <c r="G31" s="1">
        <f t="shared" si="5"/>
        <v>63901914.806448966</v>
      </c>
      <c r="I31">
        <f t="shared" si="6"/>
        <v>297744007.04538959</v>
      </c>
      <c r="J31">
        <f t="shared" si="7"/>
        <v>70.54110966191935</v>
      </c>
      <c r="K31">
        <f t="shared" si="8"/>
        <v>5.8784258051599458</v>
      </c>
      <c r="N31">
        <f t="shared" si="9"/>
        <v>66097.019753218425</v>
      </c>
      <c r="O31" s="3">
        <f t="shared" si="10"/>
        <v>3.0323676523290575E-2</v>
      </c>
    </row>
    <row r="32" spans="2:21" x14ac:dyDescent="0.25">
      <c r="B32" t="str">
        <f t="shared" si="0"/>
        <v>De 7 a 10</v>
      </c>
      <c r="C32" s="1">
        <f t="shared" si="1"/>
        <v>297812.47438447003</v>
      </c>
      <c r="D32" s="1">
        <f t="shared" si="2"/>
        <v>16645.622094489998</v>
      </c>
      <c r="E32">
        <f t="shared" si="3"/>
        <v>3192689</v>
      </c>
      <c r="F32" s="2">
        <f t="shared" si="4"/>
        <v>5.5892964621088462E-2</v>
      </c>
      <c r="G32" s="1">
        <f t="shared" si="5"/>
        <v>68214097.426724941</v>
      </c>
      <c r="I32">
        <f t="shared" ref="I32:I43" si="11">+C32*1000000/$H$25</f>
        <v>317836151.95781219</v>
      </c>
      <c r="J32">
        <f t="shared" ref="J32:J43" si="12">+I32/E32</f>
        <v>99.551240962653168</v>
      </c>
      <c r="K32">
        <f t="shared" si="8"/>
        <v>8.2959367468877634</v>
      </c>
      <c r="N32">
        <f t="shared" si="9"/>
        <v>93279.51278200603</v>
      </c>
      <c r="O32" s="3">
        <f t="shared" si="10"/>
        <v>5.5892964621088462E-2</v>
      </c>
    </row>
    <row r="33" spans="2:15" x14ac:dyDescent="0.25">
      <c r="B33" t="str">
        <f t="shared" si="0"/>
        <v>De 10 a 15</v>
      </c>
      <c r="C33" s="1">
        <f t="shared" si="1"/>
        <v>330327.59886387002</v>
      </c>
      <c r="D33" s="1">
        <f t="shared" si="2"/>
        <v>28019.5296973</v>
      </c>
      <c r="E33">
        <f t="shared" si="3"/>
        <v>2429334</v>
      </c>
      <c r="F33" s="2">
        <f t="shared" si="4"/>
        <v>8.4823459479832983E-2</v>
      </c>
      <c r="G33" s="1">
        <f t="shared" si="5"/>
        <v>75661703.084157884</v>
      </c>
      <c r="I33">
        <f t="shared" si="11"/>
        <v>352537458.76613659</v>
      </c>
      <c r="J33">
        <f t="shared" si="12"/>
        <v>145.11691630962915</v>
      </c>
      <c r="K33">
        <f t="shared" si="8"/>
        <v>12.093076359135763</v>
      </c>
      <c r="N33">
        <f t="shared" si="9"/>
        <v>135974.55058212249</v>
      </c>
      <c r="O33" s="3">
        <f t="shared" si="10"/>
        <v>8.4823459479832983E-2</v>
      </c>
    </row>
    <row r="34" spans="2:15" x14ac:dyDescent="0.25">
      <c r="B34" t="str">
        <f t="shared" si="0"/>
        <v>De 15 a 20</v>
      </c>
      <c r="C34" s="1">
        <f t="shared" si="1"/>
        <v>217430.03877714</v>
      </c>
      <c r="D34" s="1">
        <f t="shared" si="2"/>
        <v>21853.67520926</v>
      </c>
      <c r="E34">
        <f t="shared" si="3"/>
        <v>1128245</v>
      </c>
      <c r="F34" s="2">
        <f t="shared" si="4"/>
        <v>0.10050899743277623</v>
      </c>
      <c r="G34" s="1">
        <f t="shared" si="5"/>
        <v>49802460.018826671</v>
      </c>
      <c r="I34">
        <f t="shared" si="11"/>
        <v>232049134.23387405</v>
      </c>
      <c r="J34">
        <f t="shared" si="12"/>
        <v>205.67264577629331</v>
      </c>
      <c r="K34">
        <f t="shared" si="8"/>
        <v>17.139387148024444</v>
      </c>
      <c r="N34">
        <f t="shared" si="9"/>
        <v>192715.26909238682</v>
      </c>
      <c r="O34" s="3">
        <f t="shared" si="10"/>
        <v>0.10050899743277623</v>
      </c>
    </row>
    <row r="35" spans="2:15" x14ac:dyDescent="0.25">
      <c r="B35" t="str">
        <f t="shared" si="0"/>
        <v>De 20 a 30</v>
      </c>
      <c r="C35" s="1">
        <f t="shared" si="1"/>
        <v>280732.92762623</v>
      </c>
      <c r="D35" s="1">
        <f t="shared" si="2"/>
        <v>29640.208779209999</v>
      </c>
      <c r="E35">
        <f t="shared" si="3"/>
        <v>1037001</v>
      </c>
      <c r="F35" s="2">
        <f t="shared" si="4"/>
        <v>0.10558151845540971</v>
      </c>
      <c r="G35" s="1">
        <f t="shared" si="5"/>
        <v>64302018.629559413</v>
      </c>
      <c r="I35">
        <f t="shared" si="11"/>
        <v>299608247.19981855</v>
      </c>
      <c r="J35">
        <f t="shared" si="12"/>
        <v>288.91799255720923</v>
      </c>
      <c r="K35">
        <f t="shared" si="8"/>
        <v>24.076499379767437</v>
      </c>
      <c r="N35">
        <f t="shared" si="9"/>
        <v>270716.15902610507</v>
      </c>
      <c r="O35" s="3">
        <f t="shared" si="10"/>
        <v>0.10558151845540971</v>
      </c>
    </row>
    <row r="36" spans="2:15" x14ac:dyDescent="0.25">
      <c r="B36" t="str">
        <f t="shared" si="0"/>
        <v>De 30 a 40</v>
      </c>
      <c r="C36" s="1">
        <f t="shared" si="1"/>
        <v>179073.59514935999</v>
      </c>
      <c r="D36" s="1">
        <f t="shared" si="2"/>
        <v>18917.318832680001</v>
      </c>
      <c r="E36">
        <f t="shared" si="3"/>
        <v>466460</v>
      </c>
      <c r="F36" s="2">
        <f t="shared" si="4"/>
        <v>0.10563991199764335</v>
      </c>
      <c r="G36" s="1">
        <f t="shared" si="5"/>
        <v>41016897.265030526</v>
      </c>
      <c r="I36">
        <f t="shared" si="11"/>
        <v>191113762.16580576</v>
      </c>
      <c r="J36">
        <f t="shared" si="12"/>
        <v>409.71093376882425</v>
      </c>
      <c r="K36">
        <f t="shared" si="8"/>
        <v>34.142577814068687</v>
      </c>
      <c r="N36">
        <f t="shared" si="9"/>
        <v>383899.14494138828</v>
      </c>
      <c r="O36" s="3">
        <f t="shared" si="10"/>
        <v>0.10563991199764335</v>
      </c>
    </row>
    <row r="37" spans="2:15" x14ac:dyDescent="0.25">
      <c r="B37" t="str">
        <f t="shared" si="0"/>
        <v>De 40 a 60</v>
      </c>
      <c r="C37" s="1">
        <f t="shared" si="1"/>
        <v>188840.28895759</v>
      </c>
      <c r="D37" s="1">
        <f t="shared" si="2"/>
        <v>17288.1808145</v>
      </c>
      <c r="E37">
        <f t="shared" si="3"/>
        <v>352400</v>
      </c>
      <c r="F37" s="2">
        <f t="shared" si="4"/>
        <v>9.154921817760299E-2</v>
      </c>
      <c r="G37" s="1">
        <f t="shared" si="5"/>
        <v>43253963.406563297</v>
      </c>
      <c r="I37">
        <f t="shared" si="11"/>
        <v>201537128.02304161</v>
      </c>
      <c r="J37">
        <f t="shared" si="12"/>
        <v>571.89877418570268</v>
      </c>
      <c r="K37">
        <f t="shared" si="8"/>
        <v>47.65823118214189</v>
      </c>
      <c r="N37">
        <f t="shared" si="9"/>
        <v>535869.15141200344</v>
      </c>
      <c r="O37" s="3">
        <f t="shared" si="10"/>
        <v>9.154921817760299E-2</v>
      </c>
    </row>
    <row r="38" spans="2:15" x14ac:dyDescent="0.25">
      <c r="B38" t="str">
        <f t="shared" si="0"/>
        <v>De 60 a 80</v>
      </c>
      <c r="C38" s="1">
        <f t="shared" si="1"/>
        <v>96176.805920850005</v>
      </c>
      <c r="D38" s="1">
        <f t="shared" si="2"/>
        <v>7183.7865431099999</v>
      </c>
      <c r="E38">
        <f t="shared" si="3"/>
        <v>125910</v>
      </c>
      <c r="F38" s="2">
        <f t="shared" si="4"/>
        <v>7.4693544605983209E-2</v>
      </c>
      <c r="G38" s="1">
        <f t="shared" si="5"/>
        <v>22029345.892363314</v>
      </c>
      <c r="I38">
        <f t="shared" si="11"/>
        <v>102643336.09482391</v>
      </c>
      <c r="J38">
        <f t="shared" si="12"/>
        <v>815.21194579321673</v>
      </c>
      <c r="K38">
        <f t="shared" si="8"/>
        <v>67.934328816101399</v>
      </c>
      <c r="N38">
        <f t="shared" si="9"/>
        <v>763853.59320824407</v>
      </c>
      <c r="O38" s="3">
        <f t="shared" si="10"/>
        <v>7.4693544605983209E-2</v>
      </c>
    </row>
    <row r="39" spans="2:15" x14ac:dyDescent="0.25">
      <c r="B39" t="str">
        <f t="shared" si="0"/>
        <v>De 80 a 160</v>
      </c>
      <c r="C39" s="1">
        <f t="shared" si="1"/>
        <v>152122.59653019998</v>
      </c>
      <c r="D39" s="1">
        <f t="shared" si="2"/>
        <v>8484.5705985599998</v>
      </c>
      <c r="E39">
        <f t="shared" si="3"/>
        <v>127080</v>
      </c>
      <c r="F39" s="2">
        <f t="shared" si="4"/>
        <v>5.577455810041744E-2</v>
      </c>
      <c r="G39" s="1">
        <f t="shared" si="5"/>
        <v>34843757.441540383</v>
      </c>
      <c r="I39">
        <f t="shared" si="11"/>
        <v>162350690.00021341</v>
      </c>
      <c r="J39">
        <f t="shared" si="12"/>
        <v>1277.547135664254</v>
      </c>
      <c r="K39">
        <f t="shared" si="8"/>
        <v>106.4622613053545</v>
      </c>
      <c r="N39">
        <f t="shared" si="9"/>
        <v>1197061.6661174062</v>
      </c>
      <c r="O39" s="3">
        <f t="shared" si="10"/>
        <v>5.577455810041744E-2</v>
      </c>
    </row>
    <row r="40" spans="2:15" x14ac:dyDescent="0.25">
      <c r="B40" t="str">
        <f t="shared" si="0"/>
        <v>De 160 a 240</v>
      </c>
      <c r="C40" s="1">
        <f t="shared" si="1"/>
        <v>62958.921352799989</v>
      </c>
      <c r="D40" s="1">
        <f t="shared" si="2"/>
        <v>2562.9993269500001</v>
      </c>
      <c r="E40">
        <f t="shared" si="3"/>
        <v>29341</v>
      </c>
      <c r="F40" s="2">
        <f t="shared" si="4"/>
        <v>4.0709073025375381E-2</v>
      </c>
      <c r="G40" s="1">
        <f t="shared" si="5"/>
        <v>14420772.682265341</v>
      </c>
      <c r="I40">
        <f t="shared" si="11"/>
        <v>67192018.519530401</v>
      </c>
      <c r="J40">
        <f t="shared" si="12"/>
        <v>2290.0384622040965</v>
      </c>
      <c r="K40">
        <f t="shared" si="8"/>
        <v>190.83653851700805</v>
      </c>
      <c r="N40">
        <f t="shared" si="9"/>
        <v>2145766.0390852387</v>
      </c>
      <c r="O40" s="3">
        <f t="shared" si="10"/>
        <v>4.0709073025375381E-2</v>
      </c>
    </row>
    <row r="41" spans="2:15" x14ac:dyDescent="0.25">
      <c r="B41" t="str">
        <f t="shared" si="0"/>
        <v>De 240 a 320</v>
      </c>
      <c r="C41" s="1">
        <f t="shared" si="1"/>
        <v>38692.908675460007</v>
      </c>
      <c r="D41" s="1">
        <f t="shared" si="2"/>
        <v>1376.0763474</v>
      </c>
      <c r="E41">
        <f t="shared" si="3"/>
        <v>12670</v>
      </c>
      <c r="F41" s="2">
        <f t="shared" si="4"/>
        <v>3.5564045053887133E-2</v>
      </c>
      <c r="G41" s="1">
        <f t="shared" si="5"/>
        <v>8862630.2426263858</v>
      </c>
      <c r="I41">
        <f t="shared" si="11"/>
        <v>41294459.632294565</v>
      </c>
      <c r="J41">
        <f t="shared" si="12"/>
        <v>3259.2312259111732</v>
      </c>
      <c r="K41">
        <f t="shared" si="8"/>
        <v>271.60260215926445</v>
      </c>
      <c r="N41">
        <f t="shared" si="9"/>
        <v>3053899.6586787691</v>
      </c>
      <c r="O41" s="3">
        <f t="shared" si="10"/>
        <v>3.5564045053887133E-2</v>
      </c>
    </row>
    <row r="42" spans="2:15" x14ac:dyDescent="0.25">
      <c r="B42" t="str">
        <f t="shared" si="0"/>
        <v>Mais de 320</v>
      </c>
      <c r="C42" s="1">
        <f t="shared" si="1"/>
        <v>290008.80827448005</v>
      </c>
      <c r="D42" s="1">
        <f t="shared" si="2"/>
        <v>5761.87617176</v>
      </c>
      <c r="E42">
        <f t="shared" si="3"/>
        <v>25177</v>
      </c>
      <c r="F42" s="2">
        <f t="shared" si="4"/>
        <v>1.9867935067360603E-2</v>
      </c>
      <c r="G42" s="1">
        <f t="shared" si="5"/>
        <v>66426663.769311145</v>
      </c>
      <c r="I42">
        <f t="shared" si="11"/>
        <v>309507799.65259343</v>
      </c>
      <c r="J42">
        <f t="shared" si="12"/>
        <v>12293.275594891902</v>
      </c>
      <c r="K42">
        <f t="shared" si="8"/>
        <v>1024.4396329076585</v>
      </c>
      <c r="N42">
        <f t="shared" si="9"/>
        <v>11518799.232413713</v>
      </c>
      <c r="O42" s="3">
        <f t="shared" si="10"/>
        <v>1.9867935067360603E-2</v>
      </c>
    </row>
    <row r="43" spans="2:15" x14ac:dyDescent="0.25">
      <c r="B43" t="str">
        <f t="shared" si="0"/>
        <v xml:space="preserve">    Total</v>
      </c>
      <c r="C43" s="1">
        <f t="shared" si="1"/>
        <v>2922485.9825377101</v>
      </c>
      <c r="D43" s="1">
        <f t="shared" si="2"/>
        <v>170190.88831615</v>
      </c>
      <c r="E43">
        <f t="shared" si="3"/>
        <v>29101516</v>
      </c>
      <c r="F43" s="2">
        <f>+D43/C43</f>
        <v>5.82349716416318E-2</v>
      </c>
      <c r="G43" s="1">
        <f t="shared" si="5"/>
        <v>669396887.93459439</v>
      </c>
      <c r="I43">
        <f t="shared" si="11"/>
        <v>3118981838.354013</v>
      </c>
      <c r="J43">
        <f t="shared" si="12"/>
        <v>107.17592301218991</v>
      </c>
      <c r="K43">
        <f t="shared" si="8"/>
        <v>8.9313269176824921</v>
      </c>
      <c r="N43">
        <f t="shared" si="9"/>
        <v>100423.83986242194</v>
      </c>
      <c r="O43" s="3">
        <f>+F43</f>
        <v>5.82349716416318E-2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E414-74DD-A647-AF57-CDDAC11CA8EB}">
  <dimension ref="B2:U43"/>
  <sheetViews>
    <sheetView workbookViewId="0">
      <selection activeCell="B3" sqref="B3"/>
    </sheetView>
  </sheetViews>
  <sheetFormatPr baseColWidth="10" defaultColWidth="8.85546875" defaultRowHeight="15" x14ac:dyDescent="0.25"/>
  <cols>
    <col min="15" max="15" width="10.28515625" customWidth="1"/>
  </cols>
  <sheetData>
    <row r="2" spans="2:21" x14ac:dyDescent="0.25">
      <c r="B2" t="str">
        <f>+'[12]faixa SM RTT+RTE+RTI'!B6</f>
        <v>Tabela 9 - Resumo das Declarações Por Faixa de Rendimentos Totais (em salários mínimos)</v>
      </c>
      <c r="C2">
        <f>+'[12]faixa SM RTT+RTE+RTI'!C6</f>
        <v>0</v>
      </c>
      <c r="D2">
        <f>+'[12]faixa SM RTT+RTE+RTI'!D6</f>
        <v>0</v>
      </c>
      <c r="E2">
        <f>+'[12]faixa SM RTT+RTE+RTI'!E6</f>
        <v>0</v>
      </c>
      <c r="F2">
        <f>+'[12]faixa SM RTT+RTE+RTI'!F6</f>
        <v>0</v>
      </c>
      <c r="G2">
        <f>+'[12]faixa SM RTT+RTE+RTI'!G6</f>
        <v>0</v>
      </c>
      <c r="H2">
        <f>+'[12]faixa SM RTT+RTE+RTI'!H6</f>
        <v>0</v>
      </c>
      <c r="I2">
        <f>+'[12]faixa SM RTT+RTE+RTI'!I6</f>
        <v>0</v>
      </c>
      <c r="J2">
        <f>+'[12]faixa SM RTT+RTE+RTI'!J6</f>
        <v>0</v>
      </c>
      <c r="K2">
        <f>+'[12]faixa SM RTT+RTE+RTI'!K6</f>
        <v>0</v>
      </c>
      <c r="L2">
        <f>+'[12]faixa SM RTT+RTE+RTI'!L6</f>
        <v>0</v>
      </c>
      <c r="M2">
        <f>+'[12]faixa SM RTT+RTE+RTI'!M6</f>
        <v>0</v>
      </c>
      <c r="N2">
        <f>+'[12]faixa SM RTT+RTE+RTI'!N6</f>
        <v>0</v>
      </c>
      <c r="O2">
        <f>+'[12]faixa SM RTT+RTE+RTI'!O6</f>
        <v>0</v>
      </c>
      <c r="P2">
        <f>+'[12]faixa SM RTT+RTE+RTI'!P6</f>
        <v>0</v>
      </c>
      <c r="Q2">
        <f>+'[12]faixa SM RTT+RTE+RTI'!Q6</f>
        <v>0</v>
      </c>
      <c r="R2">
        <f>+'[12]faixa SM RTT+RTE+RTI'!R6</f>
        <v>0</v>
      </c>
      <c r="S2">
        <f>+'[12]faixa SM RTT+RTE+RTI'!S6</f>
        <v>0</v>
      </c>
      <c r="T2">
        <f>+'[12]faixa SM RTT+RTE+RTI'!T6</f>
        <v>0</v>
      </c>
      <c r="U2" t="str">
        <f>+'[12]faixa SM RTT+RTE+RTI'!U6</f>
        <v>Valores R$ milhões</v>
      </c>
    </row>
    <row r="3" spans="2:21" x14ac:dyDescent="0.25">
      <c r="B3" t="str">
        <f>+'[12]faixa SM RTT+RTE+RTI'!B7</f>
        <v>Faixa de Salário Mín. Mensal</v>
      </c>
      <c r="C3" t="str">
        <f>+'[12]faixa SM RTT+RTE+RTI'!C7</f>
        <v>Qtde Declarantes</v>
      </c>
      <c r="D3" t="str">
        <f>+'[12]faixa SM RTT+RTE+RTI'!D7</f>
        <v>Rendim. Tribut.</v>
      </c>
      <c r="E3" t="str">
        <f>+'[12]faixa SM RTT+RTE+RTI'!E7</f>
        <v>Rendim. Tribut. Exclus.</v>
      </c>
      <c r="F3" t="str">
        <f>+'[12]faixa SM RTT+RTE+RTI'!F7</f>
        <v>Rendim. Isentos</v>
      </c>
      <c r="G3" t="str">
        <f>+'[12]faixa SM RTT+RTE+RTI'!G7</f>
        <v>DEDUÇÕES</v>
      </c>
      <c r="H3">
        <f>+'[12]faixa SM RTT+RTE+RTI'!H7</f>
        <v>0</v>
      </c>
      <c r="I3">
        <f>+'[12]faixa SM RTT+RTE+RTI'!I7</f>
        <v>0</v>
      </c>
      <c r="J3">
        <f>+'[12]faixa SM RTT+RTE+RTI'!J7</f>
        <v>0</v>
      </c>
      <c r="K3">
        <f>+'[12]faixa SM RTT+RTE+RTI'!K7</f>
        <v>0</v>
      </c>
      <c r="L3">
        <f>+'[12]faixa SM RTT+RTE+RTI'!L7</f>
        <v>0</v>
      </c>
      <c r="M3">
        <f>+'[12]faixa SM RTT+RTE+RTI'!M7</f>
        <v>0</v>
      </c>
      <c r="N3" t="str">
        <f>+'[12]faixa SM RTT+RTE+RTI'!N7</f>
        <v>Base de Cálculo (RTL)</v>
      </c>
      <c r="O3" t="str">
        <f>+'[12]faixa SM RTT+RTE+RTI'!O7</f>
        <v>Imposto Devido</v>
      </c>
      <c r="P3" t="str">
        <f>+'[12]faixa SM RTT+RTE+RTI'!P7</f>
        <v>Imposto Pago</v>
      </c>
      <c r="Q3" t="str">
        <f>+'[12]faixa SM RTT+RTE+RTI'!Q7</f>
        <v>Imposto a Pagar</v>
      </c>
      <c r="R3" t="str">
        <f>+'[12]faixa SM RTT+RTE+RTI'!R7</f>
        <v>Imposto a Restituir</v>
      </c>
      <c r="S3" t="str">
        <f>+'[12]faixa SM RTT+RTE+RTI'!S7</f>
        <v>Bens e Direitos</v>
      </c>
      <c r="T3" t="str">
        <f>+'[12]faixa SM RTT+RTE+RTI'!T7</f>
        <v>Dívidas e Ônus</v>
      </c>
      <c r="U3" t="str">
        <f>+'[12]faixa SM RTT+RTE+RTI'!U7</f>
        <v>Doações e Heranças</v>
      </c>
    </row>
    <row r="4" spans="2:21" x14ac:dyDescent="0.25">
      <c r="B4">
        <f>+'[12]faixa SM RTT+RTE+RTI'!B8</f>
        <v>0</v>
      </c>
      <c r="C4">
        <f>+'[12]faixa SM RTT+RTE+RTI'!C8</f>
        <v>0</v>
      </c>
      <c r="D4">
        <f>+'[12]faixa SM RTT+RTE+RTI'!D8</f>
        <v>0</v>
      </c>
      <c r="E4">
        <f>+'[12]faixa SM RTT+RTE+RTI'!E8</f>
        <v>0</v>
      </c>
      <c r="F4">
        <f>+'[12]faixa SM RTT+RTE+RTI'!F8</f>
        <v>0</v>
      </c>
      <c r="G4" t="str">
        <f>+'[12]faixa SM RTT+RTE+RTI'!G8</f>
        <v>Contrib. Previden.</v>
      </c>
      <c r="H4" t="str">
        <f>+'[12]faixa SM RTT+RTE+RTI'!H8</f>
        <v>Dependentes</v>
      </c>
      <c r="I4" t="str">
        <f>+'[12]faixa SM RTT+RTE+RTI'!I8</f>
        <v>Instrução</v>
      </c>
      <c r="J4" t="str">
        <f>+'[12]faixa SM RTT+RTE+RTI'!J8</f>
        <v>Médicas</v>
      </c>
      <c r="K4" t="str">
        <f>+'[12]faixa SM RTT+RTE+RTI'!K8</f>
        <v>Livro Caixa</v>
      </c>
      <c r="L4" t="str">
        <f>+'[12]faixa SM RTT+RTE+RTI'!L8</f>
        <v>Pensão Aliment.</v>
      </c>
      <c r="M4" t="str">
        <f>+'[12]faixa SM RTT+RTE+RTI'!M8</f>
        <v>Desc. Padrão</v>
      </c>
      <c r="N4">
        <f>+'[12]faixa SM RTT+RTE+RTI'!N8</f>
        <v>0</v>
      </c>
      <c r="O4">
        <f>+'[12]faixa SM RTT+RTE+RTI'!O8</f>
        <v>0</v>
      </c>
      <c r="P4">
        <f>+'[12]faixa SM RTT+RTE+RTI'!P8</f>
        <v>0</v>
      </c>
      <c r="Q4">
        <f>+'[12]faixa SM RTT+RTE+RTI'!Q8</f>
        <v>0</v>
      </c>
      <c r="R4">
        <f>+'[12]faixa SM RTT+RTE+RTI'!R8</f>
        <v>0</v>
      </c>
      <c r="S4">
        <f>+'[12]faixa SM RTT+RTE+RTI'!S8</f>
        <v>0</v>
      </c>
      <c r="T4">
        <f>+'[12]faixa SM RTT+RTE+RTI'!T8</f>
        <v>0</v>
      </c>
      <c r="U4">
        <f>+'[12]faixa SM RTT+RTE+RTI'!U8</f>
        <v>0</v>
      </c>
    </row>
    <row r="5" spans="2:21" x14ac:dyDescent="0.25">
      <c r="B5" t="str">
        <f>+'[12]faixa SM RTT+RTE+RTI'!B9</f>
        <v>Até 1/2</v>
      </c>
      <c r="C5">
        <f>+'[12]faixa SM RTT+RTE+RTI'!C9</f>
        <v>1369076</v>
      </c>
      <c r="D5">
        <f>+'[12]faixa SM RTT+RTE+RTI'!D9</f>
        <v>392.93130056999996</v>
      </c>
      <c r="E5">
        <f>+'[12]faixa SM RTT+RTE+RTI'!E9</f>
        <v>95.804604259999991</v>
      </c>
      <c r="F5">
        <f>+'[12]faixa SM RTT+RTE+RTI'!F9</f>
        <v>179.22133589000001</v>
      </c>
      <c r="G5">
        <f>+'[12]faixa SM RTT+RTE+RTI'!G9</f>
        <v>182.44160223</v>
      </c>
      <c r="H5">
        <f>+'[12]faixa SM RTT+RTE+RTI'!H9</f>
        <v>386.78407571999998</v>
      </c>
      <c r="I5">
        <f>+'[12]faixa SM RTT+RTE+RTI'!I9</f>
        <v>28.872146920000002</v>
      </c>
      <c r="J5">
        <f>+'[12]faixa SM RTT+RTE+RTI'!J9</f>
        <v>144.71008124000002</v>
      </c>
      <c r="K5">
        <f>+'[12]faixa SM RTT+RTE+RTI'!K9</f>
        <v>1.2069055200000001</v>
      </c>
      <c r="L5">
        <f>+'[12]faixa SM RTT+RTE+RTI'!L9</f>
        <v>30.391374120000005</v>
      </c>
      <c r="M5">
        <f>+'[12]faixa SM RTT+RTE+RTI'!M9</f>
        <v>44.260578330000001</v>
      </c>
      <c r="N5">
        <f>+'[12]faixa SM RTT+RTE+RTI'!N9</f>
        <v>308.45388980999996</v>
      </c>
      <c r="O5">
        <f>+'[12]faixa SM RTT+RTE+RTI'!O9</f>
        <v>9.8676730000056334E-2</v>
      </c>
      <c r="P5">
        <f>+'[12]faixa SM RTT+RTE+RTI'!P9</f>
        <v>430.03565101000004</v>
      </c>
      <c r="Q5">
        <f>+'[12]faixa SM RTT+RTE+RTI'!Q9</f>
        <v>1.1783719999999999E-2</v>
      </c>
      <c r="R5">
        <f>+'[12]faixa SM RTT+RTE+RTI'!R9</f>
        <v>429.948758</v>
      </c>
      <c r="S5">
        <f>+'[12]faixa SM RTT+RTE+RTI'!S9</f>
        <v>195476.47407734999</v>
      </c>
      <c r="T5">
        <f>+'[12]faixa SM RTT+RTE+RTI'!T9</f>
        <v>19806.29537163</v>
      </c>
      <c r="U5">
        <f>+'[12]faixa SM RTT+RTE+RTI'!U9</f>
        <v>33.980320800000001</v>
      </c>
    </row>
    <row r="6" spans="2:21" x14ac:dyDescent="0.25">
      <c r="B6" t="str">
        <f>+'[12]faixa SM RTT+RTE+RTI'!B10</f>
        <v>De 1/2 a 1</v>
      </c>
      <c r="C6">
        <f>+'[12]faixa SM RTT+RTE+RTI'!C10</f>
        <v>624019</v>
      </c>
      <c r="D6">
        <f>+'[12]faixa SM RTT+RTE+RTI'!D10</f>
        <v>5660.1782350800004</v>
      </c>
      <c r="E6">
        <f>+'[12]faixa SM RTT+RTE+RTI'!E10</f>
        <v>177.21825807000002</v>
      </c>
      <c r="F6">
        <f>+'[12]faixa SM RTT+RTE+RTI'!F10</f>
        <v>528.04017923000004</v>
      </c>
      <c r="G6">
        <f>+'[12]faixa SM RTT+RTE+RTI'!G10</f>
        <v>144.26196639999893</v>
      </c>
      <c r="H6">
        <f>+'[12]faixa SM RTT+RTE+RTI'!H10</f>
        <v>211.86227484</v>
      </c>
      <c r="I6">
        <f>+'[12]faixa SM RTT+RTE+RTI'!I10</f>
        <v>20.351680909999999</v>
      </c>
      <c r="J6">
        <f>+'[12]faixa SM RTT+RTE+RTI'!J10</f>
        <v>80.333415430000002</v>
      </c>
      <c r="K6">
        <f>+'[12]faixa SM RTT+RTE+RTI'!K10</f>
        <v>1.10228579</v>
      </c>
      <c r="L6">
        <f>+'[12]faixa SM RTT+RTE+RTI'!L10</f>
        <v>10.196321209999999</v>
      </c>
      <c r="M6">
        <f>+'[12]faixa SM RTT+RTE+RTI'!M10</f>
        <v>766.78318609000007</v>
      </c>
      <c r="N6">
        <f>+'[12]faixa SM RTT+RTE+RTI'!N10</f>
        <v>4614.3751692599999</v>
      </c>
      <c r="O6">
        <f>+'[12]faixa SM RTT+RTE+RTI'!O10</f>
        <v>0.1648118900000006</v>
      </c>
      <c r="P6">
        <f>+'[12]faixa SM RTT+RTE+RTI'!P10</f>
        <v>26.776712660000001</v>
      </c>
      <c r="Q6">
        <f>+'[12]faixa SM RTT+RTE+RTI'!Q10</f>
        <v>5.385583E-2</v>
      </c>
      <c r="R6">
        <f>+'[12]faixa SM RTT+RTE+RTI'!R10</f>
        <v>26.665756600000002</v>
      </c>
      <c r="S6">
        <f>+'[12]faixa SM RTT+RTE+RTI'!S10</f>
        <v>65320.188837520007</v>
      </c>
      <c r="T6">
        <f>+'[12]faixa SM RTT+RTE+RTI'!T10</f>
        <v>5750.6655721500001</v>
      </c>
      <c r="U6">
        <f>+'[12]faixa SM RTT+RTE+RTI'!U10</f>
        <v>15.34652455</v>
      </c>
    </row>
    <row r="7" spans="2:21" x14ac:dyDescent="0.25">
      <c r="B7" t="str">
        <f>+'[12]faixa SM RTT+RTE+RTI'!B11</f>
        <v>De 1 a 2</v>
      </c>
      <c r="C7">
        <f>+'[12]faixa SM RTT+RTE+RTI'!C11</f>
        <v>1679764</v>
      </c>
      <c r="D7">
        <f>+'[12]faixa SM RTT+RTE+RTI'!D11</f>
        <v>24272.14708721</v>
      </c>
      <c r="E7">
        <f>+'[12]faixa SM RTT+RTE+RTI'!E11</f>
        <v>1082.7894379100001</v>
      </c>
      <c r="F7">
        <f>+'[12]faixa SM RTT+RTE+RTI'!F11</f>
        <v>4211.0453028499996</v>
      </c>
      <c r="G7">
        <f>+'[12]faixa SM RTT+RTE+RTI'!G11</f>
        <v>546.87891333000005</v>
      </c>
      <c r="H7">
        <f>+'[12]faixa SM RTT+RTE+RTI'!H11</f>
        <v>783.57622835999996</v>
      </c>
      <c r="I7">
        <f>+'[12]faixa SM RTT+RTE+RTI'!I11</f>
        <v>90.962924229999999</v>
      </c>
      <c r="J7">
        <f>+'[12]faixa SM RTT+RTE+RTI'!J11</f>
        <v>393.34077773000001</v>
      </c>
      <c r="K7">
        <f>+'[12]faixa SM RTT+RTE+RTI'!K11</f>
        <v>9.93142937</v>
      </c>
      <c r="L7">
        <f>+'[12]faixa SM RTT+RTE+RTI'!L11</f>
        <v>38.506841250000008</v>
      </c>
      <c r="M7">
        <f>+'[12]faixa SM RTT+RTE+RTI'!M11</f>
        <v>3080.81318078</v>
      </c>
      <c r="N7">
        <f>+'[12]faixa SM RTT+RTE+RTI'!N11</f>
        <v>19993.75823128</v>
      </c>
      <c r="O7">
        <f>+'[12]faixa SM RTT+RTE+RTI'!O11</f>
        <v>0.95825253999999915</v>
      </c>
      <c r="P7">
        <f>+'[12]faixa SM RTT+RTE+RTI'!P11</f>
        <v>154.51190868999998</v>
      </c>
      <c r="Q7">
        <f>+'[12]faixa SM RTT+RTE+RTI'!Q11</f>
        <v>0.37069924000000004</v>
      </c>
      <c r="R7">
        <f>+'[12]faixa SM RTT+RTE+RTI'!R11</f>
        <v>153.92435538999999</v>
      </c>
      <c r="S7">
        <f>+'[12]faixa SM RTT+RTE+RTI'!S11</f>
        <v>179989.13515387001</v>
      </c>
      <c r="T7">
        <f>+'[12]faixa SM RTT+RTE+RTI'!T11</f>
        <v>16669.324312180001</v>
      </c>
      <c r="U7">
        <f>+'[12]faixa SM RTT+RTE+RTI'!U11</f>
        <v>80.555258989999999</v>
      </c>
    </row>
    <row r="8" spans="2:21" x14ac:dyDescent="0.25">
      <c r="B8" t="str">
        <f>+'[12]faixa SM RTT+RTE+RTI'!B12</f>
        <v>De 2 a 3</v>
      </c>
      <c r="C8">
        <f>+'[12]faixa SM RTT+RTE+RTI'!C12</f>
        <v>4660099</v>
      </c>
      <c r="D8">
        <f>+'[12]faixa SM RTT+RTE+RTI'!D12</f>
        <v>119325.52873672999</v>
      </c>
      <c r="E8">
        <f>+'[12]faixa SM RTT+RTE+RTI'!E12</f>
        <v>5676.7732874100002</v>
      </c>
      <c r="F8">
        <f>+'[12]faixa SM RTT+RTE+RTI'!F12</f>
        <v>10974.214977130001</v>
      </c>
      <c r="G8">
        <f>+'[12]faixa SM RTT+RTE+RTI'!G12</f>
        <v>2440.5948220199994</v>
      </c>
      <c r="H8">
        <f>+'[12]faixa SM RTT+RTE+RTI'!H12</f>
        <v>3760.1771463599998</v>
      </c>
      <c r="I8">
        <f>+'[12]faixa SM RTT+RTE+RTI'!I12</f>
        <v>573.4620731</v>
      </c>
      <c r="J8">
        <f>+'[12]faixa SM RTT+RTE+RTI'!J12</f>
        <v>1785.3684332</v>
      </c>
      <c r="K8">
        <f>+'[12]faixa SM RTT+RTE+RTI'!K12</f>
        <v>60.314721340000006</v>
      </c>
      <c r="L8">
        <f>+'[12]faixa SM RTT+RTE+RTI'!L12</f>
        <v>234.80074445</v>
      </c>
      <c r="M8">
        <f>+'[12]faixa SM RTT+RTE+RTI'!M12</f>
        <v>18799.591270590001</v>
      </c>
      <c r="N8">
        <f>+'[12]faixa SM RTT+RTE+RTI'!N12</f>
        <v>93721.294040449997</v>
      </c>
      <c r="O8">
        <f>+'[12]faixa SM RTT+RTE+RTI'!O12</f>
        <v>116.43724578</v>
      </c>
      <c r="P8">
        <f>+'[12]faixa SM RTT+RTE+RTI'!P12</f>
        <v>782.18122009000001</v>
      </c>
      <c r="Q8">
        <f>+'[12]faixa SM RTT+RTE+RTI'!Q12</f>
        <v>39.61752362</v>
      </c>
      <c r="R8">
        <f>+'[12]faixa SM RTT+RTE+RTI'!R12</f>
        <v>705.36149793000004</v>
      </c>
      <c r="S8">
        <f>+'[12]faixa SM RTT+RTE+RTI'!S12</f>
        <v>416593.93398290005</v>
      </c>
      <c r="T8">
        <f>+'[12]faixa SM RTT+RTE+RTI'!T12</f>
        <v>34855.124659749999</v>
      </c>
      <c r="U8">
        <f>+'[12]faixa SM RTT+RTE+RTI'!U12</f>
        <v>195.0041368</v>
      </c>
    </row>
    <row r="9" spans="2:21" x14ac:dyDescent="0.25">
      <c r="B9" t="str">
        <f>+'[12]faixa SM RTT+RTE+RTI'!B13</f>
        <v>De 3 a 5</v>
      </c>
      <c r="C9">
        <f>+'[12]faixa SM RTT+RTE+RTI'!C13</f>
        <v>8290113</v>
      </c>
      <c r="D9">
        <f>+'[12]faixa SM RTT+RTE+RTI'!D13</f>
        <v>301357.99486535997</v>
      </c>
      <c r="E9">
        <f>+'[12]faixa SM RTT+RTE+RTI'!E13</f>
        <v>24140.211429819999</v>
      </c>
      <c r="F9">
        <f>+'[12]faixa SM RTT+RTE+RTI'!F13</f>
        <v>44068.866035389998</v>
      </c>
      <c r="G9">
        <f>+'[12]faixa SM RTT+RTE+RTI'!G13</f>
        <v>12318.0783882</v>
      </c>
      <c r="H9">
        <f>+'[12]faixa SM RTT+RTE+RTI'!H13</f>
        <v>13035.96724152</v>
      </c>
      <c r="I9">
        <f>+'[12]faixa SM RTT+RTE+RTI'!I13</f>
        <v>4246.0214667700002</v>
      </c>
      <c r="J9">
        <f>+'[12]faixa SM RTT+RTE+RTI'!J13</f>
        <v>11348.50665732</v>
      </c>
      <c r="K9">
        <f>+'[12]faixa SM RTT+RTE+RTI'!K13</f>
        <v>397.11965143000003</v>
      </c>
      <c r="L9">
        <f>+'[12]faixa SM RTT+RTE+RTI'!L13</f>
        <v>1727.2264602199998</v>
      </c>
      <c r="M9">
        <f>+'[12]faixa SM RTT+RTE+RTI'!M13</f>
        <v>35894.853069249999</v>
      </c>
      <c r="N9">
        <f>+'[12]faixa SM RTT+RTE+RTI'!N13</f>
        <v>226443.21015150999</v>
      </c>
      <c r="O9">
        <f>+'[12]faixa SM RTT+RTE+RTI'!O13</f>
        <v>4324.8465326899995</v>
      </c>
      <c r="P9">
        <f>+'[12]faixa SM RTT+RTE+RTI'!P13</f>
        <v>14016.30811659</v>
      </c>
      <c r="Q9">
        <f>+'[12]faixa SM RTT+RTE+RTI'!Q13</f>
        <v>749.41822747999993</v>
      </c>
      <c r="R9">
        <f>+'[12]faixa SM RTT+RTE+RTI'!R13</f>
        <v>10440.87981138</v>
      </c>
      <c r="S9">
        <f>+'[12]faixa SM RTT+RTE+RTI'!S13</f>
        <v>729050.78192902007</v>
      </c>
      <c r="T9">
        <f>+'[12]faixa SM RTT+RTE+RTI'!T13</f>
        <v>71025.112109180001</v>
      </c>
      <c r="U9">
        <f>+'[12]faixa SM RTT+RTE+RTI'!U13</f>
        <v>841.13042684999994</v>
      </c>
    </row>
    <row r="10" spans="2:21" x14ac:dyDescent="0.25">
      <c r="B10" t="str">
        <f>+'[12]faixa SM RTT+RTE+RTI'!B14</f>
        <v>De 5 a 7</v>
      </c>
      <c r="C10">
        <f>+'[12]faixa SM RTT+RTE+RTI'!C14</f>
        <v>4390660</v>
      </c>
      <c r="D10">
        <f>+'[12]faixa SM RTT+RTE+RTI'!D14</f>
        <v>231110.23348900001</v>
      </c>
      <c r="E10">
        <f>+'[12]faixa SM RTT+RTE+RTI'!E14</f>
        <v>21147.81283997</v>
      </c>
      <c r="F10">
        <f>+'[12]faixa SM RTT+RTE+RTI'!F14</f>
        <v>43927.469266140004</v>
      </c>
      <c r="G10">
        <f>+'[12]faixa SM RTT+RTE+RTI'!G14</f>
        <v>9704.6457552800002</v>
      </c>
      <c r="H10">
        <f>+'[12]faixa SM RTT+RTE+RTI'!H14</f>
        <v>7735.7315661600005</v>
      </c>
      <c r="I10">
        <f>+'[12]faixa SM RTT+RTE+RTI'!I14</f>
        <v>4170.47527102</v>
      </c>
      <c r="J10">
        <f>+'[12]faixa SM RTT+RTE+RTI'!J14</f>
        <v>12031.338390280001</v>
      </c>
      <c r="K10">
        <f>+'[12]faixa SM RTT+RTE+RTI'!K14</f>
        <v>595.53498456</v>
      </c>
      <c r="L10">
        <f>+'[12]faixa SM RTT+RTE+RTI'!L14</f>
        <v>1836.9894343600001</v>
      </c>
      <c r="M10">
        <f>+'[12]faixa SM RTT+RTE+RTI'!M14</f>
        <v>25862.27265237</v>
      </c>
      <c r="N10">
        <f>+'[12]faixa SM RTT+RTE+RTI'!N14</f>
        <v>171417.17173528997</v>
      </c>
      <c r="O10">
        <f>+'[12]faixa SM RTT+RTE+RTI'!O14</f>
        <v>9309.2411164000005</v>
      </c>
      <c r="P10">
        <f>+'[12]faixa SM RTT+RTE+RTI'!P14</f>
        <v>12138.187874269999</v>
      </c>
      <c r="Q10">
        <f>+'[12]faixa SM RTT+RTE+RTI'!Q14</f>
        <v>1531.0003891199999</v>
      </c>
      <c r="R10">
        <f>+'[12]faixa SM RTT+RTE+RTI'!R14</f>
        <v>4359.94714699</v>
      </c>
      <c r="S10">
        <f>+'[12]faixa SM RTT+RTE+RTI'!S14</f>
        <v>592801.32257113</v>
      </c>
      <c r="T10">
        <f>+'[12]faixa SM RTT+RTE+RTI'!T14</f>
        <v>60037.63484494001</v>
      </c>
      <c r="U10">
        <f>+'[12]faixa SM RTT+RTE+RTI'!U14</f>
        <v>1578.2551870699999</v>
      </c>
    </row>
    <row r="11" spans="2:21" x14ac:dyDescent="0.25">
      <c r="B11" t="str">
        <f>+'[12]faixa SM RTT+RTE+RTI'!B15</f>
        <v>De 7 a 10</v>
      </c>
      <c r="C11">
        <f>+'[12]faixa SM RTT+RTE+RTI'!C15</f>
        <v>3306828</v>
      </c>
      <c r="D11">
        <f>+'[12]faixa SM RTT+RTE+RTI'!D15</f>
        <v>237048.34406346999</v>
      </c>
      <c r="E11">
        <f>+'[12]faixa SM RTT+RTE+RTI'!E15</f>
        <v>23752.183616620001</v>
      </c>
      <c r="F11">
        <f>+'[12]faixa SM RTT+RTE+RTI'!F15</f>
        <v>54172.228540560005</v>
      </c>
      <c r="G11">
        <f>+'[12]faixa SM RTT+RTE+RTI'!G15</f>
        <v>10038.77449251</v>
      </c>
      <c r="H11">
        <f>+'[12]faixa SM RTT+RTE+RTI'!H15</f>
        <v>6172.5878003999997</v>
      </c>
      <c r="I11">
        <f>+'[12]faixa SM RTT+RTE+RTI'!I15</f>
        <v>4010.4985264800002</v>
      </c>
      <c r="J11">
        <f>+'[12]faixa SM RTT+RTE+RTI'!J15</f>
        <v>12984.208181829999</v>
      </c>
      <c r="K11">
        <f>+'[12]faixa SM RTT+RTE+RTI'!K15</f>
        <v>958.23158007000006</v>
      </c>
      <c r="L11">
        <f>+'[12]faixa SM RTT+RTE+RTI'!L15</f>
        <v>2251.7987296800002</v>
      </c>
      <c r="M11">
        <f>+'[12]faixa SM RTT+RTE+RTI'!M15</f>
        <v>24326.918856730001</v>
      </c>
      <c r="N11">
        <f>+'[12]faixa SM RTT+RTE+RTI'!N15</f>
        <v>178071.47121504002</v>
      </c>
      <c r="O11">
        <f>+'[12]faixa SM RTT+RTE+RTI'!O15</f>
        <v>18089.225590530001</v>
      </c>
      <c r="P11">
        <f>+'[12]faixa SM RTT+RTE+RTI'!P15</f>
        <v>19891.384042179998</v>
      </c>
      <c r="Q11">
        <f>+'[12]faixa SM RTT+RTE+RTI'!Q15</f>
        <v>2828.5781386799999</v>
      </c>
      <c r="R11">
        <f>+'[12]faixa SM RTT+RTE+RTI'!R15</f>
        <v>4630.7365903299997</v>
      </c>
      <c r="S11">
        <f>+'[12]faixa SM RTT+RTE+RTI'!S15</f>
        <v>658254.11107654008</v>
      </c>
      <c r="T11">
        <f>+'[12]faixa SM RTT+RTE+RTI'!T15</f>
        <v>65799.861120490008</v>
      </c>
      <c r="U11">
        <f>+'[12]faixa SM RTT+RTE+RTI'!U15</f>
        <v>2541.13590376</v>
      </c>
    </row>
    <row r="12" spans="2:21" x14ac:dyDescent="0.25">
      <c r="B12" t="str">
        <f>+'[12]faixa SM RTT+RTE+RTI'!B16</f>
        <v>De 10 a 15</v>
      </c>
      <c r="C12">
        <f>+'[12]faixa SM RTT+RTE+RTI'!C16</f>
        <v>2541487</v>
      </c>
      <c r="D12">
        <f>+'[12]faixa SM RTT+RTE+RTI'!D16</f>
        <v>251768.19092160999</v>
      </c>
      <c r="E12">
        <f>+'[12]faixa SM RTT+RTE+RTI'!E16</f>
        <v>27779.37077781</v>
      </c>
      <c r="F12">
        <f>+'[12]faixa SM RTT+RTE+RTI'!F16</f>
        <v>73761.976294580003</v>
      </c>
      <c r="G12">
        <f>+'[12]faixa SM RTT+RTE+RTI'!G16</f>
        <v>12764.735000709999</v>
      </c>
      <c r="H12">
        <f>+'[12]faixa SM RTT+RTE+RTI'!H16</f>
        <v>4743.6077773199995</v>
      </c>
      <c r="I12">
        <f>+'[12]faixa SM RTT+RTE+RTI'!I16</f>
        <v>3467.9285023800003</v>
      </c>
      <c r="J12">
        <f>+'[12]faixa SM RTT+RTE+RTI'!J16</f>
        <v>14433.21364242</v>
      </c>
      <c r="K12">
        <f>+'[12]faixa SM RTT+RTE+RTI'!K16</f>
        <v>1518.1668844999999</v>
      </c>
      <c r="L12">
        <f>+'[12]faixa SM RTT+RTE+RTI'!L16</f>
        <v>2572.7585288400001</v>
      </c>
      <c r="M12">
        <f>+'[12]faixa SM RTT+RTE+RTI'!M16</f>
        <v>15933.179066909999</v>
      </c>
      <c r="N12">
        <f>+'[12]faixa SM RTT+RTE+RTI'!N16</f>
        <v>197669.09188719001</v>
      </c>
      <c r="O12">
        <f>+'[12]faixa SM RTT+RTE+RTI'!O16</f>
        <v>30409.566571440002</v>
      </c>
      <c r="P12">
        <f>+'[12]faixa SM RTT+RTE+RTI'!P16</f>
        <v>30501.355139430001</v>
      </c>
      <c r="Q12">
        <f>+'[12]faixa SM RTT+RTE+RTI'!Q16</f>
        <v>3828.1324548399998</v>
      </c>
      <c r="R12">
        <f>+'[12]faixa SM RTT+RTE+RTI'!R16</f>
        <v>3919.9210228300003</v>
      </c>
      <c r="S12">
        <f>+'[12]faixa SM RTT+RTE+RTI'!S16</f>
        <v>791109.61434744997</v>
      </c>
      <c r="T12">
        <f>+'[12]faixa SM RTT+RTE+RTI'!T16</f>
        <v>75538.1214645</v>
      </c>
      <c r="U12">
        <f>+'[12]faixa SM RTT+RTE+RTI'!U16</f>
        <v>3749.6126237200001</v>
      </c>
    </row>
    <row r="13" spans="2:21" x14ac:dyDescent="0.25">
      <c r="B13" t="str">
        <f>+'[12]faixa SM RTT+RTE+RTI'!B17</f>
        <v>De 15 a 20</v>
      </c>
      <c r="C13">
        <f>+'[12]faixa SM RTT+RTE+RTI'!C17</f>
        <v>1169498</v>
      </c>
      <c r="D13">
        <f>+'[12]faixa SM RTT+RTE+RTI'!D17</f>
        <v>154055.84741511001</v>
      </c>
      <c r="E13">
        <f>+'[12]faixa SM RTT+RTE+RTI'!E17</f>
        <v>19618.36652589</v>
      </c>
      <c r="F13">
        <f>+'[12]faixa SM RTT+RTE+RTI'!F17</f>
        <v>57014.275709170004</v>
      </c>
      <c r="G13">
        <f>+'[12]faixa SM RTT+RTE+RTI'!G17</f>
        <v>9566.7892119799999</v>
      </c>
      <c r="H13">
        <f>+'[12]faixa SM RTT+RTE+RTI'!H17</f>
        <v>2172.9175326</v>
      </c>
      <c r="I13">
        <f>+'[12]faixa SM RTT+RTE+RTI'!I17</f>
        <v>1682.57837834</v>
      </c>
      <c r="J13">
        <f>+'[12]faixa SM RTT+RTE+RTI'!J17</f>
        <v>9031.868751760001</v>
      </c>
      <c r="K13">
        <f>+'[12]faixa SM RTT+RTE+RTI'!K17</f>
        <v>1223.01290176</v>
      </c>
      <c r="L13">
        <f>+'[12]faixa SM RTT+RTE+RTI'!L17</f>
        <v>1662.9608843599999</v>
      </c>
      <c r="M13">
        <f>+'[12]faixa SM RTT+RTE+RTI'!M17</f>
        <v>5074.15185561</v>
      </c>
      <c r="N13">
        <f>+'[12]faixa SM RTT+RTE+RTI'!N17</f>
        <v>124396.51081000999</v>
      </c>
      <c r="O13">
        <f>+'[12]faixa SM RTT+RTE+RTI'!O17</f>
        <v>23263.000222179999</v>
      </c>
      <c r="P13">
        <f>+'[12]faixa SM RTT+RTE+RTI'!P17</f>
        <v>22884.600439690003</v>
      </c>
      <c r="Q13">
        <f>+'[12]faixa SM RTT+RTE+RTI'!Q17</f>
        <v>2384.1268742000002</v>
      </c>
      <c r="R13">
        <f>+'[12]faixa SM RTT+RTE+RTI'!R17</f>
        <v>2005.72709171</v>
      </c>
      <c r="S13">
        <f>+'[12]faixa SM RTT+RTE+RTI'!S17</f>
        <v>577370.74237852998</v>
      </c>
      <c r="T13">
        <f>+'[12]faixa SM RTT+RTE+RTI'!T17</f>
        <v>51710.620232320005</v>
      </c>
      <c r="U13">
        <f>+'[12]faixa SM RTT+RTE+RTI'!U17</f>
        <v>3194.2012268899998</v>
      </c>
    </row>
    <row r="14" spans="2:21" x14ac:dyDescent="0.25">
      <c r="B14" t="str">
        <f>+'[12]faixa SM RTT+RTE+RTI'!B18</f>
        <v>De 20 a 30</v>
      </c>
      <c r="C14">
        <f>+'[12]faixa SM RTT+RTE+RTI'!C18</f>
        <v>1075552</v>
      </c>
      <c r="D14">
        <f>+'[12]faixa SM RTT+RTE+RTI'!D18</f>
        <v>184596.27458771001</v>
      </c>
      <c r="E14">
        <f>+'[12]faixa SM RTT+RTE+RTI'!E18</f>
        <v>27250.404223360001</v>
      </c>
      <c r="F14">
        <f>+'[12]faixa SM RTT+RTE+RTI'!F18</f>
        <v>86200.970263650001</v>
      </c>
      <c r="G14">
        <f>+'[12]faixa SM RTT+RTE+RTI'!G18</f>
        <v>13161.70424488</v>
      </c>
      <c r="H14">
        <f>+'[12]faixa SM RTT+RTE+RTI'!H18</f>
        <v>1970.3694352799998</v>
      </c>
      <c r="I14">
        <f>+'[12]faixa SM RTT+RTE+RTI'!I18</f>
        <v>1554.62730128</v>
      </c>
      <c r="J14">
        <f>+'[12]faixa SM RTT+RTE+RTI'!J18</f>
        <v>10474.71567525</v>
      </c>
      <c r="K14">
        <f>+'[12]faixa SM RTT+RTE+RTI'!K18</f>
        <v>1947.34496911</v>
      </c>
      <c r="L14">
        <f>+'[12]faixa SM RTT+RTE+RTI'!L18</f>
        <v>2100.7248564700003</v>
      </c>
      <c r="M14">
        <f>+'[12]faixa SM RTT+RTE+RTI'!M18</f>
        <v>3422.8704441700002</v>
      </c>
      <c r="N14">
        <f>+'[12]faixa SM RTT+RTE+RTI'!N18</f>
        <v>151026.77406969</v>
      </c>
      <c r="O14">
        <f>+'[12]faixa SM RTT+RTE+RTI'!O18</f>
        <v>31547.919070540003</v>
      </c>
      <c r="P14">
        <f>+'[12]faixa SM RTT+RTE+RTI'!P18</f>
        <v>30940.601032669998</v>
      </c>
      <c r="Q14">
        <f>+'[12]faixa SM RTT+RTE+RTI'!Q18</f>
        <v>2746.1435569000005</v>
      </c>
      <c r="R14">
        <f>+'[12]faixa SM RTT+RTE+RTI'!R18</f>
        <v>2138.8255190300001</v>
      </c>
      <c r="S14">
        <f>+'[12]faixa SM RTT+RTE+RTI'!S18</f>
        <v>820644.81916300999</v>
      </c>
      <c r="T14">
        <f>+'[12]faixa SM RTT+RTE+RTI'!T18</f>
        <v>64515.553324170003</v>
      </c>
      <c r="U14">
        <f>+'[12]faixa SM RTT+RTE+RTI'!U18</f>
        <v>5539.4294624600007</v>
      </c>
    </row>
    <row r="15" spans="2:21" x14ac:dyDescent="0.25">
      <c r="B15" t="str">
        <f>+'[12]faixa SM RTT+RTE+RTI'!B19</f>
        <v>De 30 a 40</v>
      </c>
      <c r="C15">
        <f>+'[12]faixa SM RTT+RTE+RTI'!C19</f>
        <v>487374</v>
      </c>
      <c r="D15">
        <f>+'[12]faixa SM RTT+RTE+RTI'!D19</f>
        <v>109732.08853677</v>
      </c>
      <c r="E15">
        <f>+'[12]faixa SM RTT+RTE+RTI'!E19</f>
        <v>18357.965290960001</v>
      </c>
      <c r="F15">
        <f>+'[12]faixa SM RTT+RTE+RTI'!F19</f>
        <v>63872.361006599996</v>
      </c>
      <c r="G15">
        <f>+'[12]faixa SM RTT+RTE+RTI'!G19</f>
        <v>8568.6713167500002</v>
      </c>
      <c r="H15">
        <f>+'[12]faixa SM RTT+RTE+RTI'!H19</f>
        <v>871.36929048000013</v>
      </c>
      <c r="I15">
        <f>+'[12]faixa SM RTT+RTE+RTI'!I19</f>
        <v>696.78288254999995</v>
      </c>
      <c r="J15">
        <f>+'[12]faixa SM RTT+RTE+RTI'!J19</f>
        <v>6063.4323460200003</v>
      </c>
      <c r="K15">
        <f>+'[12]faixa SM RTT+RTE+RTI'!K19</f>
        <v>1412.7985314</v>
      </c>
      <c r="L15">
        <f>+'[12]faixa SM RTT+RTE+RTI'!L19</f>
        <v>1342.8306988000002</v>
      </c>
      <c r="M15">
        <f>+'[12]faixa SM RTT+RTE+RTI'!M19</f>
        <v>1256.1611930199999</v>
      </c>
      <c r="N15">
        <f>+'[12]faixa SM RTT+RTE+RTI'!N19</f>
        <v>90389.8489347</v>
      </c>
      <c r="O15">
        <f>+'[12]faixa SM RTT+RTE+RTI'!O19</f>
        <v>20361.41063921</v>
      </c>
      <c r="P15">
        <f>+'[12]faixa SM RTT+RTE+RTI'!P19</f>
        <v>20016.68930559</v>
      </c>
      <c r="Q15">
        <f>+'[12]faixa SM RTT+RTE+RTI'!Q19</f>
        <v>1633.3114891800001</v>
      </c>
      <c r="R15">
        <f>+'[12]faixa SM RTT+RTE+RTI'!R19</f>
        <v>1288.5901555600001</v>
      </c>
      <c r="S15">
        <f>+'[12]faixa SM RTT+RTE+RTI'!S19</f>
        <v>575514.08169539995</v>
      </c>
      <c r="T15">
        <f>+'[12]faixa SM RTT+RTE+RTI'!T19</f>
        <v>37878.844840749996</v>
      </c>
      <c r="U15">
        <f>+'[12]faixa SM RTT+RTE+RTI'!U19</f>
        <v>4373.5309732099995</v>
      </c>
    </row>
    <row r="16" spans="2:21" x14ac:dyDescent="0.25">
      <c r="B16" t="str">
        <f>+'[12]faixa SM RTT+RTE+RTI'!B20</f>
        <v>De 40 a 60</v>
      </c>
      <c r="C16">
        <f>+'[12]faixa SM RTT+RTE+RTI'!C20</f>
        <v>356811</v>
      </c>
      <c r="D16">
        <f>+'[12]faixa SM RTT+RTE+RTI'!D20</f>
        <v>93241.624778040001</v>
      </c>
      <c r="E16">
        <f>+'[12]faixa SM RTT+RTE+RTI'!E20</f>
        <v>21886.076074709999</v>
      </c>
      <c r="F16">
        <f>+'[12]faixa SM RTT+RTE+RTI'!F20</f>
        <v>81035.776068770007</v>
      </c>
      <c r="G16">
        <f>+'[12]faixa SM RTT+RTE+RTI'!G20</f>
        <v>6837.5521329900002</v>
      </c>
      <c r="H16">
        <f>+'[12]faixa SM RTT+RTE+RTI'!H20</f>
        <v>660.98126748000004</v>
      </c>
      <c r="I16">
        <f>+'[12]faixa SM RTT+RTE+RTI'!I20</f>
        <v>550.63233857</v>
      </c>
      <c r="J16">
        <f>+'[12]faixa SM RTT+RTE+RTI'!J20</f>
        <v>4743.2255768900004</v>
      </c>
      <c r="K16">
        <f>+'[12]faixa SM RTT+RTE+RTI'!K20</f>
        <v>1851.3344748499999</v>
      </c>
      <c r="L16">
        <f>+'[12]faixa SM RTT+RTE+RTI'!L20</f>
        <v>1069.7463614899998</v>
      </c>
      <c r="M16">
        <f>+'[12]faixa SM RTT+RTE+RTI'!M20</f>
        <v>970.48448397000004</v>
      </c>
      <c r="N16">
        <f>+'[12]faixa SM RTT+RTE+RTI'!N20</f>
        <v>77110.892376150005</v>
      </c>
      <c r="O16">
        <f>+'[12]faixa SM RTT+RTE+RTI'!O20</f>
        <v>17967.868113159999</v>
      </c>
      <c r="P16">
        <f>+'[12]faixa SM RTT+RTE+RTI'!P20</f>
        <v>17221.536975430001</v>
      </c>
      <c r="Q16">
        <f>+'[12]faixa SM RTT+RTE+RTI'!Q20</f>
        <v>1703.0693144899999</v>
      </c>
      <c r="R16">
        <f>+'[12]faixa SM RTT+RTE+RTI'!R20</f>
        <v>956.73817675999999</v>
      </c>
      <c r="S16">
        <f>+'[12]faixa SM RTT+RTE+RTI'!S20</f>
        <v>657985.92027346999</v>
      </c>
      <c r="T16">
        <f>+'[12]faixa SM RTT+RTE+RTI'!T20</f>
        <v>40679.611283370003</v>
      </c>
      <c r="U16">
        <f>+'[12]faixa SM RTT+RTE+RTI'!U20</f>
        <v>6716.3741309699999</v>
      </c>
    </row>
    <row r="17" spans="2:21" x14ac:dyDescent="0.25">
      <c r="B17" t="str">
        <f>+'[12]faixa SM RTT+RTE+RTI'!B21</f>
        <v>De 60 a 80</v>
      </c>
      <c r="C17">
        <f>+'[12]faixa SM RTT+RTE+RTI'!C21</f>
        <v>123515</v>
      </c>
      <c r="D17">
        <f>+'[12]faixa SM RTT+RTE+RTI'!D21</f>
        <v>35609.521632260003</v>
      </c>
      <c r="E17">
        <f>+'[12]faixa SM RTT+RTE+RTI'!E21</f>
        <v>12227.036604000001</v>
      </c>
      <c r="F17">
        <f>+'[12]faixa SM RTT+RTE+RTI'!F21</f>
        <v>49119.452718389999</v>
      </c>
      <c r="G17">
        <f>+'[12]faixa SM RTT+RTE+RTI'!G21</f>
        <v>2174.2902782199999</v>
      </c>
      <c r="H17">
        <f>+'[12]faixa SM RTT+RTE+RTI'!H21</f>
        <v>225.3125478</v>
      </c>
      <c r="I17">
        <f>+'[12]faixa SM RTT+RTE+RTI'!I21</f>
        <v>183.02236402</v>
      </c>
      <c r="J17">
        <f>+'[12]faixa SM RTT+RTE+RTI'!J21</f>
        <v>1648.55647894</v>
      </c>
      <c r="K17">
        <f>+'[12]faixa SM RTT+RTE+RTI'!K21</f>
        <v>1018.61520623</v>
      </c>
      <c r="L17">
        <f>+'[12]faixa SM RTT+RTE+RTI'!L21</f>
        <v>390.94588275000007</v>
      </c>
      <c r="M17">
        <f>+'[12]faixa SM RTT+RTE+RTI'!M21</f>
        <v>386.32692663</v>
      </c>
      <c r="N17">
        <f>+'[12]faixa SM RTT+RTE+RTI'!N21</f>
        <v>29763.98887909</v>
      </c>
      <c r="O17">
        <f>+'[12]faixa SM RTT+RTE+RTI'!O21</f>
        <v>7096.3114881499996</v>
      </c>
      <c r="P17">
        <f>+'[12]faixa SM RTT+RTE+RTI'!P21</f>
        <v>6634.3309200799995</v>
      </c>
      <c r="Q17">
        <f>+'[12]faixa SM RTT+RTE+RTI'!Q21</f>
        <v>818.08907374</v>
      </c>
      <c r="R17">
        <f>+'[12]faixa SM RTT+RTE+RTI'!R21</f>
        <v>356.10850567000006</v>
      </c>
      <c r="S17">
        <f>+'[12]faixa SM RTT+RTE+RTI'!S21</f>
        <v>363226.91407176998</v>
      </c>
      <c r="T17">
        <f>+'[12]faixa SM RTT+RTE+RTI'!T21</f>
        <v>20571.068749409998</v>
      </c>
      <c r="U17">
        <f>+'[12]faixa SM RTT+RTE+RTI'!U21</f>
        <v>4634.0226903799994</v>
      </c>
    </row>
    <row r="18" spans="2:21" x14ac:dyDescent="0.25">
      <c r="B18" t="str">
        <f>+'[12]faixa SM RTT+RTE+RTI'!B22</f>
        <v>De 80 a 160</v>
      </c>
      <c r="C18">
        <f>+'[12]faixa SM RTT+RTE+RTI'!C22</f>
        <v>125552</v>
      </c>
      <c r="D18">
        <f>+'[12]faixa SM RTT+RTE+RTI'!D22</f>
        <v>40920.28555588</v>
      </c>
      <c r="E18">
        <f>+'[12]faixa SM RTT+RTE+RTI'!E22</f>
        <v>21534.296236260001</v>
      </c>
      <c r="F18">
        <f>+'[12]faixa SM RTT+RTE+RTI'!F22</f>
        <v>92329.584441269995</v>
      </c>
      <c r="G18">
        <f>+'[12]faixa SM RTT+RTE+RTI'!G22</f>
        <v>1893.6408092900001</v>
      </c>
      <c r="H18">
        <f>+'[12]faixa SM RTT+RTE+RTI'!H22</f>
        <v>218.08234356000003</v>
      </c>
      <c r="I18">
        <f>+'[12]faixa SM RTT+RTE+RTI'!I22</f>
        <v>170.30571002000002</v>
      </c>
      <c r="J18">
        <f>+'[12]faixa SM RTT+RTE+RTI'!J22</f>
        <v>1691.26756198</v>
      </c>
      <c r="K18">
        <f>+'[12]faixa SM RTT+RTE+RTI'!K22</f>
        <v>1711.2732589899999</v>
      </c>
      <c r="L18">
        <f>+'[12]faixa SM RTT+RTE+RTI'!L22</f>
        <v>385.39136887000006</v>
      </c>
      <c r="M18">
        <f>+'[12]faixa SM RTT+RTE+RTI'!M22</f>
        <v>458.59249579000004</v>
      </c>
      <c r="N18">
        <f>+'[12]faixa SM RTT+RTE+RTI'!N22</f>
        <v>34662.210884389999</v>
      </c>
      <c r="O18">
        <f>+'[12]faixa SM RTT+RTE+RTI'!O22</f>
        <v>8433.4389390200013</v>
      </c>
      <c r="P18">
        <f>+'[12]faixa SM RTT+RTE+RTI'!P22</f>
        <v>7607.0532610700002</v>
      </c>
      <c r="Q18">
        <f>+'[12]faixa SM RTT+RTE+RTI'!Q22</f>
        <v>1225.5476775700001</v>
      </c>
      <c r="R18">
        <f>+'[12]faixa SM RTT+RTE+RTI'!R22</f>
        <v>399.16199962000002</v>
      </c>
      <c r="S18">
        <f>+'[12]faixa SM RTT+RTE+RTI'!S22</f>
        <v>663190.62108076003</v>
      </c>
      <c r="T18">
        <f>+'[12]faixa SM RTT+RTE+RTI'!T22</f>
        <v>34301.021938639999</v>
      </c>
      <c r="U18">
        <f>+'[12]faixa SM RTT+RTE+RTI'!U22</f>
        <v>10626.233891510001</v>
      </c>
    </row>
    <row r="19" spans="2:21" x14ac:dyDescent="0.25">
      <c r="B19" t="str">
        <f>+'[12]faixa SM RTT+RTE+RTI'!B23</f>
        <v>De 160 a 240</v>
      </c>
      <c r="C19">
        <f>+'[12]faixa SM RTT+RTE+RTI'!C23</f>
        <v>29755</v>
      </c>
      <c r="D19">
        <f>+'[12]faixa SM RTT+RTE+RTI'!D23</f>
        <v>12332.252015959999</v>
      </c>
      <c r="E19">
        <f>+'[12]faixa SM RTT+RTE+RTI'!E23</f>
        <v>9774.6148519599992</v>
      </c>
      <c r="F19">
        <f>+'[12]faixa SM RTT+RTE+RTI'!F23</f>
        <v>43751.485666139997</v>
      </c>
      <c r="G19">
        <f>+'[12]faixa SM RTT+RTE+RTI'!G23</f>
        <v>402.83766237999998</v>
      </c>
      <c r="H19">
        <f>+'[12]faixa SM RTT+RTE+RTI'!H23</f>
        <v>50.668306680000001</v>
      </c>
      <c r="I19">
        <f>+'[12]faixa SM RTT+RTE+RTI'!I23</f>
        <v>37.622085320000004</v>
      </c>
      <c r="J19">
        <f>+'[12]faixa SM RTT+RTE+RTI'!J23</f>
        <v>448.88888907999996</v>
      </c>
      <c r="K19">
        <f>+'[12]faixa SM RTT+RTE+RTI'!K23</f>
        <v>877.03650057000004</v>
      </c>
      <c r="L19">
        <f>+'[12]faixa SM RTT+RTE+RTI'!L23</f>
        <v>101.65867182000001</v>
      </c>
      <c r="M19">
        <f>+'[12]faixa SM RTT+RTE+RTI'!M23</f>
        <v>116.07806463</v>
      </c>
      <c r="N19">
        <f>+'[12]faixa SM RTT+RTE+RTI'!N23</f>
        <v>10382.5733612</v>
      </c>
      <c r="O19">
        <f>+'[12]faixa SM RTT+RTE+RTI'!O23</f>
        <v>2606.0986414199997</v>
      </c>
      <c r="P19">
        <f>+'[12]faixa SM RTT+RTE+RTI'!P23</f>
        <v>2229.96941023</v>
      </c>
      <c r="Q19">
        <f>+'[12]faixa SM RTT+RTE+RTI'!Q23</f>
        <v>477.16516236999996</v>
      </c>
      <c r="R19">
        <f>+'[12]faixa SM RTT+RTE+RTI'!R23</f>
        <v>101.03593117999999</v>
      </c>
      <c r="S19">
        <f>+'[12]faixa SM RTT+RTE+RTI'!S23</f>
        <v>310228.89226356999</v>
      </c>
      <c r="T19">
        <f>+'[12]faixa SM RTT+RTE+RTI'!T23</f>
        <v>14366.474991890002</v>
      </c>
      <c r="U19">
        <f>+'[12]faixa SM RTT+RTE+RTI'!U23</f>
        <v>5687.1003563000004</v>
      </c>
    </row>
    <row r="20" spans="2:21" x14ac:dyDescent="0.25">
      <c r="B20" t="str">
        <f>+'[12]faixa SM RTT+RTE+RTI'!B24</f>
        <v>De 240 a 320</v>
      </c>
      <c r="C20">
        <f>+'[12]faixa SM RTT+RTE+RTI'!C24</f>
        <v>12812</v>
      </c>
      <c r="D20">
        <f>+'[12]faixa SM RTT+RTE+RTI'!D24</f>
        <v>6590.9098880700003</v>
      </c>
      <c r="E20">
        <f>+'[12]faixa SM RTT+RTE+RTI'!E24</f>
        <v>6371.5344196999995</v>
      </c>
      <c r="F20">
        <f>+'[12]faixa SM RTT+RTE+RTI'!F24</f>
        <v>27463.68105422</v>
      </c>
      <c r="G20">
        <f>+'[12]faixa SM RTT+RTE+RTI'!G24</f>
        <v>210.76069272000001</v>
      </c>
      <c r="H20">
        <f>+'[12]faixa SM RTT+RTE+RTI'!H24</f>
        <v>22.34583576</v>
      </c>
      <c r="I20">
        <f>+'[12]faixa SM RTT+RTE+RTI'!I24</f>
        <v>16.164131449999999</v>
      </c>
      <c r="J20">
        <f>+'[12]faixa SM RTT+RTE+RTI'!J24</f>
        <v>215.96032081999999</v>
      </c>
      <c r="K20">
        <f>+'[12]faixa SM RTT+RTE+RTI'!K24</f>
        <v>650.24249429999998</v>
      </c>
      <c r="L20">
        <f>+'[12]faixa SM RTT+RTE+RTI'!L24</f>
        <v>54.6090339</v>
      </c>
      <c r="M20">
        <f>+'[12]faixa SM RTT+RTE+RTI'!M24</f>
        <v>49.290771579999998</v>
      </c>
      <c r="N20">
        <f>+'[12]faixa SM RTT+RTE+RTI'!N24</f>
        <v>5453.7446172199998</v>
      </c>
      <c r="O20">
        <f>+'[12]faixa SM RTT+RTE+RTI'!O24</f>
        <v>1375.4601279799999</v>
      </c>
      <c r="P20">
        <f>+'[12]faixa SM RTT+RTE+RTI'!P24</f>
        <v>1141.2095250699999</v>
      </c>
      <c r="Q20">
        <f>+'[12]faixa SM RTT+RTE+RTI'!Q24</f>
        <v>279.61883139999998</v>
      </c>
      <c r="R20">
        <f>+'[12]faixa SM RTT+RTE+RTI'!R24</f>
        <v>45.36822849</v>
      </c>
      <c r="S20">
        <f>+'[12]faixa SM RTT+RTE+RTI'!S24</f>
        <v>194624.11661960001</v>
      </c>
      <c r="T20">
        <f>+'[12]faixa SM RTT+RTE+RTI'!T24</f>
        <v>9848.6135873999992</v>
      </c>
      <c r="U20">
        <f>+'[12]faixa SM RTT+RTE+RTI'!U24</f>
        <v>3599.7921754499998</v>
      </c>
    </row>
    <row r="21" spans="2:21" x14ac:dyDescent="0.25">
      <c r="B21" t="str">
        <f>+'[12]faixa SM RTT+RTE+RTI'!B25</f>
        <v>Mais de 320</v>
      </c>
      <c r="C21">
        <f>+'[12]faixa SM RTT+RTE+RTI'!C25</f>
        <v>26099</v>
      </c>
      <c r="D21">
        <f>+'[12]faixa SM RTT+RTE+RTI'!D25</f>
        <v>29876.939958809999</v>
      </c>
      <c r="E21">
        <f>+'[12]faixa SM RTT+RTE+RTI'!E25</f>
        <v>61854.817910440004</v>
      </c>
      <c r="F21">
        <f>+'[12]faixa SM RTT+RTE+RTI'!F25</f>
        <v>224678.45172028002</v>
      </c>
      <c r="G21">
        <f>+'[12]faixa SM RTT+RTE+RTI'!G25</f>
        <v>681.23951635000003</v>
      </c>
      <c r="H21">
        <f>+'[12]faixa SM RTT+RTE+RTI'!H25</f>
        <v>46.054444439999997</v>
      </c>
      <c r="I21">
        <f>+'[12]faixa SM RTT+RTE+RTI'!I25</f>
        <v>33.513110730000001</v>
      </c>
      <c r="J21">
        <f>+'[12]faixa SM RTT+RTE+RTI'!J25</f>
        <v>528.51605617999996</v>
      </c>
      <c r="K21">
        <f>+'[12]faixa SM RTT+RTE+RTI'!K25</f>
        <v>4877.9639396700004</v>
      </c>
      <c r="L21">
        <f>+'[12]faixa SM RTT+RTE+RTI'!L25</f>
        <v>210.92898012999999</v>
      </c>
      <c r="M21">
        <f>+'[12]faixa SM RTT+RTE+RTI'!M25</f>
        <v>99.821817480000007</v>
      </c>
      <c r="N21">
        <f>+'[12]faixa SM RTT+RTE+RTI'!N25</f>
        <v>23531.467954439999</v>
      </c>
      <c r="O21">
        <f>+'[12]faixa SM RTT+RTE+RTI'!O25</f>
        <v>6032.3201601200008</v>
      </c>
      <c r="P21">
        <f>+'[12]faixa SM RTT+RTE+RTI'!P25</f>
        <v>5095.45358304</v>
      </c>
      <c r="Q21">
        <f>+'[12]faixa SM RTT+RTE+RTI'!Q25</f>
        <v>1117.9777699799999</v>
      </c>
      <c r="R21">
        <f>+'[12]faixa SM RTT+RTE+RTI'!R25</f>
        <v>181.11119289999999</v>
      </c>
      <c r="S21">
        <f>+'[12]faixa SM RTT+RTE+RTI'!S25</f>
        <v>1521082.2970177801</v>
      </c>
      <c r="T21">
        <f>+'[12]faixa SM RTT+RTE+RTI'!T25</f>
        <v>61698.601640360008</v>
      </c>
      <c r="U21">
        <f>+'[12]faixa SM RTT+RTE+RTI'!U25</f>
        <v>40685.626647439996</v>
      </c>
    </row>
    <row r="22" spans="2:21" x14ac:dyDescent="0.25">
      <c r="B22" t="str">
        <f>+'[12]faixa SM RTT+RTE+RTI'!B26</f>
        <v xml:space="preserve">    Total</v>
      </c>
      <c r="C22">
        <f>+'[12]faixa SM RTT+RTE+RTI'!C26</f>
        <v>30269014</v>
      </c>
      <c r="D22">
        <f>+'[12]faixa SM RTT+RTE+RTI'!D26</f>
        <v>1837891.2930676402</v>
      </c>
      <c r="E22">
        <f>+'[12]faixa SM RTT+RTE+RTI'!E26</f>
        <v>302727.27638915001</v>
      </c>
      <c r="F22">
        <f>+'[12]faixa SM RTT+RTE+RTI'!F26</f>
        <v>957289.10058025992</v>
      </c>
      <c r="G22">
        <f>+'[12]faixa SM RTT+RTE+RTI'!G26</f>
        <v>91637.896806239994</v>
      </c>
      <c r="H22">
        <f>+'[12]faixa SM RTT+RTE+RTI'!H26</f>
        <v>43068.395114760002</v>
      </c>
      <c r="I22">
        <f>+'[12]faixa SM RTT+RTE+RTI'!I26</f>
        <v>21533.82089409</v>
      </c>
      <c r="J22">
        <f>+'[12]faixa SM RTT+RTE+RTI'!J26</f>
        <v>88047.451236370005</v>
      </c>
      <c r="K22">
        <f>+'[12]faixa SM RTT+RTE+RTI'!K26</f>
        <v>19111.230719460003</v>
      </c>
      <c r="L22">
        <f>+'[12]faixa SM RTT+RTE+RTI'!L26</f>
        <v>16022.465172720002</v>
      </c>
      <c r="M22">
        <f>+'[12]faixa SM RTT+RTE+RTI'!M26</f>
        <v>136542.44991393003</v>
      </c>
      <c r="N22">
        <f>+'[12]faixa SM RTT+RTE+RTI'!N26</f>
        <v>1438956.8382067201</v>
      </c>
      <c r="O22">
        <f>+'[12]faixa SM RTT+RTE+RTI'!O26</f>
        <v>180934.36619977999</v>
      </c>
      <c r="P22">
        <f>+'[12]faixa SM RTT+RTE+RTI'!P26</f>
        <v>191712.18511779001</v>
      </c>
      <c r="Q22">
        <f>+'[12]faixa SM RTT+RTE+RTI'!Q26</f>
        <v>21362.232822359998</v>
      </c>
      <c r="R22">
        <f>+'[12]faixa SM RTT+RTE+RTI'!R26</f>
        <v>32140.051740369996</v>
      </c>
      <c r="S22">
        <f>+'[12]faixa SM RTT+RTE+RTI'!S26</f>
        <v>9312463.9665396698</v>
      </c>
      <c r="T22">
        <f>+'[12]faixa SM RTT+RTE+RTI'!T26</f>
        <v>685052.55004312994</v>
      </c>
      <c r="U22">
        <f>+'[12]faixa SM RTT+RTE+RTI'!U26</f>
        <v>94091.331937149982</v>
      </c>
    </row>
    <row r="25" spans="2:2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954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21" x14ac:dyDescent="0.25">
      <c r="B26" t="str">
        <f>+B5</f>
        <v>Até 1/2</v>
      </c>
      <c r="C26" s="1">
        <f>+D5+E5+F5-K5</f>
        <v>666.75033519999999</v>
      </c>
      <c r="D26" s="1">
        <f>+O5</f>
        <v>9.8676730000056334E-2</v>
      </c>
      <c r="E26">
        <f>+C5</f>
        <v>1369076</v>
      </c>
      <c r="F26" s="2">
        <f>+D26/C26</f>
        <v>1.4799652102230593E-4</v>
      </c>
      <c r="G26" s="1">
        <f>+C26*$H$18</f>
        <v>145406.47566983159</v>
      </c>
      <c r="I26">
        <f>+C26*1000000/$H$25</f>
        <v>698899.72243186587</v>
      </c>
      <c r="J26">
        <f>+I26/E26</f>
        <v>0.51049008413840125</v>
      </c>
      <c r="K26">
        <f>+J26/12</f>
        <v>4.254084034486677E-2</v>
      </c>
      <c r="N26">
        <f>+C26*1000000/E26</f>
        <v>487.0075402680348</v>
      </c>
      <c r="O26" s="3">
        <f>+F26</f>
        <v>1.4799652102230593E-4</v>
      </c>
    </row>
    <row r="27" spans="2:21" x14ac:dyDescent="0.25">
      <c r="B27" t="str">
        <f t="shared" ref="B27:B43" si="0">+B6</f>
        <v>De 1/2 a 1</v>
      </c>
      <c r="C27" s="1">
        <f t="shared" ref="C27:C43" si="1">+D6+E6+F6-K6</f>
        <v>6364.3343865900006</v>
      </c>
      <c r="D27" s="1">
        <f t="shared" ref="D27:D43" si="2">+O6</f>
        <v>0.1648118900000006</v>
      </c>
      <c r="E27">
        <f t="shared" ref="E27:E43" si="3">+C6</f>
        <v>624019</v>
      </c>
      <c r="F27" s="2">
        <f t="shared" ref="F27:F42" si="4">+D27/C27</f>
        <v>2.5896170752320656E-5</v>
      </c>
      <c r="G27" s="1">
        <f t="shared" ref="G27:G43" si="5">+C27*$H$18</f>
        <v>1387948.9582270426</v>
      </c>
      <c r="I27">
        <f t="shared" ref="I27:I43" si="6">+C27*1000000/$H$25</f>
        <v>6671210.048836478</v>
      </c>
      <c r="J27">
        <f t="shared" ref="J27:J43" si="7">+I27/E27</f>
        <v>10.690716226327208</v>
      </c>
      <c r="K27">
        <f t="shared" ref="K27:K43" si="8">+J27/12</f>
        <v>0.89089301886060068</v>
      </c>
      <c r="N27">
        <f t="shared" ref="N27:N43" si="9">+C27*1000000/E27</f>
        <v>10198.943279916157</v>
      </c>
      <c r="O27" s="3">
        <f t="shared" ref="O27:O42" si="10">+F27</f>
        <v>2.5896170752320656E-5</v>
      </c>
    </row>
    <row r="28" spans="2:21" x14ac:dyDescent="0.25">
      <c r="B28" t="str">
        <f t="shared" si="0"/>
        <v>De 1 a 2</v>
      </c>
      <c r="C28" s="1">
        <f t="shared" si="1"/>
        <v>29556.050398599997</v>
      </c>
      <c r="D28" s="1">
        <f t="shared" si="2"/>
        <v>0.95825253999999915</v>
      </c>
      <c r="E28">
        <f t="shared" si="3"/>
        <v>1679764</v>
      </c>
      <c r="F28" s="2">
        <f t="shared" si="4"/>
        <v>3.2421535593449569E-5</v>
      </c>
      <c r="G28" s="1">
        <f t="shared" si="5"/>
        <v>6445652.7373041604</v>
      </c>
      <c r="I28">
        <f t="shared" si="6"/>
        <v>30981184.904192872</v>
      </c>
      <c r="J28">
        <f t="shared" si="7"/>
        <v>18.443772401475965</v>
      </c>
      <c r="K28">
        <f t="shared" si="8"/>
        <v>1.5369810334563303</v>
      </c>
      <c r="N28">
        <f t="shared" si="9"/>
        <v>17595.358871008069</v>
      </c>
      <c r="O28" s="3">
        <f t="shared" si="10"/>
        <v>3.2421535593449569E-5</v>
      </c>
    </row>
    <row r="29" spans="2:21" x14ac:dyDescent="0.25">
      <c r="B29" t="str">
        <f t="shared" si="0"/>
        <v>De 2 a 3</v>
      </c>
      <c r="C29" s="1">
        <f t="shared" si="1"/>
        <v>135916.20227993</v>
      </c>
      <c r="D29" s="1">
        <f t="shared" si="2"/>
        <v>116.43724578</v>
      </c>
      <c r="E29">
        <f t="shared" si="3"/>
        <v>4660099</v>
      </c>
      <c r="F29" s="2">
        <f t="shared" si="4"/>
        <v>8.5668407317759238E-4</v>
      </c>
      <c r="G29" s="1">
        <f t="shared" si="5"/>
        <v>29640923.920982152</v>
      </c>
      <c r="I29">
        <f t="shared" si="6"/>
        <v>142469813.71061847</v>
      </c>
      <c r="J29">
        <f t="shared" si="7"/>
        <v>30.572271900364878</v>
      </c>
      <c r="K29">
        <f t="shared" si="8"/>
        <v>2.5476893250304067</v>
      </c>
      <c r="N29">
        <f t="shared" si="9"/>
        <v>29165.947392948092</v>
      </c>
      <c r="O29" s="3">
        <f t="shared" si="10"/>
        <v>8.5668407317759238E-4</v>
      </c>
    </row>
    <row r="30" spans="2:21" x14ac:dyDescent="0.25">
      <c r="B30" t="str">
        <f t="shared" si="0"/>
        <v>De 3 a 5</v>
      </c>
      <c r="C30" s="1">
        <f t="shared" si="1"/>
        <v>369169.95267913997</v>
      </c>
      <c r="D30" s="1">
        <f t="shared" si="2"/>
        <v>4324.8465326899995</v>
      </c>
      <c r="E30">
        <f t="shared" si="3"/>
        <v>8290113</v>
      </c>
      <c r="F30" s="2">
        <f t="shared" si="4"/>
        <v>1.1715055630350536E-2</v>
      </c>
      <c r="G30" s="1">
        <f t="shared" si="5"/>
        <v>80509448.452201158</v>
      </c>
      <c r="I30">
        <f t="shared" si="6"/>
        <v>386970600.29259956</v>
      </c>
      <c r="J30">
        <f t="shared" si="7"/>
        <v>46.678567625386961</v>
      </c>
      <c r="K30">
        <f t="shared" si="8"/>
        <v>3.8898806354489133</v>
      </c>
      <c r="N30">
        <f t="shared" si="9"/>
        <v>44531.353514619157</v>
      </c>
      <c r="O30" s="3">
        <f t="shared" si="10"/>
        <v>1.1715055630350536E-2</v>
      </c>
    </row>
    <row r="31" spans="2:21" x14ac:dyDescent="0.25">
      <c r="B31" t="str">
        <f t="shared" si="0"/>
        <v>De 5 a 7</v>
      </c>
      <c r="C31" s="1">
        <f t="shared" si="1"/>
        <v>295589.98061055003</v>
      </c>
      <c r="D31" s="1">
        <f t="shared" si="2"/>
        <v>9309.2411164000005</v>
      </c>
      <c r="E31">
        <f t="shared" si="3"/>
        <v>4390660</v>
      </c>
      <c r="F31" s="2">
        <f t="shared" si="4"/>
        <v>3.1493764088929815E-2</v>
      </c>
      <c r="G31" s="1">
        <f t="shared" si="5"/>
        <v>64462955.704403721</v>
      </c>
      <c r="I31">
        <f t="shared" si="6"/>
        <v>309842746.97122645</v>
      </c>
      <c r="J31">
        <f t="shared" si="7"/>
        <v>70.568604030197392</v>
      </c>
      <c r="K31">
        <f t="shared" si="8"/>
        <v>5.880717002516449</v>
      </c>
      <c r="N31">
        <f t="shared" si="9"/>
        <v>67322.448244808314</v>
      </c>
      <c r="O31" s="3">
        <f t="shared" si="10"/>
        <v>3.1493764088929815E-2</v>
      </c>
    </row>
    <row r="32" spans="2:21" x14ac:dyDescent="0.25">
      <c r="B32" t="str">
        <f t="shared" si="0"/>
        <v>De 7 a 10</v>
      </c>
      <c r="C32" s="1">
        <f t="shared" si="1"/>
        <v>314014.52464058</v>
      </c>
      <c r="D32" s="1">
        <f t="shared" si="2"/>
        <v>18089.225590530001</v>
      </c>
      <c r="E32">
        <f t="shared" si="3"/>
        <v>3306828</v>
      </c>
      <c r="F32" s="2">
        <f t="shared" si="4"/>
        <v>5.7606334010297355E-2</v>
      </c>
      <c r="G32" s="1">
        <f t="shared" si="5"/>
        <v>68481023.445497066</v>
      </c>
      <c r="I32">
        <f t="shared" si="6"/>
        <v>329155686.20605874</v>
      </c>
      <c r="J32">
        <f t="shared" si="7"/>
        <v>99.538193763346243</v>
      </c>
      <c r="K32">
        <f t="shared" si="8"/>
        <v>8.2948494802788542</v>
      </c>
      <c r="N32">
        <f t="shared" si="9"/>
        <v>94959.43685023232</v>
      </c>
      <c r="O32" s="3">
        <f t="shared" si="10"/>
        <v>5.7606334010297355E-2</v>
      </c>
    </row>
    <row r="33" spans="2:15" x14ac:dyDescent="0.25">
      <c r="B33" t="str">
        <f t="shared" si="0"/>
        <v>De 10 a 15</v>
      </c>
      <c r="C33" s="1">
        <f t="shared" si="1"/>
        <v>351791.3711095</v>
      </c>
      <c r="D33" s="1">
        <f t="shared" si="2"/>
        <v>30409.566571440002</v>
      </c>
      <c r="E33">
        <f t="shared" si="3"/>
        <v>2541487</v>
      </c>
      <c r="F33" s="2">
        <f t="shared" si="4"/>
        <v>8.6442047954537804E-2</v>
      </c>
      <c r="G33" s="1">
        <f t="shared" si="5"/>
        <v>76719486.655745447</v>
      </c>
      <c r="I33">
        <f t="shared" si="6"/>
        <v>368754057.7667715</v>
      </c>
      <c r="J33">
        <f t="shared" si="7"/>
        <v>145.09382017959231</v>
      </c>
      <c r="K33">
        <f t="shared" si="8"/>
        <v>12.091151681632693</v>
      </c>
      <c r="N33">
        <f t="shared" si="9"/>
        <v>138419.50445133104</v>
      </c>
      <c r="O33" s="3">
        <f t="shared" si="10"/>
        <v>8.6442047954537804E-2</v>
      </c>
    </row>
    <row r="34" spans="2:15" x14ac:dyDescent="0.25">
      <c r="B34" t="str">
        <f t="shared" si="0"/>
        <v>De 15 a 20</v>
      </c>
      <c r="C34" s="1">
        <f t="shared" si="1"/>
        <v>229465.47674841</v>
      </c>
      <c r="D34" s="1">
        <f t="shared" si="2"/>
        <v>23263.000222179999</v>
      </c>
      <c r="E34">
        <f t="shared" si="3"/>
        <v>1169498</v>
      </c>
      <c r="F34" s="2">
        <f t="shared" si="4"/>
        <v>0.10137908565516356</v>
      </c>
      <c r="G34" s="1">
        <f t="shared" si="5"/>
        <v>50042368.935405947</v>
      </c>
      <c r="I34">
        <f t="shared" si="6"/>
        <v>240529849.84110063</v>
      </c>
      <c r="J34">
        <f t="shared" si="7"/>
        <v>205.66931268039846</v>
      </c>
      <c r="K34">
        <f t="shared" si="8"/>
        <v>17.139109390033205</v>
      </c>
      <c r="N34">
        <f t="shared" si="9"/>
        <v>196208.52429710011</v>
      </c>
      <c r="O34" s="3">
        <f t="shared" si="10"/>
        <v>0.10137908565516356</v>
      </c>
    </row>
    <row r="35" spans="2:15" x14ac:dyDescent="0.25">
      <c r="B35" t="str">
        <f t="shared" si="0"/>
        <v>De 20 a 30</v>
      </c>
      <c r="C35" s="1">
        <f t="shared" si="1"/>
        <v>296100.30410561</v>
      </c>
      <c r="D35" s="1">
        <f t="shared" si="2"/>
        <v>31547.919070540003</v>
      </c>
      <c r="E35">
        <f t="shared" si="3"/>
        <v>1075552</v>
      </c>
      <c r="F35" s="2">
        <f t="shared" si="4"/>
        <v>0.10654470337621746</v>
      </c>
      <c r="G35" s="1">
        <f t="shared" si="5"/>
        <v>64574248.248180129</v>
      </c>
      <c r="I35">
        <f t="shared" si="6"/>
        <v>310377677.25954926</v>
      </c>
      <c r="J35">
        <f t="shared" si="7"/>
        <v>288.57524067599638</v>
      </c>
      <c r="K35">
        <f t="shared" si="8"/>
        <v>24.047936722999697</v>
      </c>
      <c r="N35">
        <f t="shared" si="9"/>
        <v>275300.77960490051</v>
      </c>
      <c r="O35" s="3">
        <f t="shared" si="10"/>
        <v>0.10654470337621746</v>
      </c>
    </row>
    <row r="36" spans="2:15" x14ac:dyDescent="0.25">
      <c r="B36" t="str">
        <f t="shared" si="0"/>
        <v>De 30 a 40</v>
      </c>
      <c r="C36" s="1">
        <f t="shared" si="1"/>
        <v>190549.61630292996</v>
      </c>
      <c r="D36" s="1">
        <f t="shared" si="2"/>
        <v>20361.41063921</v>
      </c>
      <c r="E36">
        <f t="shared" si="3"/>
        <v>487374</v>
      </c>
      <c r="F36" s="2">
        <f t="shared" si="4"/>
        <v>0.10685621432498742</v>
      </c>
      <c r="G36" s="1">
        <f t="shared" si="5"/>
        <v>41555506.887801751</v>
      </c>
      <c r="I36">
        <f t="shared" si="6"/>
        <v>199737543.29447585</v>
      </c>
      <c r="J36">
        <f t="shared" si="7"/>
        <v>409.82396125865529</v>
      </c>
      <c r="K36">
        <f t="shared" si="8"/>
        <v>34.151996771554607</v>
      </c>
      <c r="N36">
        <f t="shared" si="9"/>
        <v>390972.05904075713</v>
      </c>
      <c r="O36" s="3">
        <f t="shared" si="10"/>
        <v>0.10685621432498742</v>
      </c>
    </row>
    <row r="37" spans="2:15" x14ac:dyDescent="0.25">
      <c r="B37" t="str">
        <f t="shared" si="0"/>
        <v>De 40 a 60</v>
      </c>
      <c r="C37" s="1">
        <f t="shared" si="1"/>
        <v>194312.14244667001</v>
      </c>
      <c r="D37" s="1">
        <f t="shared" si="2"/>
        <v>17967.868113159999</v>
      </c>
      <c r="E37">
        <f t="shared" si="3"/>
        <v>356811</v>
      </c>
      <c r="F37" s="2">
        <f t="shared" si="4"/>
        <v>9.2469095790508174E-2</v>
      </c>
      <c r="G37" s="1">
        <f t="shared" si="5"/>
        <v>42376047.406934351</v>
      </c>
      <c r="I37">
        <f t="shared" si="6"/>
        <v>203681491.03424528</v>
      </c>
      <c r="J37">
        <f t="shared" si="7"/>
        <v>570.83859812126104</v>
      </c>
      <c r="K37">
        <f t="shared" si="8"/>
        <v>47.569883176771754</v>
      </c>
      <c r="N37">
        <f t="shared" si="9"/>
        <v>544580.02260768309</v>
      </c>
      <c r="O37" s="3">
        <f t="shared" si="10"/>
        <v>9.2469095790508174E-2</v>
      </c>
    </row>
    <row r="38" spans="2:15" x14ac:dyDescent="0.25">
      <c r="B38" t="str">
        <f t="shared" si="0"/>
        <v>De 60 a 80</v>
      </c>
      <c r="C38" s="1">
        <f t="shared" si="1"/>
        <v>95937.395748420007</v>
      </c>
      <c r="D38" s="1">
        <f t="shared" si="2"/>
        <v>7096.3114881499996</v>
      </c>
      <c r="E38">
        <f t="shared" si="3"/>
        <v>123515</v>
      </c>
      <c r="F38" s="2">
        <f t="shared" si="4"/>
        <v>7.3968148007257831E-2</v>
      </c>
      <c r="G38" s="1">
        <f t="shared" si="5"/>
        <v>20922252.099858619</v>
      </c>
      <c r="I38">
        <f t="shared" si="6"/>
        <v>100563307.91238995</v>
      </c>
      <c r="J38">
        <f t="shared" si="7"/>
        <v>814.17890873489011</v>
      </c>
      <c r="K38">
        <f t="shared" si="8"/>
        <v>67.848242394574171</v>
      </c>
      <c r="N38">
        <f t="shared" si="9"/>
        <v>776726.67893308518</v>
      </c>
      <c r="O38" s="3">
        <f t="shared" si="10"/>
        <v>7.3968148007257831E-2</v>
      </c>
    </row>
    <row r="39" spans="2:15" x14ac:dyDescent="0.25">
      <c r="B39" t="str">
        <f t="shared" si="0"/>
        <v>De 80 a 160</v>
      </c>
      <c r="C39" s="1">
        <f t="shared" si="1"/>
        <v>153072.89297442001</v>
      </c>
      <c r="D39" s="1">
        <f t="shared" si="2"/>
        <v>8433.4389390200013</v>
      </c>
      <c r="E39">
        <f t="shared" si="3"/>
        <v>125552</v>
      </c>
      <c r="F39" s="2">
        <f t="shared" si="4"/>
        <v>5.5094267673044581E-2</v>
      </c>
      <c r="G39" s="1">
        <f t="shared" si="5"/>
        <v>33382495.23537058</v>
      </c>
      <c r="I39">
        <f t="shared" si="6"/>
        <v>160453766.22056606</v>
      </c>
      <c r="J39">
        <f t="shared" si="7"/>
        <v>1277.9865411985954</v>
      </c>
      <c r="K39">
        <f t="shared" si="8"/>
        <v>106.49887843321629</v>
      </c>
      <c r="N39">
        <f t="shared" si="9"/>
        <v>1219199.16030346</v>
      </c>
      <c r="O39" s="3">
        <f t="shared" si="10"/>
        <v>5.5094267673044581E-2</v>
      </c>
    </row>
    <row r="40" spans="2:15" x14ac:dyDescent="0.25">
      <c r="B40" t="str">
        <f t="shared" si="0"/>
        <v>De 160 a 240</v>
      </c>
      <c r="C40" s="1">
        <f t="shared" si="1"/>
        <v>64981.316033489988</v>
      </c>
      <c r="D40" s="1">
        <f t="shared" si="2"/>
        <v>2606.0986414199997</v>
      </c>
      <c r="E40">
        <f t="shared" si="3"/>
        <v>29755</v>
      </c>
      <c r="F40" s="2">
        <f t="shared" si="4"/>
        <v>4.0105353361524286E-2</v>
      </c>
      <c r="G40" s="1">
        <f t="shared" si="5"/>
        <v>14171277.688196501</v>
      </c>
      <c r="I40">
        <f t="shared" si="6"/>
        <v>68114587.037201241</v>
      </c>
      <c r="J40">
        <f t="shared" si="7"/>
        <v>2289.1812144917239</v>
      </c>
      <c r="K40">
        <f t="shared" si="8"/>
        <v>190.76510120764365</v>
      </c>
      <c r="N40">
        <f t="shared" si="9"/>
        <v>2183878.8786251047</v>
      </c>
      <c r="O40" s="3">
        <f t="shared" si="10"/>
        <v>4.0105353361524286E-2</v>
      </c>
    </row>
    <row r="41" spans="2:15" x14ac:dyDescent="0.25">
      <c r="B41" t="str">
        <f t="shared" si="0"/>
        <v>De 240 a 320</v>
      </c>
      <c r="C41" s="1">
        <f t="shared" si="1"/>
        <v>39775.882867690001</v>
      </c>
      <c r="D41" s="1">
        <f t="shared" si="2"/>
        <v>1375.4601279799999</v>
      </c>
      <c r="E41">
        <f t="shared" si="3"/>
        <v>12812</v>
      </c>
      <c r="F41" s="2">
        <f t="shared" si="4"/>
        <v>3.4580253882869512E-2</v>
      </c>
      <c r="G41" s="1">
        <f t="shared" si="5"/>
        <v>8674417.7529538907</v>
      </c>
      <c r="I41">
        <f t="shared" si="6"/>
        <v>41693797.55523061</v>
      </c>
      <c r="J41">
        <f t="shared" si="7"/>
        <v>3254.2770492687018</v>
      </c>
      <c r="K41">
        <f t="shared" si="8"/>
        <v>271.18975410572517</v>
      </c>
      <c r="N41">
        <f t="shared" si="9"/>
        <v>3104580.305002342</v>
      </c>
      <c r="O41" s="3">
        <f t="shared" si="10"/>
        <v>3.4580253882869512E-2</v>
      </c>
    </row>
    <row r="42" spans="2:15" x14ac:dyDescent="0.25">
      <c r="B42" t="str">
        <f t="shared" si="0"/>
        <v>Mais de 320</v>
      </c>
      <c r="C42" s="1">
        <f t="shared" si="1"/>
        <v>311532.24564986001</v>
      </c>
      <c r="D42" s="1">
        <f t="shared" si="2"/>
        <v>6032.3201601200008</v>
      </c>
      <c r="E42">
        <f t="shared" si="3"/>
        <v>26099</v>
      </c>
      <c r="F42" s="2">
        <f t="shared" si="4"/>
        <v>1.9363389325995801E-2</v>
      </c>
      <c r="G42" s="1">
        <f t="shared" si="5"/>
        <v>67939682.225831091</v>
      </c>
      <c r="I42">
        <f t="shared" si="6"/>
        <v>326553716.61410898</v>
      </c>
      <c r="J42">
        <f t="shared" si="7"/>
        <v>12512.116043300854</v>
      </c>
      <c r="K42">
        <f t="shared" si="8"/>
        <v>1042.6763369417379</v>
      </c>
      <c r="N42">
        <f t="shared" si="9"/>
        <v>11936558.705309015</v>
      </c>
      <c r="O42" s="3">
        <f t="shared" si="10"/>
        <v>1.9363389325995801E-2</v>
      </c>
    </row>
    <row r="43" spans="2:15" x14ac:dyDescent="0.25">
      <c r="B43" t="str">
        <f t="shared" si="0"/>
        <v xml:space="preserve">    Total</v>
      </c>
      <c r="C43" s="1">
        <f t="shared" si="1"/>
        <v>3078796.4393175896</v>
      </c>
      <c r="D43" s="1">
        <f t="shared" si="2"/>
        <v>180934.36619977999</v>
      </c>
      <c r="E43">
        <f t="shared" si="3"/>
        <v>30269014</v>
      </c>
      <c r="F43" s="2">
        <f>+D43/C43</f>
        <v>5.876788861035704E-2</v>
      </c>
      <c r="G43" s="1">
        <f t="shared" si="5"/>
        <v>671431142.83056331</v>
      </c>
      <c r="I43">
        <f t="shared" si="6"/>
        <v>3227249936.3916035</v>
      </c>
      <c r="J43">
        <f t="shared" si="7"/>
        <v>106.61893170327924</v>
      </c>
      <c r="K43">
        <f t="shared" si="8"/>
        <v>8.8849109752732698</v>
      </c>
      <c r="N43">
        <f t="shared" si="9"/>
        <v>101714.46084492841</v>
      </c>
      <c r="O43" s="3">
        <f>+F43</f>
        <v>5.876788861035704E-2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F159-FF6A-4A47-AC20-7065BEB63FEA}">
  <dimension ref="B1:AO43"/>
  <sheetViews>
    <sheetView topLeftCell="A4" workbookViewId="0">
      <selection activeCell="U32" sqref="U32"/>
    </sheetView>
  </sheetViews>
  <sheetFormatPr baseColWidth="10" defaultColWidth="8.85546875" defaultRowHeight="15" x14ac:dyDescent="0.25"/>
  <cols>
    <col min="15" max="15" width="10.28515625" customWidth="1"/>
  </cols>
  <sheetData>
    <row r="1" spans="2:41" x14ac:dyDescent="0.25">
      <c r="B1" t="str">
        <f>+'[13]faixa SM RTT+RTE+RTI'!C8</f>
        <v>Tabela 9 - Resumo das Declarações por Faixa de Rendimentos Totais(1) (em Salários Mínimos)</v>
      </c>
      <c r="C1">
        <f>+'[13]faixa SM RTT+RTE+RTI'!D8</f>
        <v>0</v>
      </c>
      <c r="D1">
        <f>+'[13]faixa SM RTT+RTE+RTI'!E8</f>
        <v>0</v>
      </c>
      <c r="E1">
        <f>+'[13]faixa SM RTT+RTE+RTI'!F8</f>
        <v>0</v>
      </c>
      <c r="F1">
        <f>+'[13]faixa SM RTT+RTE+RTI'!G8</f>
        <v>0</v>
      </c>
      <c r="G1">
        <f>+'[13]faixa SM RTT+RTE+RTI'!H8</f>
        <v>0</v>
      </c>
      <c r="H1">
        <f>+'[13]faixa SM RTT+RTE+RTI'!I8</f>
        <v>0</v>
      </c>
      <c r="I1">
        <f>+'[13]faixa SM RTT+RTE+RTI'!J8</f>
        <v>0</v>
      </c>
      <c r="J1">
        <f>+'[13]faixa SM RTT+RTE+RTI'!K8</f>
        <v>0</v>
      </c>
      <c r="K1">
        <f>+'[13]faixa SM RTT+RTE+RTI'!L8</f>
        <v>0</v>
      </c>
      <c r="L1">
        <f>+'[13]faixa SM RTT+RTE+RTI'!M8</f>
        <v>0</v>
      </c>
      <c r="M1">
        <f>+'[13]faixa SM RTT+RTE+RTI'!N8</f>
        <v>0</v>
      </c>
      <c r="N1">
        <f>+'[13]faixa SM RTT+RTE+RTI'!O8</f>
        <v>0</v>
      </c>
      <c r="O1">
        <f>+'[13]faixa SM RTT+RTE+RTI'!P8</f>
        <v>0</v>
      </c>
      <c r="P1">
        <f>+'[13]faixa SM RTT+RTE+RTI'!Q8</f>
        <v>0</v>
      </c>
      <c r="Q1">
        <f>+'[13]faixa SM RTT+RTE+RTI'!R8</f>
        <v>0</v>
      </c>
      <c r="R1">
        <f>+'[13]faixa SM RTT+RTE+RTI'!S8</f>
        <v>0</v>
      </c>
      <c r="S1">
        <f>+'[13]faixa SM RTT+RTE+RTI'!T8</f>
        <v>0</v>
      </c>
      <c r="T1">
        <f>+'[13]faixa SM RTT+RTE+RTI'!U8</f>
        <v>0</v>
      </c>
      <c r="U1">
        <f>+'[13]faixa SM RTT+RTE+RTI'!V8</f>
        <v>0</v>
      </c>
      <c r="V1">
        <f>+'[13]faixa SM RTT+RTE+RTI'!W8</f>
        <v>0</v>
      </c>
      <c r="W1">
        <f>+'[13]faixa SM RTT+RTE+RTI'!X8</f>
        <v>0</v>
      </c>
      <c r="X1">
        <f>+'[13]faixa SM RTT+RTE+RTI'!Y8</f>
        <v>0</v>
      </c>
      <c r="Y1">
        <f>+'[13]faixa SM RTT+RTE+RTI'!Z8</f>
        <v>0</v>
      </c>
      <c r="Z1">
        <f>+'[13]faixa SM RTT+RTE+RTI'!AA8</f>
        <v>0</v>
      </c>
      <c r="AA1">
        <f>+'[13]faixa SM RTT+RTE+RTI'!AB8</f>
        <v>0</v>
      </c>
      <c r="AB1">
        <f>+'[13]faixa SM RTT+RTE+RTI'!AC8</f>
        <v>0</v>
      </c>
      <c r="AC1">
        <f>+'[13]faixa SM RTT+RTE+RTI'!AD8</f>
        <v>0</v>
      </c>
      <c r="AD1">
        <f>+'[13]faixa SM RTT+RTE+RTI'!AE8</f>
        <v>0</v>
      </c>
      <c r="AE1">
        <f>+'[13]faixa SM RTT+RTE+RTI'!AF8</f>
        <v>0</v>
      </c>
      <c r="AF1">
        <f>+'[13]faixa SM RTT+RTE+RTI'!AG8</f>
        <v>0</v>
      </c>
      <c r="AG1">
        <f>+'[13]faixa SM RTT+RTE+RTI'!AH8</f>
        <v>0</v>
      </c>
      <c r="AH1">
        <f>+'[13]faixa SM RTT+RTE+RTI'!AI8</f>
        <v>0</v>
      </c>
      <c r="AI1">
        <f>+'[13]faixa SM RTT+RTE+RTI'!AJ8</f>
        <v>0</v>
      </c>
      <c r="AJ1">
        <f>+'[13]faixa SM RTT+RTE+RTI'!AK8</f>
        <v>0</v>
      </c>
      <c r="AK1">
        <f>+'[13]faixa SM RTT+RTE+RTI'!AL8</f>
        <v>0</v>
      </c>
      <c r="AL1">
        <f>+'[13]faixa SM RTT+RTE+RTI'!AM8</f>
        <v>0</v>
      </c>
      <c r="AM1">
        <f>+'[13]faixa SM RTT+RTE+RTI'!AN8</f>
        <v>0</v>
      </c>
      <c r="AN1">
        <f>+'[13]faixa SM RTT+RTE+RTI'!AO8</f>
        <v>0</v>
      </c>
      <c r="AO1">
        <f>+'[13]faixa SM RTT+RTE+RTI'!AP8</f>
        <v>0</v>
      </c>
    </row>
    <row r="2" spans="2:41" x14ac:dyDescent="0.25">
      <c r="B2">
        <f>+'[13]faixa SM RTT+RTE+RTI'!C9</f>
        <v>0</v>
      </c>
      <c r="C2">
        <f>+'[13]faixa SM RTT+RTE+RTI'!D9</f>
        <v>0</v>
      </c>
      <c r="D2">
        <f>+'[13]faixa SM RTT+RTE+RTI'!E9</f>
        <v>0</v>
      </c>
      <c r="E2">
        <f>+'[13]faixa SM RTT+RTE+RTI'!F9</f>
        <v>0</v>
      </c>
      <c r="F2">
        <f>+'[13]faixa SM RTT+RTE+RTI'!G9</f>
        <v>0</v>
      </c>
      <c r="G2">
        <f>+'[13]faixa SM RTT+RTE+RTI'!H9</f>
        <v>0</v>
      </c>
      <c r="H2">
        <f>+'[13]faixa SM RTT+RTE+RTI'!I9</f>
        <v>0</v>
      </c>
      <c r="I2">
        <f>+'[13]faixa SM RTT+RTE+RTI'!J9</f>
        <v>0</v>
      </c>
      <c r="J2">
        <f>+'[13]faixa SM RTT+RTE+RTI'!K9</f>
        <v>0</v>
      </c>
      <c r="K2">
        <f>+'[13]faixa SM RTT+RTE+RTI'!L9</f>
        <v>0</v>
      </c>
      <c r="L2">
        <f>+'[13]faixa SM RTT+RTE+RTI'!M9</f>
        <v>0</v>
      </c>
      <c r="M2">
        <f>+'[13]faixa SM RTT+RTE+RTI'!N9</f>
        <v>0</v>
      </c>
      <c r="N2">
        <f>+'[13]faixa SM RTT+RTE+RTI'!O9</f>
        <v>0</v>
      </c>
      <c r="O2">
        <f>+'[13]faixa SM RTT+RTE+RTI'!P9</f>
        <v>0</v>
      </c>
      <c r="P2">
        <f>+'[13]faixa SM RTT+RTE+RTI'!Q9</f>
        <v>0</v>
      </c>
      <c r="Q2">
        <f>+'[13]faixa SM RTT+RTE+RTI'!R9</f>
        <v>0</v>
      </c>
      <c r="R2">
        <f>+'[13]faixa SM RTT+RTE+RTI'!S9</f>
        <v>0</v>
      </c>
      <c r="S2">
        <f>+'[13]faixa SM RTT+RTE+RTI'!T9</f>
        <v>0</v>
      </c>
      <c r="T2">
        <f>+'[13]faixa SM RTT+RTE+RTI'!U9</f>
        <v>0</v>
      </c>
      <c r="U2">
        <f>+'[13]faixa SM RTT+RTE+RTI'!V9</f>
        <v>0</v>
      </c>
      <c r="V2">
        <f>+'[13]faixa SM RTT+RTE+RTI'!W9</f>
        <v>0</v>
      </c>
      <c r="W2">
        <f>+'[13]faixa SM RTT+RTE+RTI'!X9</f>
        <v>0</v>
      </c>
      <c r="X2">
        <f>+'[13]faixa SM RTT+RTE+RTI'!Y9</f>
        <v>0</v>
      </c>
      <c r="Y2">
        <f>+'[13]faixa SM RTT+RTE+RTI'!Z9</f>
        <v>0</v>
      </c>
      <c r="Z2">
        <f>+'[13]faixa SM RTT+RTE+RTI'!AA9</f>
        <v>0</v>
      </c>
      <c r="AA2">
        <f>+'[13]faixa SM RTT+RTE+RTI'!AB9</f>
        <v>0</v>
      </c>
      <c r="AB2">
        <f>+'[13]faixa SM RTT+RTE+RTI'!AC9</f>
        <v>0</v>
      </c>
      <c r="AC2">
        <f>+'[13]faixa SM RTT+RTE+RTI'!AD9</f>
        <v>0</v>
      </c>
      <c r="AD2">
        <f>+'[13]faixa SM RTT+RTE+RTI'!AE9</f>
        <v>0</v>
      </c>
      <c r="AE2">
        <f>+'[13]faixa SM RTT+RTE+RTI'!AF9</f>
        <v>0</v>
      </c>
      <c r="AF2">
        <f>+'[13]faixa SM RTT+RTE+RTI'!AG9</f>
        <v>0</v>
      </c>
      <c r="AG2">
        <f>+'[13]faixa SM RTT+RTE+RTI'!AH9</f>
        <v>0</v>
      </c>
      <c r="AH2">
        <f>+'[13]faixa SM RTT+RTE+RTI'!AI9</f>
        <v>0</v>
      </c>
      <c r="AI2">
        <f>+'[13]faixa SM RTT+RTE+RTI'!AJ9</f>
        <v>0</v>
      </c>
      <c r="AJ2">
        <f>+'[13]faixa SM RTT+RTE+RTI'!AK9</f>
        <v>0</v>
      </c>
      <c r="AK2">
        <f>+'[13]faixa SM RTT+RTE+RTI'!AL9</f>
        <v>0</v>
      </c>
      <c r="AL2">
        <f>+'[13]faixa SM RTT+RTE+RTI'!AM9</f>
        <v>0</v>
      </c>
      <c r="AM2">
        <f>+'[13]faixa SM RTT+RTE+RTI'!AN9</f>
        <v>0</v>
      </c>
      <c r="AN2">
        <f>+'[13]faixa SM RTT+RTE+RTI'!AO9</f>
        <v>0</v>
      </c>
      <c r="AO2" t="str">
        <f>+'[13]faixa SM RTT+RTE+RTI'!AP9</f>
        <v>Valores em R$ milhões</v>
      </c>
    </row>
    <row r="3" spans="2:41" s="4" customFormat="1" ht="60" x14ac:dyDescent="0.25">
      <c r="B3" s="4" t="str">
        <f>+'[13]faixa SM RTT+RTE+RTI'!C10</f>
        <v>Faixa SM Mensal</v>
      </c>
      <c r="C3" s="4" t="str">
        <f>+'[13]faixa SM RTT+RTE+RTI'!D10</f>
        <v>Qtde Declarantes</v>
      </c>
      <c r="D3" s="4" t="str">
        <f>+'[13]faixa SM RTT+RTE+RTI'!E10</f>
        <v>Rendim. Tribut.</v>
      </c>
      <c r="E3" s="4" t="str">
        <f>+'[13]faixa SM RTT+RTE+RTI'!F10</f>
        <v>Rendim. Tribut. Exclus.</v>
      </c>
      <c r="F3" s="4" t="str">
        <f>+'[13]faixa SM RTT+RTE+RTI'!G10</f>
        <v>Rendim. Isentos</v>
      </c>
      <c r="G3" s="4" t="str">
        <f>+'[13]faixa SM RTT+RTE+RTI'!H10</f>
        <v>Deduções</v>
      </c>
      <c r="H3" s="4">
        <f>+'[13]faixa SM RTT+RTE+RTI'!I10</f>
        <v>0</v>
      </c>
      <c r="I3" s="4">
        <f>+'[13]faixa SM RTT+RTE+RTI'!J10</f>
        <v>0</v>
      </c>
      <c r="J3" s="4">
        <f>+'[13]faixa SM RTT+RTE+RTI'!K10</f>
        <v>0</v>
      </c>
      <c r="K3" s="4">
        <f>+'[13]faixa SM RTT+RTE+RTI'!L10</f>
        <v>0</v>
      </c>
      <c r="L3" s="4">
        <f>+'[13]faixa SM RTT+RTE+RTI'!M10</f>
        <v>0</v>
      </c>
      <c r="M3" s="4">
        <f>+'[13]faixa SM RTT+RTE+RTI'!N10</f>
        <v>0</v>
      </c>
      <c r="N3" s="4">
        <f>+'[13]faixa SM RTT+RTE+RTI'!O10</f>
        <v>0</v>
      </c>
      <c r="O3" s="4">
        <f>+'[13]faixa SM RTT+RTE+RTI'!P10</f>
        <v>0</v>
      </c>
      <c r="P3" s="4">
        <f>+'[13]faixa SM RTT+RTE+RTI'!Q10</f>
        <v>0</v>
      </c>
      <c r="Q3" s="4">
        <f>+'[13]faixa SM RTT+RTE+RTI'!R10</f>
        <v>0</v>
      </c>
      <c r="R3" s="4" t="str">
        <f>+'[13]faixa SM RTT+RTE+RTI'!S10</f>
        <v>Base de Cálculo (RTL)</v>
      </c>
      <c r="S3" s="4" t="str">
        <f>+'[13]faixa SM RTT+RTE+RTI'!T10</f>
        <v>Imposto Devido</v>
      </c>
      <c r="T3" s="4" t="str">
        <f>+'[13]faixa SM RTT+RTE+RTI'!U10</f>
        <v>Dedução de Incentivo</v>
      </c>
      <c r="U3" s="4" t="str">
        <f>+'[13]faixa SM RTT+RTE+RTI'!V10</f>
        <v>Imposto Devido 1</v>
      </c>
      <c r="V3" s="4" t="str">
        <f>+'[13]faixa SM RTT+RTE+RTI'!W10</f>
        <v>Imposto Devido RRA</v>
      </c>
      <c r="W3" s="4" t="str">
        <f>+'[13]faixa SM RTT+RTE+RTI'!X10</f>
        <v>Imposto Total</v>
      </c>
      <c r="X3" s="4" t="str">
        <f>+'[13]faixa SM RTT+RTE+RTI'!Y10</f>
        <v>Imposto Pago</v>
      </c>
      <c r="Y3" s="4" t="str">
        <f>+'[13]faixa SM RTT+RTE+RTI'!Z10</f>
        <v>Imposto a Pagar</v>
      </c>
      <c r="Z3" s="4" t="str">
        <f>+'[13]faixa SM RTT+RTE+RTI'!AA10</f>
        <v>Imposto a Restituir</v>
      </c>
      <c r="AA3" s="4" t="str">
        <f>+'[13]faixa SM RTT+RTE+RTI'!AB10</f>
        <v>Dívidas   e Ônus</v>
      </c>
      <c r="AB3" s="4" t="str">
        <f>+'[13]faixa SM RTT+RTE+RTI'!AC10</f>
        <v>Doações e Heranças</v>
      </c>
      <c r="AC3" s="4" t="str">
        <f>+'[13]faixa SM RTT+RTE+RTI'!AD10</f>
        <v>Bens e Direitos</v>
      </c>
      <c r="AD3" s="4" t="str">
        <f>+'[13]faixa SM RTT+RTE+RTI'!AE10</f>
        <v>Previd. Complem. (VGBL)</v>
      </c>
      <c r="AE3" s="4" t="str">
        <f>+'[13]faixa SM RTT+RTE+RTI'!AF10</f>
        <v>Valores Pagos</v>
      </c>
      <c r="AF3" s="4">
        <f>+'[13]faixa SM RTT+RTE+RTI'!AG10</f>
        <v>0</v>
      </c>
      <c r="AG3" s="4">
        <f>+'[13]faixa SM RTT+RTE+RTI'!AH10</f>
        <v>0</v>
      </c>
      <c r="AH3" s="4">
        <f>+'[13]faixa SM RTT+RTE+RTI'!AI10</f>
        <v>0</v>
      </c>
      <c r="AI3" s="4">
        <f>+'[13]faixa SM RTT+RTE+RTI'!AJ10</f>
        <v>0</v>
      </c>
      <c r="AJ3" s="4">
        <f>+'[13]faixa SM RTT+RTE+RTI'!AK10</f>
        <v>0</v>
      </c>
      <c r="AK3" s="4">
        <f>+'[13]faixa SM RTT+RTE+RTI'!AL10</f>
        <v>0</v>
      </c>
      <c r="AL3" s="4">
        <f>+'[13]faixa SM RTT+RTE+RTI'!AM10</f>
        <v>0</v>
      </c>
      <c r="AM3" s="4">
        <f>+'[13]faixa SM RTT+RTE+RTI'!AN10</f>
        <v>0</v>
      </c>
      <c r="AN3" s="4">
        <f>+'[13]faixa SM RTT+RTE+RTI'!AO10</f>
        <v>0</v>
      </c>
      <c r="AO3" s="4" t="str">
        <f>+'[13]faixa SM RTT+RTE+RTI'!AP10</f>
        <v>Doações</v>
      </c>
    </row>
    <row r="4" spans="2:41" x14ac:dyDescent="0.25">
      <c r="B4">
        <f>+'[13]faixa SM RTT+RTE+RTI'!C11</f>
        <v>0</v>
      </c>
      <c r="C4">
        <f>+'[13]faixa SM RTT+RTE+RTI'!D11</f>
        <v>0</v>
      </c>
      <c r="D4">
        <f>+'[13]faixa SM RTT+RTE+RTI'!E11</f>
        <v>0</v>
      </c>
      <c r="E4">
        <f>+'[13]faixa SM RTT+RTE+RTI'!F11</f>
        <v>0</v>
      </c>
      <c r="F4">
        <f>+'[13]faixa SM RTT+RTE+RTI'!G11</f>
        <v>0</v>
      </c>
      <c r="G4" t="str">
        <f>+'[13]faixa SM RTT+RTE+RTI'!H11</f>
        <v>Previd. Official</v>
      </c>
      <c r="H4" t="str">
        <f>+'[13]faixa SM RTT+RTE+RTI'!I11</f>
        <v>Previd. RRA</v>
      </c>
      <c r="I4" t="str">
        <f>+'[13]faixa SM RTT+RTE+RTI'!J11</f>
        <v>Previd. Privada e FAPI</v>
      </c>
      <c r="J4" t="str">
        <f>+'[13]faixa SM RTT+RTE+RTI'!K11</f>
        <v>Dependentes</v>
      </c>
      <c r="K4" t="str">
        <f>+'[13]faixa SM RTT+RTE+RTI'!L11</f>
        <v>Instrução</v>
      </c>
      <c r="L4" t="str">
        <f>+'[13]faixa SM RTT+RTE+RTI'!M11</f>
        <v>Médicas</v>
      </c>
      <c r="M4" t="str">
        <f>+'[13]faixa SM RTT+RTE+RTI'!N11</f>
        <v>Livro Caixa</v>
      </c>
      <c r="N4" t="str">
        <f>+'[13]faixa SM RTT+RTE+RTI'!O11</f>
        <v>Pensão Aliment. Judicial</v>
      </c>
      <c r="O4" t="str">
        <f>+'[13]faixa SM RTT+RTE+RTI'!P11</f>
        <v>Pensão Aliment. Escritura</v>
      </c>
      <c r="P4" t="str">
        <f>+'[13]faixa SM RTT+RTE+RTI'!Q11</f>
        <v>Pensão Aliment. RRA</v>
      </c>
      <c r="Q4" t="str">
        <f>+'[13]faixa SM RTT+RTE+RTI'!R11</f>
        <v>Desconto Padrão</v>
      </c>
      <c r="R4">
        <f>+'[13]faixa SM RTT+RTE+RTI'!S11</f>
        <v>0</v>
      </c>
      <c r="S4">
        <f>+'[13]faixa SM RTT+RTE+RTI'!T11</f>
        <v>0</v>
      </c>
      <c r="T4">
        <f>+'[13]faixa SM RTT+RTE+RTI'!U11</f>
        <v>0</v>
      </c>
      <c r="U4">
        <f>+'[13]faixa SM RTT+RTE+RTI'!V11</f>
        <v>0</v>
      </c>
      <c r="V4">
        <f>+'[13]faixa SM RTT+RTE+RTI'!W11</f>
        <v>0</v>
      </c>
      <c r="W4">
        <f>+'[13]faixa SM RTT+RTE+RTI'!X11</f>
        <v>0</v>
      </c>
      <c r="X4">
        <f>+'[13]faixa SM RTT+RTE+RTI'!Y11</f>
        <v>0</v>
      </c>
      <c r="Y4">
        <f>+'[13]faixa SM RTT+RTE+RTI'!Z11</f>
        <v>0</v>
      </c>
      <c r="Z4">
        <f>+'[13]faixa SM RTT+RTE+RTI'!AA11</f>
        <v>0</v>
      </c>
      <c r="AA4">
        <f>+'[13]faixa SM RTT+RTE+RTI'!AB11</f>
        <v>0</v>
      </c>
      <c r="AB4">
        <f>+'[13]faixa SM RTT+RTE+RTI'!AC11</f>
        <v>0</v>
      </c>
      <c r="AC4">
        <f>+'[13]faixa SM RTT+RTE+RTI'!AD11</f>
        <v>0</v>
      </c>
      <c r="AD4">
        <f>+'[13]faixa SM RTT+RTE+RTI'!AE11</f>
        <v>0</v>
      </c>
      <c r="AE4" t="str">
        <f>+'[13]faixa SM RTT+RTE+RTI'!AF11</f>
        <v>Previd. Complem. (Inclui PGBL e Fundos de Pensão)</v>
      </c>
      <c r="AF4" t="str">
        <f>+'[13]faixa SM RTT+RTE+RTI'!AG11</f>
        <v>Previd. Complem. Nat. Púb.</v>
      </c>
      <c r="AG4" t="str">
        <f>+'[13]faixa SM RTT+RTE+RTI'!AH11</f>
        <v>FAPI</v>
      </c>
      <c r="AH4" t="str">
        <f>+'[13]faixa SM RTT+RTE+RTI'!AI11</f>
        <v>Despesas com Instrução</v>
      </c>
      <c r="AI4" t="str">
        <f>+'[13]faixa SM RTT+RTE+RTI'!AJ11</f>
        <v>Despesas Médicas</v>
      </c>
      <c r="AJ4" t="str">
        <f>+'[13]faixa SM RTT+RTE+RTI'!AK11</f>
        <v>Pensão Alim. Judicial</v>
      </c>
      <c r="AK4" t="str">
        <f>+'[13]faixa SM RTT+RTE+RTI'!AL11</f>
        <v>Pensão Alim. Escritura</v>
      </c>
      <c r="AL4" t="str">
        <f>+'[13]faixa SM RTT+RTE+RTI'!AM11</f>
        <v>Profissional Liberal</v>
      </c>
      <c r="AM4" t="str">
        <f>+'[13]faixa SM RTT+RTE+RTI'!AN11</f>
        <v>Arrendam. Rural</v>
      </c>
      <c r="AN4" t="str">
        <f>+'[13]faixa SM RTT+RTE+RTI'!AO11</f>
        <v>Outros</v>
      </c>
      <c r="AO4">
        <f>+'[13]faixa SM RTT+RTE+RTI'!AP11</f>
        <v>0</v>
      </c>
    </row>
    <row r="5" spans="2:41" x14ac:dyDescent="0.25">
      <c r="B5" t="str">
        <f>+'[13]faixa SM RTT+RTE+RTI'!C12</f>
        <v>Até 1/2</v>
      </c>
      <c r="C5">
        <f>+'[13]faixa SM RTT+RTE+RTI'!D12</f>
        <v>1327016</v>
      </c>
      <c r="D5">
        <f>+'[13]faixa SM RTT+RTE+RTI'!E12</f>
        <v>408.14914200999999</v>
      </c>
      <c r="E5">
        <f>+'[13]faixa SM RTT+RTE+RTI'!F12</f>
        <v>113.39314102</v>
      </c>
      <c r="F5">
        <f>+'[13]faixa SM RTT+RTE+RTI'!G12</f>
        <v>200.23835790000001</v>
      </c>
      <c r="G5">
        <f>+'[13]faixa SM RTT+RTE+RTI'!H12</f>
        <v>11.90323869</v>
      </c>
      <c r="H5">
        <f>+'[13]faixa SM RTT+RTE+RTI'!I12</f>
        <v>3.3241980000000004E-2</v>
      </c>
      <c r="I5">
        <f>+'[13]faixa SM RTT+RTE+RTI'!J12</f>
        <v>0.13562093</v>
      </c>
      <c r="J5">
        <f>+'[13]faixa SM RTT+RTE+RTI'!K12</f>
        <v>27.758264530000002</v>
      </c>
      <c r="K5">
        <f>+'[13]faixa SM RTT+RTE+RTI'!L12</f>
        <v>2.3598504999999999</v>
      </c>
      <c r="L5">
        <f>+'[13]faixa SM RTT+RTE+RTI'!M12</f>
        <v>6.3400317400000006</v>
      </c>
      <c r="M5">
        <f>+'[13]faixa SM RTT+RTE+RTI'!N12</f>
        <v>0.16466367000000001</v>
      </c>
      <c r="N5">
        <f>+'[13]faixa SM RTT+RTE+RTI'!O12</f>
        <v>0.82095368000000002</v>
      </c>
      <c r="O5">
        <f>+'[13]faixa SM RTT+RTE+RTI'!P12</f>
        <v>9.125488000000001E-2</v>
      </c>
      <c r="P5">
        <f>+'[13]faixa SM RTT+RTE+RTI'!Q12</f>
        <v>1.8474549999999999E-2</v>
      </c>
      <c r="Q5">
        <f>+'[13]faixa SM RTT+RTE+RTI'!R12</f>
        <v>43.873800580000001</v>
      </c>
      <c r="R5">
        <f>+'[13]faixa SM RTT+RTE+RTI'!S12</f>
        <v>314.64974627999999</v>
      </c>
      <c r="S5">
        <f>+'[13]faixa SM RTT+RTE+RTI'!T12</f>
        <v>1.510038E-2</v>
      </c>
      <c r="T5">
        <f>+'[13]faixa SM RTT+RTE+RTI'!U12</f>
        <v>0</v>
      </c>
      <c r="U5">
        <f>+'[13]faixa SM RTT+RTE+RTI'!V12</f>
        <v>1.510038E-2</v>
      </c>
      <c r="V5">
        <f>+'[13]faixa SM RTT+RTE+RTI'!W12</f>
        <v>7.5528999999999995E-3</v>
      </c>
      <c r="W5">
        <f>+'[13]faixa SM RTT+RTE+RTI'!X12</f>
        <v>2.2653279999999998E-2</v>
      </c>
      <c r="X5">
        <f>+'[13]faixa SM RTT+RTE+RTI'!Y12</f>
        <v>19.776194459999999</v>
      </c>
      <c r="Y5">
        <f>+'[13]faixa SM RTT+RTE+RTI'!Z12</f>
        <v>1.4407709999999999E-2</v>
      </c>
      <c r="Z5">
        <f>+'[13]faixa SM RTT+RTE+RTI'!AA12</f>
        <v>20.217385119999999</v>
      </c>
      <c r="AA5">
        <f>+'[13]faixa SM RTT+RTE+RTI'!AB12</f>
        <v>20910.62416852</v>
      </c>
      <c r="AB5">
        <f>+'[13]faixa SM RTT+RTE+RTI'!AC12</f>
        <v>1.6896149599999999</v>
      </c>
      <c r="AC5">
        <f>+'[13]faixa SM RTT+RTE+RTI'!AD12</f>
        <v>316272.43156160996</v>
      </c>
      <c r="AD5">
        <f>+'[13]faixa SM RTT+RTE+RTI'!AE12</f>
        <v>402.32509657999998</v>
      </c>
      <c r="AE5">
        <f>+'[13]faixa SM RTT+RTE+RTI'!AF12</f>
        <v>14.430608449999999</v>
      </c>
      <c r="AF5">
        <f>+'[13]faixa SM RTT+RTE+RTI'!AG12</f>
        <v>0.38954116999999999</v>
      </c>
      <c r="AG5">
        <f>+'[13]faixa SM RTT+RTE+RTI'!AH12</f>
        <v>2.7884814900000001</v>
      </c>
      <c r="AH5">
        <f>+'[13]faixa SM RTT+RTE+RTI'!AI12</f>
        <v>169.93160018</v>
      </c>
      <c r="AI5">
        <f>+'[13]faixa SM RTT+RTE+RTI'!AJ12</f>
        <v>327.02469771</v>
      </c>
      <c r="AJ5">
        <f>+'[13]faixa SM RTT+RTE+RTI'!AK12</f>
        <v>43.271777239999999</v>
      </c>
      <c r="AK5">
        <f>+'[13]faixa SM RTT+RTE+RTI'!AL12</f>
        <v>7.2354620800000005</v>
      </c>
      <c r="AL5">
        <f>+'[13]faixa SM RTT+RTE+RTI'!AM12</f>
        <v>47.15667388</v>
      </c>
      <c r="AM5">
        <f>+'[13]faixa SM RTT+RTE+RTI'!AN12</f>
        <v>13.81880758</v>
      </c>
      <c r="AN5">
        <f>+'[13]faixa SM RTT+RTE+RTI'!AO12</f>
        <v>234.68548343000001</v>
      </c>
      <c r="AO5">
        <f>+'[13]faixa SM RTT+RTE+RTI'!AP12</f>
        <v>10146.15957946</v>
      </c>
    </row>
    <row r="6" spans="2:41" x14ac:dyDescent="0.25">
      <c r="B6" t="str">
        <f>+'[13]faixa SM RTT+RTE+RTI'!C13</f>
        <v>De 1/2 a 1</v>
      </c>
      <c r="C6">
        <f>+'[13]faixa SM RTT+RTE+RTI'!D13</f>
        <v>397910</v>
      </c>
      <c r="D6">
        <f>+'[13]faixa SM RTT+RTE+RTI'!E13</f>
        <v>3157.9148116900001</v>
      </c>
      <c r="E6">
        <f>+'[13]faixa SM RTT+RTE+RTI'!F13</f>
        <v>202.60270212</v>
      </c>
      <c r="F6">
        <f>+'[13]faixa SM RTT+RTE+RTI'!G13</f>
        <v>496.73900118</v>
      </c>
      <c r="G6">
        <f>+'[13]faixa SM RTT+RTE+RTI'!H13</f>
        <v>78.034322360000004</v>
      </c>
      <c r="H6">
        <f>+'[13]faixa SM RTT+RTE+RTI'!I13</f>
        <v>9.6026789999999987E-2</v>
      </c>
      <c r="I6">
        <f>+'[13]faixa SM RTT+RTE+RTI'!J13</f>
        <v>0.70577170999999994</v>
      </c>
      <c r="J6">
        <f>+'[13]faixa SM RTT+RTE+RTI'!K13</f>
        <v>82.446960110000006</v>
      </c>
      <c r="K6">
        <f>+'[13]faixa SM RTT+RTE+RTI'!L13</f>
        <v>14.470863359999999</v>
      </c>
      <c r="L6">
        <f>+'[13]faixa SM RTT+RTE+RTI'!M13</f>
        <v>38.549952939999997</v>
      </c>
      <c r="M6">
        <f>+'[13]faixa SM RTT+RTE+RTI'!N13</f>
        <v>0.87973955000000004</v>
      </c>
      <c r="N6">
        <f>+'[13]faixa SM RTT+RTE+RTI'!O13</f>
        <v>3.9889393199999996</v>
      </c>
      <c r="O6">
        <f>+'[13]faixa SM RTT+RTE+RTI'!P13</f>
        <v>0.68128664999999999</v>
      </c>
      <c r="P6">
        <f>+'[13]faixa SM RTT+RTE+RTI'!Q13</f>
        <v>2.0439659999999998E-2</v>
      </c>
      <c r="Q6">
        <f>+'[13]faixa SM RTT+RTE+RTI'!R13</f>
        <v>395.50367025999998</v>
      </c>
      <c r="R6">
        <f>+'[13]faixa SM RTT+RTE+RTI'!S13</f>
        <v>2542.5368389800001</v>
      </c>
      <c r="S6">
        <f>+'[13]faixa SM RTT+RTE+RTI'!T13</f>
        <v>0.14619269000000001</v>
      </c>
      <c r="T6">
        <f>+'[13]faixa SM RTT+RTE+RTI'!U13</f>
        <v>0</v>
      </c>
      <c r="U6">
        <f>+'[13]faixa SM RTT+RTE+RTI'!V13</f>
        <v>0.14619269000000001</v>
      </c>
      <c r="V6">
        <f>+'[13]faixa SM RTT+RTE+RTI'!W13</f>
        <v>1.09389E-2</v>
      </c>
      <c r="W6">
        <f>+'[13]faixa SM RTT+RTE+RTI'!X13</f>
        <v>0.156446</v>
      </c>
      <c r="X6">
        <f>+'[13]faixa SM RTT+RTE+RTI'!Y13</f>
        <v>34.868740170000002</v>
      </c>
      <c r="Y6">
        <f>+'[13]faixa SM RTT+RTE+RTI'!Z13</f>
        <v>7.810839E-2</v>
      </c>
      <c r="Z6">
        <f>+'[13]faixa SM RTT+RTE+RTI'!AA13</f>
        <v>34.986311260000001</v>
      </c>
      <c r="AA6">
        <f>+'[13]faixa SM RTT+RTE+RTI'!AB13</f>
        <v>5037.0653139200003</v>
      </c>
      <c r="AB6">
        <f>+'[13]faixa SM RTT+RTE+RTI'!AC13</f>
        <v>9.0653618000000016</v>
      </c>
      <c r="AC6">
        <f>+'[13]faixa SM RTT+RTE+RTI'!AD13</f>
        <v>63781.423434540004</v>
      </c>
      <c r="AD6">
        <f>+'[13]faixa SM RTT+RTE+RTI'!AE13</f>
        <v>214.67313412000001</v>
      </c>
      <c r="AE6">
        <f>+'[13]faixa SM RTT+RTE+RTI'!AF13</f>
        <v>7.0793641699999998</v>
      </c>
      <c r="AF6">
        <f>+'[13]faixa SM RTT+RTE+RTI'!AG13</f>
        <v>0.37983662000000001</v>
      </c>
      <c r="AG6">
        <f>+'[13]faixa SM RTT+RTE+RTI'!AH13</f>
        <v>1.6582004699999999</v>
      </c>
      <c r="AH6">
        <f>+'[13]faixa SM RTT+RTE+RTI'!AI13</f>
        <v>94.075757269999997</v>
      </c>
      <c r="AI6">
        <f>+'[13]faixa SM RTT+RTE+RTI'!AJ13</f>
        <v>178.27475382</v>
      </c>
      <c r="AJ6">
        <f>+'[13]faixa SM RTT+RTE+RTI'!AK13</f>
        <v>18.241446359999998</v>
      </c>
      <c r="AK6">
        <f>+'[13]faixa SM RTT+RTE+RTI'!AL13</f>
        <v>3.1809782200000001</v>
      </c>
      <c r="AL6">
        <f>+'[13]faixa SM RTT+RTE+RTI'!AM13</f>
        <v>17.800023120000002</v>
      </c>
      <c r="AM6">
        <f>+'[13]faixa SM RTT+RTE+RTI'!AN13</f>
        <v>5.4406365599999997</v>
      </c>
      <c r="AN6">
        <f>+'[13]faixa SM RTT+RTE+RTI'!AO13</f>
        <v>70.671173409999994</v>
      </c>
      <c r="AO6">
        <f>+'[13]faixa SM RTT+RTE+RTI'!AP13</f>
        <v>159.32487459999999</v>
      </c>
    </row>
    <row r="7" spans="2:41" x14ac:dyDescent="0.25">
      <c r="B7" t="str">
        <f>+'[13]faixa SM RTT+RTE+RTI'!C14</f>
        <v>De 1 a 2</v>
      </c>
      <c r="C7">
        <f>+'[13]faixa SM RTT+RTE+RTI'!D14</f>
        <v>1927431</v>
      </c>
      <c r="D7">
        <f>+'[13]faixa SM RTT+RTE+RTI'!E14</f>
        <v>27752.672979900002</v>
      </c>
      <c r="E7">
        <f>+'[13]faixa SM RTT+RTE+RTI'!F14</f>
        <v>1230.0766685199999</v>
      </c>
      <c r="F7">
        <f>+'[13]faixa SM RTT+RTE+RTI'!G14</f>
        <v>4716.051829</v>
      </c>
      <c r="G7">
        <f>+'[13]faixa SM RTT+RTE+RTI'!H14</f>
        <v>534.14827902000002</v>
      </c>
      <c r="H7">
        <f>+'[13]faixa SM RTT+RTE+RTI'!I14</f>
        <v>0.68510853999999999</v>
      </c>
      <c r="I7">
        <f>+'[13]faixa SM RTT+RTE+RTI'!J14</f>
        <v>5.57915603</v>
      </c>
      <c r="J7">
        <f>+'[13]faixa SM RTT+RTE+RTI'!K14</f>
        <v>434.13303464999996</v>
      </c>
      <c r="K7">
        <f>+'[13]faixa SM RTT+RTE+RTI'!L14</f>
        <v>96.142919930000005</v>
      </c>
      <c r="L7">
        <f>+'[13]faixa SM RTT+RTE+RTI'!M14</f>
        <v>319.00622391000002</v>
      </c>
      <c r="M7">
        <f>+'[13]faixa SM RTT+RTE+RTI'!N14</f>
        <v>10.5622708</v>
      </c>
      <c r="N7">
        <f>+'[13]faixa SM RTT+RTE+RTI'!O14</f>
        <v>30.40087742</v>
      </c>
      <c r="O7">
        <f>+'[13]faixa SM RTT+RTE+RTI'!P14</f>
        <v>3.8783104900000001</v>
      </c>
      <c r="P7">
        <f>+'[13]faixa SM RTT+RTE+RTI'!Q14</f>
        <v>0.4144563</v>
      </c>
      <c r="Q7">
        <f>+'[13]faixa SM RTT+RTE+RTI'!R14</f>
        <v>3538.3840172300002</v>
      </c>
      <c r="R7">
        <f>+'[13]faixa SM RTT+RTE+RTI'!S14</f>
        <v>22779.338325580004</v>
      </c>
      <c r="S7">
        <f>+'[13]faixa SM RTT+RTE+RTI'!T14</f>
        <v>1.0346350200000001</v>
      </c>
      <c r="T7">
        <f>+'[13]faixa SM RTT+RTE+RTI'!U14</f>
        <v>8.7150000000000004E-5</v>
      </c>
      <c r="U7">
        <f>+'[13]faixa SM RTT+RTE+RTI'!V14</f>
        <v>1.0345478699999999</v>
      </c>
      <c r="V7">
        <f>+'[13]faixa SM RTT+RTE+RTI'!W14</f>
        <v>0.15883004000000001</v>
      </c>
      <c r="W7">
        <f>+'[13]faixa SM RTT+RTE+RTI'!X14</f>
        <v>1.1922663999999998</v>
      </c>
      <c r="X7">
        <f>+'[13]faixa SM RTT+RTE+RTI'!Y14</f>
        <v>229.24773852999999</v>
      </c>
      <c r="Y7">
        <f>+'[13]faixa SM RTT+RTE+RTI'!Z14</f>
        <v>0.46178378000000003</v>
      </c>
      <c r="Z7">
        <f>+'[13]faixa SM RTT+RTE+RTI'!AA14</f>
        <v>229.9005889</v>
      </c>
      <c r="AA7">
        <f>+'[13]faixa SM RTT+RTE+RTI'!AB14</f>
        <v>18546.175573020002</v>
      </c>
      <c r="AB7">
        <f>+'[13]faixa SM RTT+RTE+RTI'!AC14</f>
        <v>54.200741659999998</v>
      </c>
      <c r="AC7">
        <f>+'[13]faixa SM RTT+RTE+RTI'!AD14</f>
        <v>212680.62724951</v>
      </c>
      <c r="AD7">
        <f>+'[13]faixa SM RTT+RTE+RTI'!AE14</f>
        <v>714.96682146000001</v>
      </c>
      <c r="AE7">
        <f>+'[13]faixa SM RTT+RTE+RTI'!AF14</f>
        <v>30.94202524</v>
      </c>
      <c r="AF7">
        <f>+'[13]faixa SM RTT+RTE+RTI'!AG14</f>
        <v>1.0311123900000001</v>
      </c>
      <c r="AG7">
        <f>+'[13]faixa SM RTT+RTE+RTI'!AH14</f>
        <v>6.2903329000000001</v>
      </c>
      <c r="AH7">
        <f>+'[13]faixa SM RTT+RTE+RTI'!AI14</f>
        <v>425.10031119999996</v>
      </c>
      <c r="AI7">
        <f>+'[13]faixa SM RTT+RTE+RTI'!AJ14</f>
        <v>929.28171211999995</v>
      </c>
      <c r="AJ7">
        <f>+'[13]faixa SM RTT+RTE+RTI'!AK14</f>
        <v>76.875595689999997</v>
      </c>
      <c r="AK7">
        <f>+'[13]faixa SM RTT+RTE+RTI'!AL14</f>
        <v>10.48818951</v>
      </c>
      <c r="AL7">
        <f>+'[13]faixa SM RTT+RTE+RTI'!AM14</f>
        <v>65.678523670000004</v>
      </c>
      <c r="AM7">
        <f>+'[13]faixa SM RTT+RTE+RTI'!AN14</f>
        <v>10.486603369999999</v>
      </c>
      <c r="AN7">
        <f>+'[13]faixa SM RTT+RTE+RTI'!AO14</f>
        <v>238.89335403000001</v>
      </c>
      <c r="AO7">
        <f>+'[13]faixa SM RTT+RTE+RTI'!AP14</f>
        <v>459.69822970000001</v>
      </c>
    </row>
    <row r="8" spans="2:41" x14ac:dyDescent="0.25">
      <c r="B8" t="str">
        <f>+'[13]faixa SM RTT+RTE+RTI'!C15</f>
        <v>De 2 a 3</v>
      </c>
      <c r="C8">
        <f>+'[13]faixa SM RTT+RTE+RTI'!D15</f>
        <v>4953698</v>
      </c>
      <c r="D8">
        <f>+'[13]faixa SM RTT+RTE+RTI'!E15</f>
        <v>130157.48705873</v>
      </c>
      <c r="E8">
        <f>+'[13]faixa SM RTT+RTE+RTI'!F15</f>
        <v>6774.8042632899997</v>
      </c>
      <c r="F8">
        <f>+'[13]faixa SM RTT+RTE+RTI'!G15</f>
        <v>12746.45696159</v>
      </c>
      <c r="G8">
        <f>+'[13]faixa SM RTT+RTE+RTI'!H15</f>
        <v>2451.9296541599997</v>
      </c>
      <c r="H8">
        <f>+'[13]faixa SM RTT+RTE+RTI'!I15</f>
        <v>2.9777884999999999</v>
      </c>
      <c r="I8">
        <f>+'[13]faixa SM RTT+RTE+RTI'!J15</f>
        <v>34.648800530000003</v>
      </c>
      <c r="J8">
        <f>+'[13]faixa SM RTT+RTE+RTI'!K15</f>
        <v>2891.8284475199998</v>
      </c>
      <c r="K8">
        <f>+'[13]faixa SM RTT+RTE+RTI'!L15</f>
        <v>732.88757772000008</v>
      </c>
      <c r="L8">
        <f>+'[13]faixa SM RTT+RTE+RTI'!M15</f>
        <v>2132.6024975599998</v>
      </c>
      <c r="M8">
        <f>+'[13]faixa SM RTT+RTE+RTI'!N15</f>
        <v>69.645882999999998</v>
      </c>
      <c r="N8">
        <f>+'[13]faixa SM RTT+RTE+RTI'!O15</f>
        <v>261.85497067</v>
      </c>
      <c r="O8">
        <f>+'[13]faixa SM RTT+RTE+RTI'!P15</f>
        <v>26.50634664</v>
      </c>
      <c r="P8">
        <f>+'[13]faixa SM RTT+RTE+RTI'!Q15</f>
        <v>1.2721216799999999</v>
      </c>
      <c r="Q8">
        <f>+'[13]faixa SM RTT+RTE+RTI'!R15</f>
        <v>19945.404787029998</v>
      </c>
      <c r="R8">
        <f>+'[13]faixa SM RTT+RTE+RTI'!S15</f>
        <v>101605.92818372</v>
      </c>
      <c r="S8">
        <f>+'[13]faixa SM RTT+RTE+RTI'!T15</f>
        <v>217.18079459</v>
      </c>
      <c r="T8">
        <f>+'[13]faixa SM RTT+RTE+RTI'!U15</f>
        <v>1.3453499999999999E-3</v>
      </c>
      <c r="U8">
        <f>+'[13]faixa SM RTT+RTE+RTI'!V15</f>
        <v>217.17944924</v>
      </c>
      <c r="V8">
        <f>+'[13]faixa SM RTT+RTE+RTI'!W15</f>
        <v>0.42318296</v>
      </c>
      <c r="W8">
        <f>+'[13]faixa SM RTT+RTE+RTI'!X15</f>
        <v>217.59618149000002</v>
      </c>
      <c r="X8">
        <f>+'[13]faixa SM RTT+RTE+RTI'!Y15</f>
        <v>1045.4753926799999</v>
      </c>
      <c r="Y8">
        <f>+'[13]faixa SM RTT+RTE+RTI'!Z15</f>
        <v>54.192279399999997</v>
      </c>
      <c r="Z8">
        <f>+'[13]faixa SM RTT+RTE+RTI'!AA15</f>
        <v>889.62506048</v>
      </c>
      <c r="AA8">
        <f>+'[13]faixa SM RTT+RTE+RTI'!AB15</f>
        <v>38508.290733300004</v>
      </c>
      <c r="AB8">
        <f>+'[13]faixa SM RTT+RTE+RTI'!AC15</f>
        <v>141.25672183</v>
      </c>
      <c r="AC8">
        <f>+'[13]faixa SM RTT+RTE+RTI'!AD15</f>
        <v>455828.54339996004</v>
      </c>
      <c r="AD8">
        <f>+'[13]faixa SM RTT+RTE+RTI'!AE15</f>
        <v>1396.3870010200001</v>
      </c>
      <c r="AE8">
        <f>+'[13]faixa SM RTT+RTE+RTI'!AF15</f>
        <v>78.013885989999991</v>
      </c>
      <c r="AF8">
        <f>+'[13]faixa SM RTT+RTE+RTI'!AG15</f>
        <v>2.2804337499999998</v>
      </c>
      <c r="AG8">
        <f>+'[13]faixa SM RTT+RTE+RTI'!AH15</f>
        <v>26.101192820000001</v>
      </c>
      <c r="AH8">
        <f>+'[13]faixa SM RTT+RTE+RTI'!AI15</f>
        <v>1856.2237935999999</v>
      </c>
      <c r="AI8">
        <f>+'[13]faixa SM RTT+RTE+RTI'!AJ15</f>
        <v>3764.8606048299998</v>
      </c>
      <c r="AJ8">
        <f>+'[13]faixa SM RTT+RTE+RTI'!AK15</f>
        <v>353.63192025000001</v>
      </c>
      <c r="AK8">
        <f>+'[13]faixa SM RTT+RTE+RTI'!AL15</f>
        <v>39.875509450000003</v>
      </c>
      <c r="AL8">
        <f>+'[13]faixa SM RTT+RTE+RTI'!AM15</f>
        <v>142.89553441999999</v>
      </c>
      <c r="AM8">
        <f>+'[13]faixa SM RTT+RTE+RTI'!AN15</f>
        <v>16.604365600000001</v>
      </c>
      <c r="AN8">
        <f>+'[13]faixa SM RTT+RTE+RTI'!AO15</f>
        <v>630.46044127999994</v>
      </c>
      <c r="AO8">
        <f>+'[13]faixa SM RTT+RTE+RTI'!AP15</f>
        <v>639.77064278</v>
      </c>
    </row>
    <row r="9" spans="2:41" x14ac:dyDescent="0.25">
      <c r="B9" t="str">
        <f>+'[13]faixa SM RTT+RTE+RTI'!C16</f>
        <v>De 3 a 5</v>
      </c>
      <c r="C9">
        <f>+'[13]faixa SM RTT+RTE+RTI'!D16</f>
        <v>8259979</v>
      </c>
      <c r="D9">
        <f>+'[13]faixa SM RTT+RTE+RTI'!E16</f>
        <v>311324.63441947999</v>
      </c>
      <c r="E9">
        <f>+'[13]faixa SM RTT+RTE+RTI'!F16</f>
        <v>25066.113403479998</v>
      </c>
      <c r="F9">
        <f>+'[13]faixa SM RTT+RTE+RTI'!G16</f>
        <v>48391.101488970002</v>
      </c>
      <c r="G9">
        <f>+'[13]faixa SM RTT+RTE+RTI'!H16</f>
        <v>11269.820562209999</v>
      </c>
      <c r="H9">
        <f>+'[13]faixa SM RTT+RTE+RTI'!I16</f>
        <v>8.6340638000000016</v>
      </c>
      <c r="I9">
        <f>+'[13]faixa SM RTT+RTE+RTI'!J16</f>
        <v>336.61378186000002</v>
      </c>
      <c r="J9">
        <f>+'[13]faixa SM RTT+RTE+RTI'!K16</f>
        <v>10214.695190549999</v>
      </c>
      <c r="K9">
        <f>+'[13]faixa SM RTT+RTE+RTI'!L16</f>
        <v>4361.3787200400002</v>
      </c>
      <c r="L9">
        <f>+'[13]faixa SM RTT+RTE+RTI'!M16</f>
        <v>12041.701546440001</v>
      </c>
      <c r="M9">
        <f>+'[13]faixa SM RTT+RTE+RTI'!N16</f>
        <v>402.51575754000004</v>
      </c>
      <c r="N9">
        <f>+'[13]faixa SM RTT+RTE+RTI'!O16</f>
        <v>1591.3316567500001</v>
      </c>
      <c r="O9">
        <f>+'[13]faixa SM RTT+RTE+RTI'!P16</f>
        <v>174.79619081000001</v>
      </c>
      <c r="P9">
        <f>+'[13]faixa SM RTT+RTE+RTI'!Q16</f>
        <v>4.4994234400000002</v>
      </c>
      <c r="Q9">
        <f>+'[13]faixa SM RTT+RTE+RTI'!R16</f>
        <v>37338.38254513</v>
      </c>
      <c r="R9">
        <f>+'[13]faixa SM RTT+RTE+RTI'!S16</f>
        <v>233580.26498091</v>
      </c>
      <c r="S9">
        <f>+'[13]faixa SM RTT+RTE+RTI'!T16</f>
        <v>5156.2946067499997</v>
      </c>
      <c r="T9">
        <f>+'[13]faixa SM RTT+RTE+RTI'!U16</f>
        <v>0.33100268999999999</v>
      </c>
      <c r="U9">
        <f>+'[13]faixa SM RTT+RTE+RTI'!V16</f>
        <v>5155.9636040600008</v>
      </c>
      <c r="V9">
        <f>+'[13]faixa SM RTT+RTE+RTI'!W16</f>
        <v>2.3352319399999999</v>
      </c>
      <c r="W9">
        <f>+'[13]faixa SM RTT+RTE+RTI'!X16</f>
        <v>5158.26100305</v>
      </c>
      <c r="X9">
        <f>+'[13]faixa SM RTT+RTE+RTI'!Y16</f>
        <v>8447.6662290799995</v>
      </c>
      <c r="Y9">
        <f>+'[13]faixa SM RTT+RTE+RTI'!Z16</f>
        <v>818.52764592999995</v>
      </c>
      <c r="Z9">
        <f>+'[13]faixa SM RTT+RTE+RTI'!AA16</f>
        <v>4157.5123122699997</v>
      </c>
      <c r="AA9">
        <f>+'[13]faixa SM RTT+RTE+RTI'!AB16</f>
        <v>76754.452312720008</v>
      </c>
      <c r="AB9">
        <f>+'[13]faixa SM RTT+RTE+RTI'!AC16</f>
        <v>742.65465161999998</v>
      </c>
      <c r="AC9">
        <f>+'[13]faixa SM RTT+RTE+RTI'!AD16</f>
        <v>850477.42208556994</v>
      </c>
      <c r="AD9">
        <f>+'[13]faixa SM RTT+RTE+RTI'!AE16</f>
        <v>3439.0237979699996</v>
      </c>
      <c r="AE9">
        <f>+'[13]faixa SM RTT+RTE+RTI'!AF16</f>
        <v>370.54332743999998</v>
      </c>
      <c r="AF9">
        <f>+'[13]faixa SM RTT+RTE+RTI'!AG16</f>
        <v>10.593564859999999</v>
      </c>
      <c r="AG9">
        <f>+'[13]faixa SM RTT+RTE+RTI'!AH16</f>
        <v>174.84595587000001</v>
      </c>
      <c r="AH9">
        <f>+'[13]faixa SM RTT+RTE+RTI'!AI16</f>
        <v>8637.2705384599994</v>
      </c>
      <c r="AI9">
        <f>+'[13]faixa SM RTT+RTE+RTI'!AJ16</f>
        <v>16374.843377339999</v>
      </c>
      <c r="AJ9">
        <f>+'[13]faixa SM RTT+RTE+RTI'!AK16</f>
        <v>1753.98267422</v>
      </c>
      <c r="AK9">
        <f>+'[13]faixa SM RTT+RTE+RTI'!AL16</f>
        <v>200.39630965999999</v>
      </c>
      <c r="AL9">
        <f>+'[13]faixa SM RTT+RTE+RTI'!AM16</f>
        <v>424.75880891000003</v>
      </c>
      <c r="AM9">
        <f>+'[13]faixa SM RTT+RTE+RTI'!AN16</f>
        <v>27.229375149999999</v>
      </c>
      <c r="AN9">
        <f>+'[13]faixa SM RTT+RTE+RTI'!AO16</f>
        <v>1945.8603128099999</v>
      </c>
      <c r="AO9">
        <f>+'[13]faixa SM RTT+RTE+RTI'!AP16</f>
        <v>1323.6882158199999</v>
      </c>
    </row>
    <row r="10" spans="2:41" x14ac:dyDescent="0.25">
      <c r="B10" t="str">
        <f>+'[13]faixa SM RTT+RTE+RTI'!C17</f>
        <v>De 5 a 7</v>
      </c>
      <c r="C10">
        <f>+'[13]faixa SM RTT+RTE+RTI'!D17</f>
        <v>4382734</v>
      </c>
      <c r="D10">
        <f>+'[13]faixa SM RTT+RTE+RTI'!E17</f>
        <v>239195.27997609001</v>
      </c>
      <c r="E10">
        <f>+'[13]faixa SM RTT+RTE+RTI'!F17</f>
        <v>21834.864213560002</v>
      </c>
      <c r="F10">
        <f>+'[13]faixa SM RTT+RTE+RTI'!G17</f>
        <v>48194.034835730003</v>
      </c>
      <c r="G10">
        <f>+'[13]faixa SM RTT+RTE+RTI'!H17</f>
        <v>8935.7616649800002</v>
      </c>
      <c r="H10">
        <f>+'[13]faixa SM RTT+RTE+RTI'!I17</f>
        <v>6.2562125999999996</v>
      </c>
      <c r="I10">
        <f>+'[13]faixa SM RTT+RTE+RTI'!J17</f>
        <v>564.66013255999997</v>
      </c>
      <c r="J10">
        <f>+'[13]faixa SM RTT+RTE+RTI'!K17</f>
        <v>5841.7456458699999</v>
      </c>
      <c r="K10">
        <f>+'[13]faixa SM RTT+RTE+RTI'!L17</f>
        <v>4083.2660734699998</v>
      </c>
      <c r="L10">
        <f>+'[13]faixa SM RTT+RTE+RTI'!M17</f>
        <v>12583.906566549998</v>
      </c>
      <c r="M10">
        <f>+'[13]faixa SM RTT+RTE+RTI'!N17</f>
        <v>603.86045265999996</v>
      </c>
      <c r="N10">
        <f>+'[13]faixa SM RTT+RTE+RTI'!O17</f>
        <v>1664.6931968199999</v>
      </c>
      <c r="O10">
        <f>+'[13]faixa SM RTT+RTE+RTI'!P17</f>
        <v>178.77631915000001</v>
      </c>
      <c r="P10">
        <f>+'[13]faixa SM RTT+RTE+RTI'!Q17</f>
        <v>3.7036334200000001</v>
      </c>
      <c r="Q10">
        <f>+'[13]faixa SM RTT+RTE+RTI'!R17</f>
        <v>27273.496104360001</v>
      </c>
      <c r="R10">
        <f>+'[13]faixa SM RTT+RTE+RTI'!S17</f>
        <v>177455.15397364998</v>
      </c>
      <c r="S10">
        <f>+'[13]faixa SM RTT+RTE+RTI'!T17</f>
        <v>10651.23315478</v>
      </c>
      <c r="T10">
        <f>+'[13]faixa SM RTT+RTE+RTI'!U17</f>
        <v>1.33758099</v>
      </c>
      <c r="U10">
        <f>+'[13]faixa SM RTT+RTE+RTI'!V17</f>
        <v>10649.895573790001</v>
      </c>
      <c r="V10">
        <f>+'[13]faixa SM RTT+RTE+RTI'!W17</f>
        <v>6.1737416200000004</v>
      </c>
      <c r="W10">
        <f>+'[13]faixa SM RTT+RTE+RTI'!X17</f>
        <v>10656.005515870002</v>
      </c>
      <c r="X10">
        <f>+'[13]faixa SM RTT+RTE+RTI'!Y17</f>
        <v>13689.295707399999</v>
      </c>
      <c r="Y10">
        <f>+'[13]faixa SM RTT+RTE+RTI'!Z17</f>
        <v>1655.4569681199998</v>
      </c>
      <c r="Z10">
        <f>+'[13]faixa SM RTT+RTE+RTI'!AA17</f>
        <v>4764.5388250699998</v>
      </c>
      <c r="AA10">
        <f>+'[13]faixa SM RTT+RTE+RTI'!AB17</f>
        <v>82898.34161648</v>
      </c>
      <c r="AB10">
        <f>+'[13]faixa SM RTT+RTE+RTI'!AC17</f>
        <v>1609.7458352900001</v>
      </c>
      <c r="AC10">
        <f>+'[13]faixa SM RTT+RTE+RTI'!AD17</f>
        <v>721016.47172436002</v>
      </c>
      <c r="AD10">
        <f>+'[13]faixa SM RTT+RTE+RTI'!AE17</f>
        <v>3754.64306115</v>
      </c>
      <c r="AE10">
        <f>+'[13]faixa SM RTT+RTE+RTI'!AF17</f>
        <v>585.22906177999994</v>
      </c>
      <c r="AF10">
        <f>+'[13]faixa SM RTT+RTE+RTI'!AG17</f>
        <v>15.55220136</v>
      </c>
      <c r="AG10">
        <f>+'[13]faixa SM RTT+RTE+RTI'!AH17</f>
        <v>242.05101980000001</v>
      </c>
      <c r="AH10">
        <f>+'[13]faixa SM RTT+RTE+RTI'!AI17</f>
        <v>8533.2436996800006</v>
      </c>
      <c r="AI10">
        <f>+'[13]faixa SM RTT+RTE+RTI'!AJ17</f>
        <v>16251.40392624</v>
      </c>
      <c r="AJ10">
        <f>+'[13]faixa SM RTT+RTE+RTI'!AK17</f>
        <v>1782.46890601</v>
      </c>
      <c r="AK10">
        <f>+'[13]faixa SM RTT+RTE+RTI'!AL17</f>
        <v>200.34354887000001</v>
      </c>
      <c r="AL10">
        <f>+'[13]faixa SM RTT+RTE+RTI'!AM17</f>
        <v>471.54515292000002</v>
      </c>
      <c r="AM10">
        <f>+'[13]faixa SM RTT+RTE+RTI'!AN17</f>
        <v>24.041687899999999</v>
      </c>
      <c r="AN10">
        <f>+'[13]faixa SM RTT+RTE+RTI'!AO17</f>
        <v>1726.4381305499999</v>
      </c>
      <c r="AO10">
        <f>+'[13]faixa SM RTT+RTE+RTI'!AP17</f>
        <v>1323.4466683599999</v>
      </c>
    </row>
    <row r="11" spans="2:41" x14ac:dyDescent="0.25">
      <c r="B11" t="str">
        <f>+'[13]faixa SM RTT+RTE+RTI'!C18</f>
        <v>De 7 a 10</v>
      </c>
      <c r="C11">
        <f>+'[13]faixa SM RTT+RTE+RTI'!D18</f>
        <v>3274742</v>
      </c>
      <c r="D11">
        <f>+'[13]faixa SM RTT+RTE+RTI'!E18</f>
        <v>243351.43693898001</v>
      </c>
      <c r="E11">
        <f>+'[13]faixa SM RTT+RTE+RTI'!F18</f>
        <v>24569.85464048</v>
      </c>
      <c r="F11">
        <f>+'[13]faixa SM RTT+RTE+RTI'!G18</f>
        <v>58426.19188654</v>
      </c>
      <c r="G11">
        <f>+'[13]faixa SM RTT+RTE+RTI'!H18</f>
        <v>9136.7463463500007</v>
      </c>
      <c r="H11">
        <f>+'[13]faixa SM RTT+RTE+RTI'!I18</f>
        <v>6.0084510300000007</v>
      </c>
      <c r="I11">
        <f>+'[13]faixa SM RTT+RTE+RTI'!J18</f>
        <v>935.79361457000005</v>
      </c>
      <c r="J11">
        <f>+'[13]faixa SM RTT+RTE+RTI'!K18</f>
        <v>4649.07063956</v>
      </c>
      <c r="K11">
        <f>+'[13]faixa SM RTT+RTE+RTI'!L18</f>
        <v>3840.3418909699999</v>
      </c>
      <c r="L11">
        <f>+'[13]faixa SM RTT+RTE+RTI'!M18</f>
        <v>13431.89855172</v>
      </c>
      <c r="M11">
        <f>+'[13]faixa SM RTT+RTE+RTI'!N18</f>
        <v>974.03406111000004</v>
      </c>
      <c r="N11">
        <f>+'[13]faixa SM RTT+RTE+RTI'!O18</f>
        <v>1988.7042893299999</v>
      </c>
      <c r="O11">
        <f>+'[13]faixa SM RTT+RTE+RTI'!P18</f>
        <v>216.96081003</v>
      </c>
      <c r="P11">
        <f>+'[13]faixa SM RTT+RTE+RTI'!Q18</f>
        <v>3.3236945699999998</v>
      </c>
      <c r="Q11">
        <f>+'[13]faixa SM RTT+RTE+RTI'!R18</f>
        <v>24707.246706040001</v>
      </c>
      <c r="R11">
        <f>+'[13]faixa SM RTT+RTE+RTI'!S18</f>
        <v>183461.30788370001</v>
      </c>
      <c r="S11">
        <f>+'[13]faixa SM RTT+RTE+RTI'!T18</f>
        <v>19963.3524745</v>
      </c>
      <c r="T11">
        <f>+'[13]faixa SM RTT+RTE+RTI'!U18</f>
        <v>4.1381233799999997</v>
      </c>
      <c r="U11">
        <f>+'[13]faixa SM RTT+RTE+RTI'!V18</f>
        <v>19959.214351119997</v>
      </c>
      <c r="V11">
        <f>+'[13]faixa SM RTT+RTE+RTI'!W18</f>
        <v>15.99321735</v>
      </c>
      <c r="W11">
        <f>+'[13]faixa SM RTT+RTE+RTI'!X18</f>
        <v>19975.042850080001</v>
      </c>
      <c r="X11">
        <f>+'[13]faixa SM RTT+RTE+RTI'!Y18</f>
        <v>21626.658521180001</v>
      </c>
      <c r="Y11">
        <f>+'[13]faixa SM RTT+RTE+RTI'!Z18</f>
        <v>2984.2261965600001</v>
      </c>
      <c r="Z11">
        <f>+'[13]faixa SM RTT+RTE+RTI'!AA18</f>
        <v>4756.58151662</v>
      </c>
      <c r="AA11">
        <f>+'[13]faixa SM RTT+RTE+RTI'!AB18</f>
        <v>69707.39199388001</v>
      </c>
      <c r="AB11">
        <f>+'[13]faixa SM RTT+RTE+RTI'!AC18</f>
        <v>2601.5120906100001</v>
      </c>
      <c r="AC11">
        <f>+'[13]faixa SM RTT+RTE+RTI'!AD18</f>
        <v>729974.78944919992</v>
      </c>
      <c r="AD11">
        <f>+'[13]faixa SM RTT+RTE+RTI'!AE18</f>
        <v>4923.9171498100004</v>
      </c>
      <c r="AE11">
        <f>+'[13]faixa SM RTT+RTE+RTI'!AF18</f>
        <v>983.44055929000001</v>
      </c>
      <c r="AF11">
        <f>+'[13]faixa SM RTT+RTE+RTI'!AG18</f>
        <v>33.974382740000003</v>
      </c>
      <c r="AG11">
        <f>+'[13]faixa SM RTT+RTE+RTI'!AH18</f>
        <v>388.17386704</v>
      </c>
      <c r="AH11">
        <f>+'[13]faixa SM RTT+RTE+RTI'!AI18</f>
        <v>8890.171795100001</v>
      </c>
      <c r="AI11">
        <f>+'[13]faixa SM RTT+RTE+RTI'!AJ18</f>
        <v>17369.092327990002</v>
      </c>
      <c r="AJ11">
        <f>+'[13]faixa SM RTT+RTE+RTI'!AK18</f>
        <v>2090.6081214599999</v>
      </c>
      <c r="AK11">
        <f>+'[13]faixa SM RTT+RTE+RTI'!AL18</f>
        <v>230.57077319999999</v>
      </c>
      <c r="AL11">
        <f>+'[13]faixa SM RTT+RTE+RTI'!AM18</f>
        <v>637.63746819000005</v>
      </c>
      <c r="AM11">
        <f>+'[13]faixa SM RTT+RTE+RTI'!AN18</f>
        <v>29.261252450000001</v>
      </c>
      <c r="AN11">
        <f>+'[13]faixa SM RTT+RTE+RTI'!AO18</f>
        <v>1995.16477528</v>
      </c>
      <c r="AO11">
        <f>+'[13]faixa SM RTT+RTE+RTI'!AP18</f>
        <v>1663.6380180599999</v>
      </c>
    </row>
    <row r="12" spans="2:41" x14ac:dyDescent="0.25">
      <c r="B12" t="str">
        <f>+'[13]faixa SM RTT+RTE+RTI'!C19</f>
        <v>De 10 a 15</v>
      </c>
      <c r="C12">
        <f>+'[13]faixa SM RTT+RTE+RTI'!D19</f>
        <v>2545965</v>
      </c>
      <c r="D12">
        <f>+'[13]faixa SM RTT+RTE+RTI'!E19</f>
        <v>260951.86097704002</v>
      </c>
      <c r="E12">
        <f>+'[13]faixa SM RTT+RTE+RTI'!F19</f>
        <v>29522.939251009997</v>
      </c>
      <c r="F12">
        <f>+'[13]faixa SM RTT+RTE+RTI'!G19</f>
        <v>79673.563648659998</v>
      </c>
      <c r="G12">
        <f>+'[13]faixa SM RTT+RTE+RTI'!H19</f>
        <v>11429.72093313</v>
      </c>
      <c r="H12">
        <f>+'[13]faixa SM RTT+RTE+RTI'!I19</f>
        <v>7.6372814500000006</v>
      </c>
      <c r="I12">
        <f>+'[13]faixa SM RTT+RTE+RTI'!J19</f>
        <v>2006.0566015100001</v>
      </c>
      <c r="J12">
        <f>+'[13]faixa SM RTT+RTE+RTI'!K19</f>
        <v>3960.3265231</v>
      </c>
      <c r="K12">
        <f>+'[13]faixa SM RTT+RTE+RTI'!L19</f>
        <v>3387.6123143</v>
      </c>
      <c r="L12">
        <f>+'[13]faixa SM RTT+RTE+RTI'!M19</f>
        <v>15288.87201517</v>
      </c>
      <c r="M12">
        <f>+'[13]faixa SM RTT+RTE+RTI'!N19</f>
        <v>1537.93384307</v>
      </c>
      <c r="N12">
        <f>+'[13]faixa SM RTT+RTE+RTI'!O19</f>
        <v>2293.2767626100003</v>
      </c>
      <c r="O12">
        <f>+'[13]faixa SM RTT+RTE+RTI'!P19</f>
        <v>267.48099227</v>
      </c>
      <c r="P12">
        <f>+'[13]faixa SM RTT+RTE+RTI'!Q19</f>
        <v>2.2929169700000003</v>
      </c>
      <c r="Q12">
        <f>+'[13]faixa SM RTT+RTE+RTI'!R19</f>
        <v>15431.889607450001</v>
      </c>
      <c r="R12">
        <f>+'[13]faixa SM RTT+RTE+RTI'!S19</f>
        <v>205338.76118601</v>
      </c>
      <c r="S12">
        <f>+'[13]faixa SM RTT+RTE+RTI'!T19</f>
        <v>32754.382816220001</v>
      </c>
      <c r="T12">
        <f>+'[13]faixa SM RTT+RTE+RTI'!U19</f>
        <v>12.28628468</v>
      </c>
      <c r="U12">
        <f>+'[13]faixa SM RTT+RTE+RTI'!V19</f>
        <v>32742.096531540003</v>
      </c>
      <c r="V12">
        <f>+'[13]faixa SM RTT+RTE+RTI'!W19</f>
        <v>36.381336750000003</v>
      </c>
      <c r="W12">
        <f>+'[13]faixa SM RTT+RTE+RTI'!X19</f>
        <v>32778.24854832</v>
      </c>
      <c r="X12">
        <f>+'[13]faixa SM RTT+RTE+RTI'!Y19</f>
        <v>32765.51263415</v>
      </c>
      <c r="Y12">
        <f>+'[13]faixa SM RTT+RTE+RTI'!Z19</f>
        <v>3942.0435817500002</v>
      </c>
      <c r="Z12">
        <f>+'[13]faixa SM RTT+RTE+RTI'!AA19</f>
        <v>4097.5660510400003</v>
      </c>
      <c r="AA12">
        <f>+'[13]faixa SM RTT+RTE+RTI'!AB19</f>
        <v>77953.019624220004</v>
      </c>
      <c r="AB12">
        <f>+'[13]faixa SM RTT+RTE+RTI'!AC19</f>
        <v>3918.3702966700002</v>
      </c>
      <c r="AC12">
        <f>+'[13]faixa SM RTT+RTE+RTI'!AD19</f>
        <v>864086.03983542009</v>
      </c>
      <c r="AD12">
        <f>+'[13]faixa SM RTT+RTE+RTI'!AE19</f>
        <v>7455.2433689099998</v>
      </c>
      <c r="AE12">
        <f>+'[13]faixa SM RTT+RTE+RTI'!AF19</f>
        <v>1848.92917003</v>
      </c>
      <c r="AF12">
        <f>+'[13]faixa SM RTT+RTE+RTI'!AG19</f>
        <v>139.50793966999998</v>
      </c>
      <c r="AG12">
        <f>+'[13]faixa SM RTT+RTE+RTI'!AH19</f>
        <v>656.25769980999996</v>
      </c>
      <c r="AH12">
        <f>+'[13]faixa SM RTT+RTE+RTI'!AI19</f>
        <v>9025.4314452199997</v>
      </c>
      <c r="AI12">
        <f>+'[13]faixa SM RTT+RTE+RTI'!AJ19</f>
        <v>18398.620527200001</v>
      </c>
      <c r="AJ12">
        <f>+'[13]faixa SM RTT+RTE+RTI'!AK19</f>
        <v>2418.99234424</v>
      </c>
      <c r="AK12">
        <f>+'[13]faixa SM RTT+RTE+RTI'!AL19</f>
        <v>291.13452597000003</v>
      </c>
      <c r="AL12">
        <f>+'[13]faixa SM RTT+RTE+RTI'!AM19</f>
        <v>910.09289821000004</v>
      </c>
      <c r="AM12">
        <f>+'[13]faixa SM RTT+RTE+RTI'!AN19</f>
        <v>34.088989130000002</v>
      </c>
      <c r="AN12">
        <f>+'[13]faixa SM RTT+RTE+RTI'!AO19</f>
        <v>2539.1809360000002</v>
      </c>
      <c r="AO12">
        <f>+'[13]faixa SM RTT+RTE+RTI'!AP19</f>
        <v>2683.1784840400001</v>
      </c>
    </row>
    <row r="13" spans="2:41" x14ac:dyDescent="0.25">
      <c r="B13" t="str">
        <f>+'[13]faixa SM RTT+RTE+RTI'!C20</f>
        <v>De 15 a 20</v>
      </c>
      <c r="C13">
        <f>+'[13]faixa SM RTT+RTE+RTI'!D20</f>
        <v>1177471</v>
      </c>
      <c r="D13">
        <f>+'[13]faixa SM RTT+RTE+RTI'!E20</f>
        <v>160130.67441410999</v>
      </c>
      <c r="E13">
        <f>+'[13]faixa SM RTT+RTE+RTI'!F20</f>
        <v>21091.28003731</v>
      </c>
      <c r="F13">
        <f>+'[13]faixa SM RTT+RTE+RTI'!G20</f>
        <v>61800.65216487</v>
      </c>
      <c r="G13">
        <f>+'[13]faixa SM RTT+RTE+RTI'!H20</f>
        <v>7964.1128288199998</v>
      </c>
      <c r="H13">
        <f>+'[13]faixa SM RTT+RTE+RTI'!I20</f>
        <v>5.2207327000000001</v>
      </c>
      <c r="I13">
        <f>+'[13]faixa SM RTT+RTE+RTI'!J20</f>
        <v>2046.47961768</v>
      </c>
      <c r="J13">
        <f>+'[13]faixa SM RTT+RTE+RTI'!K20</f>
        <v>1916.84423507</v>
      </c>
      <c r="K13">
        <f>+'[13]faixa SM RTT+RTE+RTI'!L20</f>
        <v>1649.3743924600001</v>
      </c>
      <c r="L13">
        <f>+'[13]faixa SM RTT+RTE+RTI'!M20</f>
        <v>9481.7876644799999</v>
      </c>
      <c r="M13">
        <f>+'[13]faixa SM RTT+RTE+RTI'!N20</f>
        <v>1284.9709804500001</v>
      </c>
      <c r="N13">
        <f>+'[13]faixa SM RTT+RTE+RTI'!O20</f>
        <v>1417.42272843</v>
      </c>
      <c r="O13">
        <f>+'[13]faixa SM RTT+RTE+RTI'!P20</f>
        <v>182.96422819999998</v>
      </c>
      <c r="P13">
        <f>+'[13]faixa SM RTT+RTE+RTI'!Q20</f>
        <v>1.00213066</v>
      </c>
      <c r="Q13">
        <f>+'[13]faixa SM RTT+RTE+RTI'!R20</f>
        <v>4920.6353666899995</v>
      </c>
      <c r="R13">
        <f>+'[13]faixa SM RTT+RTE+RTI'!S20</f>
        <v>129259.85950847001</v>
      </c>
      <c r="S13">
        <f>+'[13]faixa SM RTT+RTE+RTI'!T20</f>
        <v>24732.479887580001</v>
      </c>
      <c r="T13">
        <f>+'[13]faixa SM RTT+RTE+RTI'!U20</f>
        <v>15.563203509999999</v>
      </c>
      <c r="U13">
        <f>+'[13]faixa SM RTT+RTE+RTI'!V20</f>
        <v>24716.916684069998</v>
      </c>
      <c r="V13">
        <f>+'[13]faixa SM RTT+RTE+RTI'!W20</f>
        <v>42.604302750000002</v>
      </c>
      <c r="W13">
        <f>+'[13]faixa SM RTT+RTE+RTI'!X20</f>
        <v>24759.32767377</v>
      </c>
      <c r="X13">
        <f>+'[13]faixa SM RTT+RTE+RTI'!Y20</f>
        <v>24280.74541969</v>
      </c>
      <c r="Y13">
        <f>+'[13]faixa SM RTT+RTE+RTI'!Z20</f>
        <v>2423.3688737299999</v>
      </c>
      <c r="Z13">
        <f>+'[13]faixa SM RTT+RTE+RTI'!AA20</f>
        <v>2066.7218630000002</v>
      </c>
      <c r="AA13">
        <f>+'[13]faixa SM RTT+RTE+RTI'!AB20</f>
        <v>53671.627898220002</v>
      </c>
      <c r="AB13">
        <f>+'[13]faixa SM RTT+RTE+RTI'!AC20</f>
        <v>3440.9756420999997</v>
      </c>
      <c r="AC13">
        <f>+'[13]faixa SM RTT+RTE+RTI'!AD20</f>
        <v>622562.35552353004</v>
      </c>
      <c r="AD13">
        <f>+'[13]faixa SM RTT+RTE+RTI'!AE20</f>
        <v>5871.6148414899999</v>
      </c>
      <c r="AE13">
        <f>+'[13]faixa SM RTT+RTE+RTI'!AF20</f>
        <v>1761.43359476</v>
      </c>
      <c r="AF13">
        <f>+'[13]faixa SM RTT+RTE+RTI'!AG20</f>
        <v>114.93554104</v>
      </c>
      <c r="AG13">
        <f>+'[13]faixa SM RTT+RTE+RTI'!AH20</f>
        <v>570.04344028000003</v>
      </c>
      <c r="AH13">
        <f>+'[13]faixa SM RTT+RTE+RTI'!AI20</f>
        <v>5365.2410954500001</v>
      </c>
      <c r="AI13">
        <f>+'[13]faixa SM RTT+RTE+RTI'!AJ20</f>
        <v>10937.68871257</v>
      </c>
      <c r="AJ13">
        <f>+'[13]faixa SM RTT+RTE+RTI'!AK20</f>
        <v>1527.4249571400001</v>
      </c>
      <c r="AK13">
        <f>+'[13]faixa SM RTT+RTE+RTI'!AL20</f>
        <v>202.39514296000002</v>
      </c>
      <c r="AL13">
        <f>+'[13]faixa SM RTT+RTE+RTI'!AM20</f>
        <v>774.81648732000008</v>
      </c>
      <c r="AM13">
        <f>+'[13]faixa SM RTT+RTE+RTI'!AN20</f>
        <v>32.32059872</v>
      </c>
      <c r="AN13">
        <f>+'[13]faixa SM RTT+RTE+RTI'!AO20</f>
        <v>1816.91044343</v>
      </c>
      <c r="AO13">
        <f>+'[13]faixa SM RTT+RTE+RTI'!AP20</f>
        <v>1835.0623577599999</v>
      </c>
    </row>
    <row r="14" spans="2:41" x14ac:dyDescent="0.25">
      <c r="B14" t="str">
        <f>+'[13]faixa SM RTT+RTE+RTI'!C21</f>
        <v>De 20 a 30</v>
      </c>
      <c r="C14">
        <f>+'[13]faixa SM RTT+RTE+RTI'!D21</f>
        <v>1088075</v>
      </c>
      <c r="D14">
        <f>+'[13]faixa SM RTT+RTE+RTI'!E21</f>
        <v>192825.85538338</v>
      </c>
      <c r="E14">
        <f>+'[13]faixa SM RTT+RTE+RTI'!F21</f>
        <v>29695.635400499999</v>
      </c>
      <c r="F14">
        <f>+'[13]faixa SM RTT+RTE+RTI'!G21</f>
        <v>92815.822522360002</v>
      </c>
      <c r="G14">
        <f>+'[13]faixa SM RTT+RTE+RTI'!H21</f>
        <v>10440.846111639999</v>
      </c>
      <c r="H14">
        <f>+'[13]faixa SM RTT+RTE+RTI'!I21</f>
        <v>7.5093562599999997</v>
      </c>
      <c r="I14">
        <f>+'[13]faixa SM RTT+RTE+RTI'!J21</f>
        <v>3216.5423403699997</v>
      </c>
      <c r="J14">
        <f>+'[13]faixa SM RTT+RTE+RTI'!K21</f>
        <v>1781.8765170699999</v>
      </c>
      <c r="K14">
        <f>+'[13]faixa SM RTT+RTE+RTI'!L21</f>
        <v>1538.9427351300001</v>
      </c>
      <c r="L14">
        <f>+'[13]faixa SM RTT+RTE+RTI'!M21</f>
        <v>10969.04221761</v>
      </c>
      <c r="M14">
        <f>+'[13]faixa SM RTT+RTE+RTI'!N21</f>
        <v>1954.86204466</v>
      </c>
      <c r="N14">
        <f>+'[13]faixa SM RTT+RTE+RTI'!O21</f>
        <v>1769.5562234900001</v>
      </c>
      <c r="O14">
        <f>+'[13]faixa SM RTT+RTE+RTI'!P21</f>
        <v>246.54260094999998</v>
      </c>
      <c r="P14">
        <f>+'[13]faixa SM RTT+RTE+RTI'!Q21</f>
        <v>1.3240392299999999</v>
      </c>
      <c r="Q14">
        <f>+'[13]faixa SM RTT+RTE+RTI'!R21</f>
        <v>3369.3995667099998</v>
      </c>
      <c r="R14">
        <f>+'[13]faixa SM RTT+RTE+RTI'!S21</f>
        <v>157529.41163026</v>
      </c>
      <c r="S14">
        <f>+'[13]faixa SM RTT+RTE+RTI'!T21</f>
        <v>33455.039989669996</v>
      </c>
      <c r="T14">
        <f>+'[13]faixa SM RTT+RTE+RTI'!U21</f>
        <v>32.210916239999996</v>
      </c>
      <c r="U14">
        <f>+'[13]faixa SM RTT+RTE+RTI'!V21</f>
        <v>33422.829073430003</v>
      </c>
      <c r="V14">
        <f>+'[13]faixa SM RTT+RTE+RTI'!W21</f>
        <v>105.88263531999999</v>
      </c>
      <c r="W14">
        <f>+'[13]faixa SM RTT+RTE+RTI'!X21</f>
        <v>33528.340206280001</v>
      </c>
      <c r="X14">
        <f>+'[13]faixa SM RTT+RTE+RTI'!Y21</f>
        <v>32953.886499349996</v>
      </c>
      <c r="Y14">
        <f>+'[13]faixa SM RTT+RTE+RTI'!Z21</f>
        <v>2791.55963139</v>
      </c>
      <c r="Z14">
        <f>+'[13]faixa SM RTT+RTE+RTI'!AA21</f>
        <v>2381.0001289800002</v>
      </c>
      <c r="AA14">
        <f>+'[13]faixa SM RTT+RTE+RTI'!AB21</f>
        <v>67355.575450339995</v>
      </c>
      <c r="AB14">
        <f>+'[13]faixa SM RTT+RTE+RTI'!AC21</f>
        <v>5913.4677942899998</v>
      </c>
      <c r="AC14">
        <f>+'[13]faixa SM RTT+RTE+RTI'!AD21</f>
        <v>869557.57084643992</v>
      </c>
      <c r="AD14">
        <f>+'[13]faixa SM RTT+RTE+RTI'!AE21</f>
        <v>9354.4981705999999</v>
      </c>
      <c r="AE14">
        <f>+'[13]faixa SM RTT+RTE+RTI'!AF21</f>
        <v>2823.4053195900001</v>
      </c>
      <c r="AF14">
        <f>+'[13]faixa SM RTT+RTE+RTI'!AG21</f>
        <v>170.62393534</v>
      </c>
      <c r="AG14">
        <f>+'[13]faixa SM RTT+RTE+RTI'!AH21</f>
        <v>754.80701979999992</v>
      </c>
      <c r="AH14">
        <f>+'[13]faixa SM RTT+RTE+RTI'!AI21</f>
        <v>6210.2558176800003</v>
      </c>
      <c r="AI14">
        <f>+'[13]faixa SM RTT+RTE+RTI'!AJ21</f>
        <v>12525.917484469999</v>
      </c>
      <c r="AJ14">
        <f>+'[13]faixa SM RTT+RTE+RTI'!AK21</f>
        <v>1929.45156367</v>
      </c>
      <c r="AK14">
        <f>+'[13]faixa SM RTT+RTE+RTI'!AL21</f>
        <v>272.95299519000002</v>
      </c>
      <c r="AL14">
        <f>+'[13]faixa SM RTT+RTE+RTI'!AM21</f>
        <v>1198.1260738699998</v>
      </c>
      <c r="AM14">
        <f>+'[13]faixa SM RTT+RTE+RTI'!AN21</f>
        <v>25.629130149999998</v>
      </c>
      <c r="AN14">
        <f>+'[13]faixa SM RTT+RTE+RTI'!AO21</f>
        <v>2590.86299138</v>
      </c>
      <c r="AO14">
        <f>+'[13]faixa SM RTT+RTE+RTI'!AP21</f>
        <v>3098.0791897800004</v>
      </c>
    </row>
    <row r="15" spans="2:41" x14ac:dyDescent="0.25">
      <c r="B15" t="str">
        <f>+'[13]faixa SM RTT+RTE+RTI'!C22</f>
        <v>De 30 a 40</v>
      </c>
      <c r="C15">
        <f>+'[13]faixa SM RTT+RTE+RTI'!D22</f>
        <v>479596</v>
      </c>
      <c r="D15">
        <f>+'[13]faixa SM RTT+RTE+RTI'!E22</f>
        <v>110598.76011461999</v>
      </c>
      <c r="E15">
        <f>+'[13]faixa SM RTT+RTE+RTI'!F22</f>
        <v>19972.655277469999</v>
      </c>
      <c r="F15">
        <f>+'[13]faixa SM RTT+RTE+RTI'!G22</f>
        <v>66987.563335109997</v>
      </c>
      <c r="G15">
        <f>+'[13]faixa SM RTT+RTE+RTI'!H22</f>
        <v>6234.0689052099997</v>
      </c>
      <c r="H15">
        <f>+'[13]faixa SM RTT+RTE+RTI'!I22</f>
        <v>4.5919232699999997</v>
      </c>
      <c r="I15">
        <f>+'[13]faixa SM RTT+RTE+RTI'!J22</f>
        <v>2094.89199603</v>
      </c>
      <c r="J15">
        <f>+'[13]faixa SM RTT+RTE+RTI'!K22</f>
        <v>773.95167151999999</v>
      </c>
      <c r="K15">
        <f>+'[13]faixa SM RTT+RTE+RTI'!L22</f>
        <v>680.20365108999999</v>
      </c>
      <c r="L15">
        <f>+'[13]faixa SM RTT+RTE+RTI'!M22</f>
        <v>5968.2417988799998</v>
      </c>
      <c r="M15">
        <f>+'[13]faixa SM RTT+RTE+RTI'!N22</f>
        <v>1500.66059632</v>
      </c>
      <c r="N15">
        <f>+'[13]faixa SM RTT+RTE+RTI'!O22</f>
        <v>1055.1051213600001</v>
      </c>
      <c r="O15">
        <f>+'[13]faixa SM RTT+RTE+RTI'!P22</f>
        <v>145.9532428</v>
      </c>
      <c r="P15">
        <f>+'[13]faixa SM RTT+RTE+RTI'!Q22</f>
        <v>0.49323179</v>
      </c>
      <c r="Q15">
        <f>+'[13]faixa SM RTT+RTE+RTI'!R22</f>
        <v>1250.3008318499999</v>
      </c>
      <c r="R15">
        <f>+'[13]faixa SM RTT+RTE+RTI'!S22</f>
        <v>90890.2971445</v>
      </c>
      <c r="S15">
        <f>+'[13]faixa SM RTT+RTE+RTI'!T22</f>
        <v>20718.71987696</v>
      </c>
      <c r="T15">
        <f>+'[13]faixa SM RTT+RTE+RTI'!U22</f>
        <v>28.541307209999999</v>
      </c>
      <c r="U15">
        <f>+'[13]faixa SM RTT+RTE+RTI'!V22</f>
        <v>20690.178569750002</v>
      </c>
      <c r="V15">
        <f>+'[13]faixa SM RTT+RTE+RTI'!W22</f>
        <v>113.67968569</v>
      </c>
      <c r="W15">
        <f>+'[13]faixa SM RTT+RTE+RTI'!X22</f>
        <v>20803.539190490003</v>
      </c>
      <c r="X15">
        <f>+'[13]faixa SM RTT+RTE+RTI'!Y22</f>
        <v>20283.006297110001</v>
      </c>
      <c r="Y15">
        <f>+'[13]faixa SM RTT+RTE+RTI'!Z22</f>
        <v>1637.9973200300001</v>
      </c>
      <c r="Z15">
        <f>+'[13]faixa SM RTT+RTE+RTI'!AA22</f>
        <v>1237.3090800099999</v>
      </c>
      <c r="AA15">
        <f>+'[13]faixa SM RTT+RTE+RTI'!AB22</f>
        <v>40155.219866209998</v>
      </c>
      <c r="AB15">
        <f>+'[13]faixa SM RTT+RTE+RTI'!AC22</f>
        <v>4740.1326328000005</v>
      </c>
      <c r="AC15">
        <f>+'[13]faixa SM RTT+RTE+RTI'!AD22</f>
        <v>599046.79276188998</v>
      </c>
      <c r="AD15">
        <f>+'[13]faixa SM RTT+RTE+RTI'!AE22</f>
        <v>7146.0079484999997</v>
      </c>
      <c r="AE15">
        <f>+'[13]faixa SM RTT+RTE+RTI'!AF22</f>
        <v>1876.0181118099999</v>
      </c>
      <c r="AF15">
        <f>+'[13]faixa SM RTT+RTE+RTI'!AG22</f>
        <v>166.89456741000001</v>
      </c>
      <c r="AG15">
        <f>+'[13]faixa SM RTT+RTE+RTI'!AH22</f>
        <v>415.03453863999999</v>
      </c>
      <c r="AH15">
        <f>+'[13]faixa SM RTT+RTE+RTI'!AI22</f>
        <v>3395.5418922899999</v>
      </c>
      <c r="AI15">
        <f>+'[13]faixa SM RTT+RTE+RTI'!AJ22</f>
        <v>6881.6354691899996</v>
      </c>
      <c r="AJ15">
        <f>+'[13]faixa SM RTT+RTE+RTI'!AK22</f>
        <v>1165.2099784700001</v>
      </c>
      <c r="AK15">
        <f>+'[13]faixa SM RTT+RTE+RTI'!AL22</f>
        <v>164.81221224999999</v>
      </c>
      <c r="AL15">
        <f>+'[13]faixa SM RTT+RTE+RTI'!AM22</f>
        <v>879.37857176</v>
      </c>
      <c r="AM15">
        <f>+'[13]faixa SM RTT+RTE+RTI'!AN22</f>
        <v>23.655173079999997</v>
      </c>
      <c r="AN15">
        <f>+'[13]faixa SM RTT+RTE+RTI'!AO22</f>
        <v>1674.3217352199999</v>
      </c>
      <c r="AO15">
        <f>+'[13]faixa SM RTT+RTE+RTI'!AP22</f>
        <v>2965.5492709099999</v>
      </c>
    </row>
    <row r="16" spans="2:41" x14ac:dyDescent="0.25">
      <c r="B16" t="str">
        <f>+'[13]faixa SM RTT+RTE+RTI'!C23</f>
        <v>De 40 a 60</v>
      </c>
      <c r="C16">
        <f>+'[13]faixa SM RTT+RTE+RTI'!D23</f>
        <v>362941</v>
      </c>
      <c r="D16">
        <f>+'[13]faixa SM RTT+RTE+RTI'!E23</f>
        <v>100229.90077022</v>
      </c>
      <c r="E16">
        <f>+'[13]faixa SM RTT+RTE+RTI'!F23</f>
        <v>23801.51594727</v>
      </c>
      <c r="F16">
        <f>+'[13]faixa SM RTT+RTE+RTI'!G23</f>
        <v>84529.251476919992</v>
      </c>
      <c r="G16">
        <f>+'[13]faixa SM RTT+RTE+RTI'!H23</f>
        <v>5135.1826863699998</v>
      </c>
      <c r="H16">
        <f>+'[13]faixa SM RTT+RTE+RTI'!I23</f>
        <v>5.8712892600000002</v>
      </c>
      <c r="I16">
        <f>+'[13]faixa SM RTT+RTE+RTI'!J23</f>
        <v>2214.1638776599998</v>
      </c>
      <c r="J16">
        <f>+'[13]faixa SM RTT+RTE+RTI'!K23</f>
        <v>610.35866239999996</v>
      </c>
      <c r="K16">
        <f>+'[13]faixa SM RTT+RTE+RTI'!L23</f>
        <v>554.46897540999998</v>
      </c>
      <c r="L16">
        <f>+'[13]faixa SM RTT+RTE+RTI'!M23</f>
        <v>4938.9787092700008</v>
      </c>
      <c r="M16">
        <f>+'[13]faixa SM RTT+RTE+RTI'!N23</f>
        <v>1910.9380942499999</v>
      </c>
      <c r="N16">
        <f>+'[13]faixa SM RTT+RTE+RTI'!O23</f>
        <v>919.72854358000006</v>
      </c>
      <c r="O16">
        <f>+'[13]faixa SM RTT+RTE+RTI'!P23</f>
        <v>138.3173942</v>
      </c>
      <c r="P16">
        <f>+'[13]faixa SM RTT+RTE+RTI'!Q23</f>
        <v>0.65764632999999995</v>
      </c>
      <c r="Q16">
        <f>+'[13]faixa SM RTT+RTE+RTI'!R23</f>
        <v>964.48695408000003</v>
      </c>
      <c r="R16">
        <f>+'[13]faixa SM RTT+RTE+RTI'!S23</f>
        <v>82836.747937410008</v>
      </c>
      <c r="S16">
        <f>+'[13]faixa SM RTT+RTE+RTI'!T23</f>
        <v>19563.68129868</v>
      </c>
      <c r="T16">
        <f>+'[13]faixa SM RTT+RTE+RTI'!U23</f>
        <v>35.229086209999998</v>
      </c>
      <c r="U16">
        <f>+'[13]faixa SM RTT+RTE+RTI'!V23</f>
        <v>19528.452212470002</v>
      </c>
      <c r="V16">
        <f>+'[13]faixa SM RTT+RTE+RTI'!W23</f>
        <v>218.01273030999999</v>
      </c>
      <c r="W16">
        <f>+'[13]faixa SM RTT+RTE+RTI'!X23</f>
        <v>19745.886997220001</v>
      </c>
      <c r="X16">
        <f>+'[13]faixa SM RTT+RTE+RTI'!Y23</f>
        <v>18893.174327590001</v>
      </c>
      <c r="Y16">
        <f>+'[13]faixa SM RTT+RTE+RTI'!Z23</f>
        <v>1705.9961425699998</v>
      </c>
      <c r="Z16">
        <f>+'[13]faixa SM RTT+RTE+RTI'!AA23</f>
        <v>1026.5035168700001</v>
      </c>
      <c r="AA16">
        <f>+'[13]faixa SM RTT+RTE+RTI'!AB23</f>
        <v>43000.656291949999</v>
      </c>
      <c r="AB16">
        <f>+'[13]faixa SM RTT+RTE+RTI'!AC23</f>
        <v>7176.5881509399997</v>
      </c>
      <c r="AC16">
        <f>+'[13]faixa SM RTT+RTE+RTI'!AD23</f>
        <v>699959.97705660993</v>
      </c>
      <c r="AD16">
        <f>+'[13]faixa SM RTT+RTE+RTI'!AE23</f>
        <v>8517.8142094199993</v>
      </c>
      <c r="AE16">
        <f>+'[13]faixa SM RTT+RTE+RTI'!AF23</f>
        <v>2012.3910042699999</v>
      </c>
      <c r="AF16">
        <f>+'[13]faixa SM RTT+RTE+RTI'!AG23</f>
        <v>128.89365422</v>
      </c>
      <c r="AG16">
        <f>+'[13]faixa SM RTT+RTE+RTI'!AH23</f>
        <v>410.24956550999997</v>
      </c>
      <c r="AH16">
        <f>+'[13]faixa SM RTT+RTE+RTI'!AI23</f>
        <v>3297.7212795999999</v>
      </c>
      <c r="AI16">
        <f>+'[13]faixa SM RTT+RTE+RTI'!AJ23</f>
        <v>5766.3235668100006</v>
      </c>
      <c r="AJ16">
        <f>+'[13]faixa SM RTT+RTE+RTI'!AK23</f>
        <v>999.76075810999998</v>
      </c>
      <c r="AK16">
        <f>+'[13]faixa SM RTT+RTE+RTI'!AL23</f>
        <v>153.20014508000003</v>
      </c>
      <c r="AL16">
        <f>+'[13]faixa SM RTT+RTE+RTI'!AM23</f>
        <v>1083.5046517400001</v>
      </c>
      <c r="AM16">
        <f>+'[13]faixa SM RTT+RTE+RTI'!AN23</f>
        <v>26.629597010000001</v>
      </c>
      <c r="AN16">
        <f>+'[13]faixa SM RTT+RTE+RTI'!AO23</f>
        <v>1787.5464158099999</v>
      </c>
      <c r="AO16">
        <f>+'[13]faixa SM RTT+RTE+RTI'!AP23</f>
        <v>173317.81957379999</v>
      </c>
    </row>
    <row r="17" spans="2:41" x14ac:dyDescent="0.25">
      <c r="B17" t="str">
        <f>+'[13]faixa SM RTT+RTE+RTI'!C24</f>
        <v>De 60 a 80</v>
      </c>
      <c r="C17">
        <f>+'[13]faixa SM RTT+RTE+RTI'!D24</f>
        <v>125935</v>
      </c>
      <c r="D17">
        <f>+'[13]faixa SM RTT+RTE+RTI'!E24</f>
        <v>37991.503156890001</v>
      </c>
      <c r="E17">
        <f>+'[13]faixa SM RTT+RTE+RTI'!F24</f>
        <v>13790.7097407</v>
      </c>
      <c r="F17">
        <f>+'[13]faixa SM RTT+RTE+RTI'!G24</f>
        <v>51544.736922980002</v>
      </c>
      <c r="G17">
        <f>+'[13]faixa SM RTT+RTE+RTI'!H24</f>
        <v>1409.45932429</v>
      </c>
      <c r="H17">
        <f>+'[13]faixa SM RTT+RTE+RTI'!I24</f>
        <v>3.49141893</v>
      </c>
      <c r="I17">
        <f>+'[13]faixa SM RTT+RTE+RTI'!J24</f>
        <v>932.69097786999998</v>
      </c>
      <c r="J17">
        <f>+'[13]faixa SM RTT+RTE+RTI'!K24</f>
        <v>206.48710473</v>
      </c>
      <c r="K17">
        <f>+'[13]faixa SM RTT+RTE+RTI'!L24</f>
        <v>188.36164037</v>
      </c>
      <c r="L17">
        <f>+'[13]faixa SM RTT+RTE+RTI'!M24</f>
        <v>1713.0261259400002</v>
      </c>
      <c r="M17">
        <f>+'[13]faixa SM RTT+RTE+RTI'!N24</f>
        <v>1103.5512667</v>
      </c>
      <c r="N17">
        <f>+'[13]faixa SM RTT+RTE+RTI'!O24</f>
        <v>329.24638018000002</v>
      </c>
      <c r="O17">
        <f>+'[13]faixa SM RTT+RTE+RTI'!P24</f>
        <v>54.016422169999998</v>
      </c>
      <c r="P17">
        <f>+'[13]faixa SM RTT+RTE+RTI'!Q24</f>
        <v>0.12777628999999999</v>
      </c>
      <c r="Q17">
        <f>+'[13]faixa SM RTT+RTE+RTI'!R24</f>
        <v>392.27270836000002</v>
      </c>
      <c r="R17">
        <f>+'[13]faixa SM RTT+RTE+RTI'!S24</f>
        <v>31658.772011060002</v>
      </c>
      <c r="S17">
        <f>+'[13]faixa SM RTT+RTE+RTI'!T24</f>
        <v>7623.2332903100005</v>
      </c>
      <c r="T17">
        <f>+'[13]faixa SM RTT+RTE+RTI'!U24</f>
        <v>16.23984312</v>
      </c>
      <c r="U17">
        <f>+'[13]faixa SM RTT+RTE+RTI'!V24</f>
        <v>7606.9934471899996</v>
      </c>
      <c r="V17">
        <f>+'[13]faixa SM RTT+RTE+RTI'!W24</f>
        <v>172.56437308000002</v>
      </c>
      <c r="W17">
        <f>+'[13]faixa SM RTT+RTE+RTI'!X24</f>
        <v>7779.2906939300001</v>
      </c>
      <c r="X17">
        <f>+'[13]faixa SM RTT+RTE+RTI'!Y24</f>
        <v>7234.5190239599997</v>
      </c>
      <c r="Y17">
        <f>+'[13]faixa SM RTT+RTE+RTI'!Z24</f>
        <v>818.21043205000001</v>
      </c>
      <c r="Z17">
        <f>+'[13]faixa SM RTT+RTE+RTI'!AA24</f>
        <v>399.47012952</v>
      </c>
      <c r="AA17">
        <f>+'[13]faixa SM RTT+RTE+RTI'!AB24</f>
        <v>21767.802945359999</v>
      </c>
      <c r="AB17">
        <f>+'[13]faixa SM RTT+RTE+RTI'!AC24</f>
        <v>4998.1821633899999</v>
      </c>
      <c r="AC17">
        <f>+'[13]faixa SM RTT+RTE+RTI'!AD24</f>
        <v>403018.46396796004</v>
      </c>
      <c r="AD17">
        <f>+'[13]faixa SM RTT+RTE+RTI'!AE24</f>
        <v>4938.2846588500006</v>
      </c>
      <c r="AE17">
        <f>+'[13]faixa SM RTT+RTE+RTI'!AF24</f>
        <v>893.50522510999997</v>
      </c>
      <c r="AF17">
        <f>+'[13]faixa SM RTT+RTE+RTI'!AG24</f>
        <v>13.55098291</v>
      </c>
      <c r="AG17">
        <f>+'[13]faixa SM RTT+RTE+RTI'!AH24</f>
        <v>174.27660359000001</v>
      </c>
      <c r="AH17">
        <f>+'[13]faixa SM RTT+RTE+RTI'!AI24</f>
        <v>1322.58773129</v>
      </c>
      <c r="AI17">
        <f>+'[13]faixa SM RTT+RTE+RTI'!AJ24</f>
        <v>2062.4130137799998</v>
      </c>
      <c r="AJ17">
        <f>+'[13]faixa SM RTT+RTE+RTI'!AK24</f>
        <v>361.30735149000003</v>
      </c>
      <c r="AK17">
        <f>+'[13]faixa SM RTT+RTE+RTI'!AL24</f>
        <v>62.989119840000001</v>
      </c>
      <c r="AL17">
        <f>+'[13]faixa SM RTT+RTE+RTI'!AM24</f>
        <v>633.53050138000003</v>
      </c>
      <c r="AM17">
        <f>+'[13]faixa SM RTT+RTE+RTI'!AN24</f>
        <v>26.921435750000001</v>
      </c>
      <c r="AN17">
        <f>+'[13]faixa SM RTT+RTE+RTI'!AO24</f>
        <v>884.68574336999995</v>
      </c>
      <c r="AO17">
        <f>+'[13]faixa SM RTT+RTE+RTI'!AP24</f>
        <v>23535.05107397</v>
      </c>
    </row>
    <row r="18" spans="2:41" x14ac:dyDescent="0.25">
      <c r="B18" t="str">
        <f>+'[13]faixa SM RTT+RTE+RTI'!C25</f>
        <v>De 80 a 160</v>
      </c>
      <c r="C18">
        <f>+'[13]faixa SM RTT+RTE+RTI'!D25</f>
        <v>126178</v>
      </c>
      <c r="D18">
        <f>+'[13]faixa SM RTT+RTE+RTI'!E25</f>
        <v>43153.505480839995</v>
      </c>
      <c r="E18">
        <f>+'[13]faixa SM RTT+RTE+RTI'!F25</f>
        <v>23771.36468323</v>
      </c>
      <c r="F18">
        <f>+'[13]faixa SM RTT+RTE+RTI'!G25</f>
        <v>95698.713396470004</v>
      </c>
      <c r="G18">
        <f>+'[13]faixa SM RTT+RTE+RTI'!H25</f>
        <v>909.25449880999997</v>
      </c>
      <c r="H18">
        <f>+'[13]faixa SM RTT+RTE+RTI'!I25</f>
        <v>4.1740075699999997</v>
      </c>
      <c r="I18">
        <f>+'[13]faixa SM RTT+RTE+RTI'!J25</f>
        <v>1063.77900985</v>
      </c>
      <c r="J18">
        <f>+'[13]faixa SM RTT+RTE+RTI'!K25</f>
        <v>191.2344971</v>
      </c>
      <c r="K18">
        <f>+'[13]faixa SM RTT+RTE+RTI'!L25</f>
        <v>173.39519986000002</v>
      </c>
      <c r="L18">
        <f>+'[13]faixa SM RTT+RTE+RTI'!M25</f>
        <v>1671.9169362</v>
      </c>
      <c r="M18">
        <f>+'[13]faixa SM RTT+RTE+RTI'!N25</f>
        <v>1826.18013546</v>
      </c>
      <c r="N18">
        <f>+'[13]faixa SM RTT+RTE+RTI'!O25</f>
        <v>302.48872886999999</v>
      </c>
      <c r="O18">
        <f>+'[13]faixa SM RTT+RTE+RTI'!P25</f>
        <v>55.173645299999997</v>
      </c>
      <c r="P18">
        <f>+'[13]faixa SM RTT+RTE+RTI'!Q25</f>
        <v>0.45692940000000004</v>
      </c>
      <c r="Q18">
        <f>+'[13]faixa SM RTT+RTE+RTI'!R25</f>
        <v>462.08481723</v>
      </c>
      <c r="R18">
        <f>+'[13]faixa SM RTT+RTE+RTI'!S25</f>
        <v>36493.367075189999</v>
      </c>
      <c r="S18">
        <f>+'[13]faixa SM RTT+RTE+RTI'!T25</f>
        <v>8992.7032349799993</v>
      </c>
      <c r="T18">
        <f>+'[13]faixa SM RTT+RTE+RTI'!U25</f>
        <v>21.079930539999999</v>
      </c>
      <c r="U18">
        <f>+'[13]faixa SM RTT+RTE+RTI'!V25</f>
        <v>8971.6233044399996</v>
      </c>
      <c r="V18">
        <f>+'[13]faixa SM RTT+RTE+RTI'!W25</f>
        <v>232.79806894999999</v>
      </c>
      <c r="W18">
        <f>+'[13]faixa SM RTT+RTE+RTI'!X25</f>
        <v>9204.3009950100004</v>
      </c>
      <c r="X18">
        <f>+'[13]faixa SM RTT+RTE+RTI'!Y25</f>
        <v>8155.6991926700002</v>
      </c>
      <c r="Y18">
        <f>+'[13]faixa SM RTT+RTE+RTI'!Z25</f>
        <v>1225.0458701199998</v>
      </c>
      <c r="Z18">
        <f>+'[13]faixa SM RTT+RTE+RTI'!AA25</f>
        <v>418.40166345999995</v>
      </c>
      <c r="AA18">
        <f>+'[13]faixa SM RTT+RTE+RTI'!AB25</f>
        <v>39464.152101449996</v>
      </c>
      <c r="AB18">
        <f>+'[13]faixa SM RTT+RTE+RTI'!AC25</f>
        <v>11282.98294331</v>
      </c>
      <c r="AC18">
        <f>+'[13]faixa SM RTT+RTE+RTI'!AD25</f>
        <v>715238.87069343997</v>
      </c>
      <c r="AD18">
        <f>+'[13]faixa SM RTT+RTE+RTI'!AE25</f>
        <v>8489.4763274699999</v>
      </c>
      <c r="AE18">
        <f>+'[13]faixa SM RTT+RTE+RTI'!AF25</f>
        <v>1054.40817771</v>
      </c>
      <c r="AF18">
        <f>+'[13]faixa SM RTT+RTE+RTI'!AG25</f>
        <v>6.3936996700000002</v>
      </c>
      <c r="AG18">
        <f>+'[13]faixa SM RTT+RTE+RTI'!AH25</f>
        <v>185.43085131000001</v>
      </c>
      <c r="AH18">
        <f>+'[13]faixa SM RTT+RTE+RTI'!AI25</f>
        <v>1496.9926359999999</v>
      </c>
      <c r="AI18">
        <f>+'[13]faixa SM RTT+RTE+RTI'!AJ25</f>
        <v>2140.7258650999997</v>
      </c>
      <c r="AJ18">
        <f>+'[13]faixa SM RTT+RTE+RTI'!AK25</f>
        <v>348.56630014000001</v>
      </c>
      <c r="AK18">
        <f>+'[13]faixa SM RTT+RTE+RTI'!AL25</f>
        <v>67.419652980000009</v>
      </c>
      <c r="AL18">
        <f>+'[13]faixa SM RTT+RTE+RTI'!AM25</f>
        <v>978.13489286000004</v>
      </c>
      <c r="AM18">
        <f>+'[13]faixa SM RTT+RTE+RTI'!AN25</f>
        <v>41.020053390000001</v>
      </c>
      <c r="AN18">
        <f>+'[13]faixa SM RTT+RTE+RTI'!AO25</f>
        <v>1474.07605309</v>
      </c>
      <c r="AO18">
        <f>+'[13]faixa SM RTT+RTE+RTI'!AP25</f>
        <v>5959.8126318800005</v>
      </c>
    </row>
    <row r="19" spans="2:41" x14ac:dyDescent="0.25">
      <c r="B19" t="str">
        <f>+'[13]faixa SM RTT+RTE+RTI'!C26</f>
        <v>De 160 a 240</v>
      </c>
      <c r="C19">
        <f>+'[13]faixa SM RTT+RTE+RTI'!D26</f>
        <v>29667</v>
      </c>
      <c r="D19">
        <f>+'[13]faixa SM RTT+RTE+RTI'!E26</f>
        <v>13160.74673183</v>
      </c>
      <c r="E19">
        <f>+'[13]faixa SM RTT+RTE+RTI'!F26</f>
        <v>10945.518615590001</v>
      </c>
      <c r="F19">
        <f>+'[13]faixa SM RTT+RTE+RTI'!G26</f>
        <v>44646.439040830002</v>
      </c>
      <c r="G19">
        <f>+'[13]faixa SM RTT+RTE+RTI'!H26</f>
        <v>140.86708297000001</v>
      </c>
      <c r="H19">
        <f>+'[13]faixa SM RTT+RTE+RTI'!I26</f>
        <v>0.40330646000000003</v>
      </c>
      <c r="I19">
        <f>+'[13]faixa SM RTT+RTE+RTI'!J26</f>
        <v>276.37799563999999</v>
      </c>
      <c r="J19">
        <f>+'[13]faixa SM RTT+RTE+RTI'!K26</f>
        <v>42.872384029999999</v>
      </c>
      <c r="K19">
        <f>+'[13]faixa SM RTT+RTE+RTI'!L26</f>
        <v>37.95053652</v>
      </c>
      <c r="L19">
        <f>+'[13]faixa SM RTT+RTE+RTI'!M26</f>
        <v>424.03473797000004</v>
      </c>
      <c r="M19">
        <f>+'[13]faixa SM RTT+RTE+RTI'!N26</f>
        <v>918.30835852999996</v>
      </c>
      <c r="N19">
        <f>+'[13]faixa SM RTT+RTE+RTI'!O26</f>
        <v>76.464001010000004</v>
      </c>
      <c r="O19">
        <f>+'[13]faixa SM RTT+RTE+RTI'!P26</f>
        <v>14.03128223</v>
      </c>
      <c r="P19">
        <f>+'[13]faixa SM RTT+RTE+RTI'!Q26</f>
        <v>0</v>
      </c>
      <c r="Q19">
        <f>+'[13]faixa SM RTT+RTE+RTI'!R26</f>
        <v>119.15910484999999</v>
      </c>
      <c r="R19">
        <f>+'[13]faixa SM RTT+RTE+RTI'!S26</f>
        <v>11110.277941620001</v>
      </c>
      <c r="S19">
        <f>+'[13]faixa SM RTT+RTE+RTI'!T26</f>
        <v>2819.2269392899998</v>
      </c>
      <c r="T19">
        <f>+'[13]faixa SM RTT+RTE+RTI'!U26</f>
        <v>8.7267594800000001</v>
      </c>
      <c r="U19">
        <f>+'[13]faixa SM RTT+RTE+RTI'!V26</f>
        <v>2810.5001798099997</v>
      </c>
      <c r="V19">
        <f>+'[13]faixa SM RTT+RTE+RTI'!W26</f>
        <v>78.398896300000004</v>
      </c>
      <c r="W19">
        <f>+'[13]faixa SM RTT+RTE+RTI'!X26</f>
        <v>2888.8526285100002</v>
      </c>
      <c r="X19">
        <f>+'[13]faixa SM RTT+RTE+RTI'!Y26</f>
        <v>2408.4385055600001</v>
      </c>
      <c r="Y19">
        <f>+'[13]faixa SM RTT+RTE+RTI'!Z26</f>
        <v>507.67448632999998</v>
      </c>
      <c r="Z19">
        <f>+'[13]faixa SM RTT+RTE+RTI'!AA26</f>
        <v>113.45787551000001</v>
      </c>
      <c r="AA19">
        <f>+'[13]faixa SM RTT+RTE+RTI'!AB26</f>
        <v>19737.359566540003</v>
      </c>
      <c r="AB19">
        <f>+'[13]faixa SM RTT+RTE+RTI'!AC26</f>
        <v>5661.7290920200003</v>
      </c>
      <c r="AC19">
        <f>+'[13]faixa SM RTT+RTE+RTI'!AD26</f>
        <v>336921.77322070004</v>
      </c>
      <c r="AD19">
        <f>+'[13]faixa SM RTT+RTE+RTI'!AE26</f>
        <v>3743.06999937</v>
      </c>
      <c r="AE19">
        <f>+'[13]faixa SM RTT+RTE+RTI'!AF26</f>
        <v>278.73442279</v>
      </c>
      <c r="AF19">
        <f>+'[13]faixa SM RTT+RTE+RTI'!AG26</f>
        <v>0.98929562999999998</v>
      </c>
      <c r="AG19">
        <f>+'[13]faixa SM RTT+RTE+RTI'!AH26</f>
        <v>45.465716100000002</v>
      </c>
      <c r="AH19">
        <f>+'[13]faixa SM RTT+RTE+RTI'!AI26</f>
        <v>398.48658145999997</v>
      </c>
      <c r="AI19">
        <f>+'[13]faixa SM RTT+RTE+RTI'!AJ26</f>
        <v>575.91239282000004</v>
      </c>
      <c r="AJ19">
        <f>+'[13]faixa SM RTT+RTE+RTI'!AK26</f>
        <v>95.561297840000009</v>
      </c>
      <c r="AK19">
        <f>+'[13]faixa SM RTT+RTE+RTI'!AL26</f>
        <v>19.885271890000002</v>
      </c>
      <c r="AL19">
        <f>+'[13]faixa SM RTT+RTE+RTI'!AM26</f>
        <v>340.25454738000002</v>
      </c>
      <c r="AM19">
        <f>+'[13]faixa SM RTT+RTE+RTI'!AN26</f>
        <v>18.07639047</v>
      </c>
      <c r="AN19">
        <f>+'[13]faixa SM RTT+RTE+RTI'!AO26</f>
        <v>600.42277672</v>
      </c>
      <c r="AO19">
        <f>+'[13]faixa SM RTT+RTE+RTI'!AP26</f>
        <v>2200.09011134</v>
      </c>
    </row>
    <row r="20" spans="2:41" x14ac:dyDescent="0.25">
      <c r="B20" t="str">
        <f>+'[13]faixa SM RTT+RTE+RTI'!C27</f>
        <v>De 240 a 320</v>
      </c>
      <c r="C20">
        <f>+'[13]faixa SM RTT+RTE+RTI'!D27</f>
        <v>13017</v>
      </c>
      <c r="D20">
        <f>+'[13]faixa SM RTT+RTE+RTI'!E27</f>
        <v>7192.4361883399997</v>
      </c>
      <c r="E20">
        <f>+'[13]faixa SM RTT+RTE+RTI'!F27</f>
        <v>7092.8584014500002</v>
      </c>
      <c r="F20">
        <f>+'[13]faixa SM RTT+RTE+RTI'!G27</f>
        <v>28640.841842270002</v>
      </c>
      <c r="G20">
        <f>+'[13]faixa SM RTT+RTE+RTI'!H27</f>
        <v>61.570474299999994</v>
      </c>
      <c r="H20">
        <f>+'[13]faixa SM RTT+RTE+RTI'!I27</f>
        <v>5.4726169999999998E-2</v>
      </c>
      <c r="I20">
        <f>+'[13]faixa SM RTT+RTE+RTI'!J27</f>
        <v>132.52154881999999</v>
      </c>
      <c r="J20">
        <f>+'[13]faixa SM RTT+RTE+RTI'!K27</f>
        <v>19.45492741</v>
      </c>
      <c r="K20">
        <f>+'[13]faixa SM RTT+RTE+RTI'!L27</f>
        <v>16.628982300000001</v>
      </c>
      <c r="L20">
        <f>+'[13]faixa SM RTT+RTE+RTI'!M27</f>
        <v>199.25233641999998</v>
      </c>
      <c r="M20">
        <f>+'[13]faixa SM RTT+RTE+RTI'!N27</f>
        <v>699.94706746000008</v>
      </c>
      <c r="N20">
        <f>+'[13]faixa SM RTT+RTE+RTI'!O27</f>
        <v>34.788469509999999</v>
      </c>
      <c r="O20">
        <f>+'[13]faixa SM RTT+RTE+RTI'!P27</f>
        <v>8.5703200700000011</v>
      </c>
      <c r="P20">
        <f>+'[13]faixa SM RTT+RTE+RTI'!Q27</f>
        <v>2.4766189999999997E-2</v>
      </c>
      <c r="Q20">
        <f>+'[13]faixa SM RTT+RTE+RTI'!R27</f>
        <v>52.848684509999998</v>
      </c>
      <c r="R20">
        <f>+'[13]faixa SM RTT+RTE+RTI'!S27</f>
        <v>5966.7738851800004</v>
      </c>
      <c r="S20">
        <f>+'[13]faixa SM RTT+RTE+RTI'!T27</f>
        <v>1538.46221754</v>
      </c>
      <c r="T20">
        <f>+'[13]faixa SM RTT+RTE+RTI'!U27</f>
        <v>5.5232175799999998</v>
      </c>
      <c r="U20">
        <f>+'[13]faixa SM RTT+RTE+RTI'!V27</f>
        <v>1532.93899996</v>
      </c>
      <c r="V20">
        <f>+'[13]faixa SM RTT+RTE+RTI'!W27</f>
        <v>27.24251765</v>
      </c>
      <c r="W20">
        <f>+'[13]faixa SM RTT+RTE+RTI'!X27</f>
        <v>1560.1815176099999</v>
      </c>
      <c r="X20">
        <f>+'[13]faixa SM RTT+RTE+RTI'!Y27</f>
        <v>1251.87025629</v>
      </c>
      <c r="Y20">
        <f>+'[13]faixa SM RTT+RTE+RTI'!Z27</f>
        <v>316.25211554999998</v>
      </c>
      <c r="Z20">
        <f>+'[13]faixa SM RTT+RTE+RTI'!AA27</f>
        <v>56.265145529999998</v>
      </c>
      <c r="AA20">
        <f>+'[13]faixa SM RTT+RTE+RTI'!AB27</f>
        <v>10689.59999422</v>
      </c>
      <c r="AB20">
        <f>+'[13]faixa SM RTT+RTE+RTI'!AC27</f>
        <v>3933.6492079699997</v>
      </c>
      <c r="AC20">
        <f>+'[13]faixa SM RTT+RTE+RTI'!AD27</f>
        <v>207379.18643689001</v>
      </c>
      <c r="AD20">
        <f>+'[13]faixa SM RTT+RTE+RTI'!AE27</f>
        <v>2304.2307712800002</v>
      </c>
      <c r="AE20">
        <f>+'[13]faixa SM RTT+RTE+RTI'!AF27</f>
        <v>134.40558028999999</v>
      </c>
      <c r="AF20">
        <f>+'[13]faixa SM RTT+RTE+RTI'!AG27</f>
        <v>0.31085472999999997</v>
      </c>
      <c r="AG20">
        <f>+'[13]faixa SM RTT+RTE+RTI'!AH27</f>
        <v>25.156271929999999</v>
      </c>
      <c r="AH20">
        <f>+'[13]faixa SM RTT+RTE+RTI'!AI27</f>
        <v>195.33275703999999</v>
      </c>
      <c r="AI20">
        <f>+'[13]faixa SM RTT+RTE+RTI'!AJ27</f>
        <v>307.27303088000002</v>
      </c>
      <c r="AJ20">
        <f>+'[13]faixa SM RTT+RTE+RTI'!AK27</f>
        <v>45.864459549999999</v>
      </c>
      <c r="AK20">
        <f>+'[13]faixa SM RTT+RTE+RTI'!AL27</f>
        <v>11.915609570000001</v>
      </c>
      <c r="AL20">
        <f>+'[13]faixa SM RTT+RTE+RTI'!AM27</f>
        <v>155.75185483000001</v>
      </c>
      <c r="AM20">
        <f>+'[13]faixa SM RTT+RTE+RTI'!AN27</f>
        <v>10.888312640000001</v>
      </c>
      <c r="AN20">
        <f>+'[13]faixa SM RTT+RTE+RTI'!AO27</f>
        <v>513.40881711999998</v>
      </c>
      <c r="AO20">
        <f>+'[13]faixa SM RTT+RTE+RTI'!AP27</f>
        <v>1653.01725446</v>
      </c>
    </row>
    <row r="21" spans="2:41" x14ac:dyDescent="0.25">
      <c r="B21" t="str">
        <f>+'[13]faixa SM RTT+RTE+RTI'!C28</f>
        <v>Mais de 320</v>
      </c>
      <c r="C21">
        <f>+'[13]faixa SM RTT+RTE+RTI'!D28</f>
        <v>26162</v>
      </c>
      <c r="D21">
        <f>+'[13]faixa SM RTT+RTE+RTI'!E28</f>
        <v>31624.953209449999</v>
      </c>
      <c r="E21">
        <f>+'[13]faixa SM RTT+RTE+RTI'!F28</f>
        <v>119783.26798458</v>
      </c>
      <c r="F21">
        <f>+'[13]faixa SM RTT+RTE+RTI'!G28</f>
        <v>259384.17582132999</v>
      </c>
      <c r="G21">
        <f>+'[13]faixa SM RTT+RTE+RTI'!H28</f>
        <v>114.07406123</v>
      </c>
      <c r="H21">
        <f>+'[13]faixa SM RTT+RTE+RTI'!I28</f>
        <v>1.2074726999999998</v>
      </c>
      <c r="I21">
        <f>+'[13]faixa SM RTT+RTE+RTI'!J28</f>
        <v>636.23833280999997</v>
      </c>
      <c r="J21">
        <f>+'[13]faixa SM RTT+RTE+RTI'!K28</f>
        <v>38.710618150000002</v>
      </c>
      <c r="K21">
        <f>+'[13]faixa SM RTT+RTE+RTI'!L28</f>
        <v>34.012782369999996</v>
      </c>
      <c r="L21">
        <f>+'[13]faixa SM RTT+RTE+RTI'!M28</f>
        <v>505.29236644999997</v>
      </c>
      <c r="M21">
        <f>+'[13]faixa SM RTT+RTE+RTI'!N28</f>
        <v>5145.7930112399999</v>
      </c>
      <c r="N21">
        <f>+'[13]faixa SM RTT+RTE+RTI'!O28</f>
        <v>130.57637804999999</v>
      </c>
      <c r="O21">
        <f>+'[13]faixa SM RTT+RTE+RTI'!P28</f>
        <v>29.87673659</v>
      </c>
      <c r="P21">
        <f>+'[13]faixa SM RTT+RTE+RTI'!Q28</f>
        <v>2.415956E-2</v>
      </c>
      <c r="Q21">
        <f>+'[13]faixa SM RTT+RTE+RTI'!R28</f>
        <v>103.69519690999999</v>
      </c>
      <c r="R21">
        <f>+'[13]faixa SM RTT+RTE+RTI'!S28</f>
        <v>24885.452093389998</v>
      </c>
      <c r="S21">
        <f>+'[13]faixa SM RTT+RTE+RTI'!T28</f>
        <v>6638.7220684499998</v>
      </c>
      <c r="T21">
        <f>+'[13]faixa SM RTT+RTE+RTI'!U28</f>
        <v>55.74499625</v>
      </c>
      <c r="U21">
        <f>+'[13]faixa SM RTT+RTE+RTI'!V28</f>
        <v>6582.9770721999994</v>
      </c>
      <c r="V21">
        <f>+'[13]faixa SM RTT+RTE+RTI'!W28</f>
        <v>38.311366870000001</v>
      </c>
      <c r="W21">
        <f>+'[13]faixa SM RTT+RTE+RTI'!X28</f>
        <v>6621.2884390700001</v>
      </c>
      <c r="X21">
        <f>+'[13]faixa SM RTT+RTE+RTI'!Y28</f>
        <v>5384.8820029999997</v>
      </c>
      <c r="Y21">
        <f>+'[13]faixa SM RTT+RTE+RTI'!Z28</f>
        <v>1220.0431667299999</v>
      </c>
      <c r="Z21">
        <f>+'[13]faixa SM RTT+RTE+RTI'!AA28</f>
        <v>192.1921055</v>
      </c>
      <c r="AA21">
        <f>+'[13]faixa SM RTT+RTE+RTI'!AB28</f>
        <v>69672.416884079998</v>
      </c>
      <c r="AB21">
        <f>+'[13]faixa SM RTT+RTE+RTI'!AC28</f>
        <v>71007.592341289987</v>
      </c>
      <c r="AC21">
        <f>+'[13]faixa SM RTT+RTE+RTI'!AD28</f>
        <v>1808128.6363143602</v>
      </c>
      <c r="AD21">
        <f>+'[13]faixa SM RTT+RTE+RTI'!AE28</f>
        <v>13249.66730277</v>
      </c>
      <c r="AE21">
        <f>+'[13]faixa SM RTT+RTE+RTI'!AF28</f>
        <v>673.74348079999993</v>
      </c>
      <c r="AF21">
        <f>+'[13]faixa SM RTT+RTE+RTI'!AG28</f>
        <v>0.24017141</v>
      </c>
      <c r="AG21">
        <f>+'[13]faixa SM RTT+RTE+RTI'!AH28</f>
        <v>55.927953969999997</v>
      </c>
      <c r="AH21">
        <f>+'[13]faixa SM RTT+RTE+RTI'!AI28</f>
        <v>465.04658562999998</v>
      </c>
      <c r="AI21">
        <f>+'[13]faixa SM RTT+RTE+RTI'!AJ28</f>
        <v>738.71610705000001</v>
      </c>
      <c r="AJ21">
        <f>+'[13]faixa SM RTT+RTE+RTI'!AK28</f>
        <v>190.99951263</v>
      </c>
      <c r="AK21">
        <f>+'[13]faixa SM RTT+RTE+RTI'!AL28</f>
        <v>41.983509909999995</v>
      </c>
      <c r="AL21">
        <f>+'[13]faixa SM RTT+RTE+RTI'!AM28</f>
        <v>663.50265442999989</v>
      </c>
      <c r="AM21">
        <f>+'[13]faixa SM RTT+RTE+RTI'!AN28</f>
        <v>36.354315399999997</v>
      </c>
      <c r="AN21">
        <f>+'[13]faixa SM RTT+RTE+RTI'!AO28</f>
        <v>2981.5695889399999</v>
      </c>
      <c r="AO21">
        <f>+'[13]faixa SM RTT+RTE+RTI'!AP28</f>
        <v>33090.467734799997</v>
      </c>
    </row>
    <row r="22" spans="2:41" x14ac:dyDescent="0.25">
      <c r="B22" t="str">
        <f>+'[13]faixa SM RTT+RTE+RTI'!C29</f>
        <v xml:space="preserve">    Total</v>
      </c>
      <c r="C22">
        <f>+'[13]faixa SM RTT+RTE+RTI'!D29</f>
        <v>30498517</v>
      </c>
      <c r="D22">
        <f>+'[13]faixa SM RTT+RTE+RTI'!E29</f>
        <v>1913207.7717536001</v>
      </c>
      <c r="E22">
        <f>+'[13]faixa SM RTT+RTE+RTI'!F29</f>
        <v>379259.45437158004</v>
      </c>
      <c r="F22">
        <f>+'[13]faixa SM RTT+RTE+RTI'!G29</f>
        <v>1038892.57453271</v>
      </c>
      <c r="G22">
        <f>+'[13]faixa SM RTT+RTE+RTI'!H29</f>
        <v>76257.500974539988</v>
      </c>
      <c r="H22">
        <f>+'[13]faixa SM RTT+RTE+RTI'!I29</f>
        <v>64.852408010000005</v>
      </c>
      <c r="I22">
        <f>+'[13]faixa SM RTT+RTE+RTI'!J29</f>
        <v>16497.879176429997</v>
      </c>
      <c r="J22">
        <f>+'[13]faixa SM RTT+RTE+RTI'!K29</f>
        <v>33683.795323369988</v>
      </c>
      <c r="K22">
        <f>+'[13]faixa SM RTT+RTE+RTI'!L29</f>
        <v>21391.799105799993</v>
      </c>
      <c r="L22">
        <f>+'[13]faixa SM RTT+RTE+RTI'!M29</f>
        <v>91714.450279249984</v>
      </c>
      <c r="M22">
        <f>+'[13]faixa SM RTT+RTE+RTI'!N29</f>
        <v>19944.808226469999</v>
      </c>
      <c r="N22">
        <f>+'[13]faixa SM RTT+RTE+RTI'!O29</f>
        <v>13870.448221080002</v>
      </c>
      <c r="O22">
        <f>+'[13]faixa SM RTT+RTE+RTI'!P29</f>
        <v>1744.61738343</v>
      </c>
      <c r="P22">
        <f>+'[13]faixa SM RTT+RTE+RTI'!Q29</f>
        <v>19.655840040000001</v>
      </c>
      <c r="Q22">
        <f>+'[13]faixa SM RTT+RTE+RTI'!R29</f>
        <v>140309.06446927</v>
      </c>
      <c r="R22">
        <f>+'[13]faixa SM RTT+RTE+RTI'!S29</f>
        <v>1497708.9003459101</v>
      </c>
      <c r="S22">
        <f>+'[13]faixa SM RTT+RTE+RTI'!T29</f>
        <v>194825.90857838996</v>
      </c>
      <c r="T22">
        <f>+'[13]faixa SM RTT+RTE+RTI'!U29</f>
        <v>236.95368437999997</v>
      </c>
      <c r="U22">
        <f>+'[13]faixa SM RTT+RTE+RTI'!V29</f>
        <v>194588.95489401004</v>
      </c>
      <c r="V22">
        <f>+'[13]faixa SM RTT+RTE+RTI'!W29</f>
        <v>1090.9786093800001</v>
      </c>
      <c r="W22">
        <f>+'[13]faixa SM RTT+RTE+RTI'!X29</f>
        <v>195677.53380638</v>
      </c>
      <c r="X22">
        <f>+'[13]faixa SM RTT+RTE+RTI'!Y29</f>
        <v>198704.72268287002</v>
      </c>
      <c r="Y22">
        <f>+'[13]faixa SM RTT+RTE+RTI'!Z29</f>
        <v>22101.149010140001</v>
      </c>
      <c r="Z22">
        <f>+'[13]faixa SM RTT+RTE+RTI'!AA29</f>
        <v>26842.249559140004</v>
      </c>
      <c r="AA22">
        <f>+'[13]faixa SM RTT+RTE+RTI'!AB29</f>
        <v>755829.7723344299</v>
      </c>
      <c r="AB22">
        <f>+'[13]faixa SM RTT+RTE+RTI'!AC29</f>
        <v>127233.79528254998</v>
      </c>
      <c r="AC22">
        <f>+'[13]faixa SM RTT+RTE+RTI'!AD29</f>
        <v>10475931.37556199</v>
      </c>
      <c r="AD22">
        <f>+'[13]faixa SM RTT+RTE+RTI'!AE29</f>
        <v>85915.843660769999</v>
      </c>
      <c r="AE22">
        <f>+'[13]faixa SM RTT+RTE+RTI'!AF29</f>
        <v>15426.65291952</v>
      </c>
      <c r="AF22">
        <f>+'[13]faixa SM RTT+RTE+RTI'!AG29</f>
        <v>806.54171492000012</v>
      </c>
      <c r="AG22">
        <f>+'[13]faixa SM RTT+RTE+RTI'!AH29</f>
        <v>4134.5587113299998</v>
      </c>
      <c r="AH22">
        <f>+'[13]faixa SM RTT+RTE+RTI'!AI29</f>
        <v>59778.655317149998</v>
      </c>
      <c r="AI22">
        <f>+'[13]faixa SM RTT+RTE+RTI'!AJ29</f>
        <v>115530.00756992</v>
      </c>
      <c r="AJ22">
        <f>+'[13]faixa SM RTT+RTE+RTI'!AK29</f>
        <v>15202.218964510002</v>
      </c>
      <c r="AK22">
        <f>+'[13]faixa SM RTT+RTE+RTI'!AL29</f>
        <v>1980.77895663</v>
      </c>
      <c r="AL22">
        <f>+'[13]faixa SM RTT+RTE+RTI'!AM29</f>
        <v>9424.5653188899996</v>
      </c>
      <c r="AM22">
        <f>+'[13]faixa SM RTT+RTE+RTI'!AN29</f>
        <v>402.46672434999999</v>
      </c>
      <c r="AN22">
        <f>+'[13]faixa SM RTT+RTE+RTI'!AO29</f>
        <v>23705.15917187</v>
      </c>
      <c r="AO22">
        <f>+'[13]faixa SM RTT+RTE+RTI'!AP29</f>
        <v>266053.85391151998</v>
      </c>
    </row>
    <row r="25" spans="2:4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998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41" x14ac:dyDescent="0.25">
      <c r="B26" t="str">
        <f>+B5</f>
        <v>Até 1/2</v>
      </c>
      <c r="C26" s="1">
        <f>+D5+E5+F5-M5</f>
        <v>721.61597726000002</v>
      </c>
      <c r="D26" s="1">
        <f>+S5</f>
        <v>1.510038E-2</v>
      </c>
      <c r="E26">
        <f>+C5</f>
        <v>1327016</v>
      </c>
      <c r="F26" s="2">
        <f>+D26/C26</f>
        <v>2.092578390148268E-5</v>
      </c>
      <c r="G26" s="1">
        <f>+C26*$H$18</f>
        <v>3012.0305517161878</v>
      </c>
      <c r="I26">
        <f>+C26*1000000/$H$25</f>
        <v>723062.10146292578</v>
      </c>
      <c r="J26">
        <f>+I26/E26</f>
        <v>0.54487820905168116</v>
      </c>
      <c r="K26">
        <f>+J26/12</f>
        <v>4.540651742097343E-2</v>
      </c>
      <c r="N26">
        <f>+C26*1000000/E26</f>
        <v>543.78845263357789</v>
      </c>
      <c r="O26" s="3">
        <f>+F26</f>
        <v>2.092578390148268E-5</v>
      </c>
    </row>
    <row r="27" spans="2:41" x14ac:dyDescent="0.25">
      <c r="B27" t="str">
        <f t="shared" ref="B27:B43" si="0">+B6</f>
        <v>De 1/2 a 1</v>
      </c>
      <c r="C27" s="1">
        <f t="shared" ref="C27:C43" si="1">+D6+E6+F6-M6</f>
        <v>3856.3767754400001</v>
      </c>
      <c r="D27" s="1">
        <f t="shared" ref="D27:D43" si="2">+S6</f>
        <v>0.14619269000000001</v>
      </c>
      <c r="E27">
        <f t="shared" ref="E27:E43" si="3">+C6</f>
        <v>397910</v>
      </c>
      <c r="F27" s="2">
        <f t="shared" ref="F27:F42" si="4">+D27/C27</f>
        <v>3.7909337835206701E-5</v>
      </c>
      <c r="G27" s="1">
        <f t="shared" ref="G27:G43" si="5">+C27*$H$18</f>
        <v>16096.545853458749</v>
      </c>
      <c r="I27">
        <f t="shared" ref="I27:I43" si="6">+C27*1000000/$H$25</f>
        <v>3864104.9854108216</v>
      </c>
      <c r="J27">
        <f t="shared" ref="J27:J43" si="7">+I27/E27</f>
        <v>9.7110024513352808</v>
      </c>
      <c r="K27">
        <f t="shared" ref="K27:K43" si="8">+J27/12</f>
        <v>0.80925020427794003</v>
      </c>
      <c r="N27">
        <f t="shared" ref="N27:N43" si="9">+C27*1000000/E27</f>
        <v>9691.5804464326102</v>
      </c>
      <c r="O27" s="3">
        <f t="shared" ref="O27:O42" si="10">+F27</f>
        <v>3.7909337835206701E-5</v>
      </c>
    </row>
    <row r="28" spans="2:41" x14ac:dyDescent="0.25">
      <c r="B28" t="str">
        <f t="shared" si="0"/>
        <v>De 1 a 2</v>
      </c>
      <c r="C28" s="1">
        <f t="shared" si="1"/>
        <v>33688.239206619997</v>
      </c>
      <c r="D28" s="1">
        <f t="shared" si="2"/>
        <v>1.0346350200000001</v>
      </c>
      <c r="E28">
        <f t="shared" si="3"/>
        <v>1927431</v>
      </c>
      <c r="F28" s="2">
        <f t="shared" si="4"/>
        <v>3.0712053950171621E-5</v>
      </c>
      <c r="G28" s="1">
        <f t="shared" si="5"/>
        <v>140614.96546840266</v>
      </c>
      <c r="I28">
        <f t="shared" si="6"/>
        <v>33755750.708036073</v>
      </c>
      <c r="J28">
        <f t="shared" si="7"/>
        <v>17.513338069189544</v>
      </c>
      <c r="K28">
        <f t="shared" si="8"/>
        <v>1.4594448390991286</v>
      </c>
      <c r="N28">
        <f t="shared" si="9"/>
        <v>17478.311393051164</v>
      </c>
      <c r="O28" s="3">
        <f t="shared" si="10"/>
        <v>3.0712053950171621E-5</v>
      </c>
    </row>
    <row r="29" spans="2:41" x14ac:dyDescent="0.25">
      <c r="B29" t="str">
        <f t="shared" si="0"/>
        <v>De 2 a 3</v>
      </c>
      <c r="C29" s="1">
        <f t="shared" si="1"/>
        <v>149609.10240061002</v>
      </c>
      <c r="D29" s="1">
        <f t="shared" si="2"/>
        <v>217.18079459</v>
      </c>
      <c r="E29">
        <f t="shared" si="3"/>
        <v>4953698</v>
      </c>
      <c r="F29" s="2">
        <f t="shared" si="4"/>
        <v>1.4516549535097971E-3</v>
      </c>
      <c r="G29" s="1">
        <f t="shared" si="5"/>
        <v>624469.52596105135</v>
      </c>
      <c r="I29">
        <f t="shared" si="6"/>
        <v>149908920.24109221</v>
      </c>
      <c r="J29">
        <f t="shared" si="7"/>
        <v>30.262022481203378</v>
      </c>
      <c r="K29">
        <f t="shared" si="8"/>
        <v>2.5218352067669483</v>
      </c>
      <c r="N29">
        <f t="shared" si="9"/>
        <v>30201.49843624097</v>
      </c>
      <c r="O29" s="3">
        <f t="shared" si="10"/>
        <v>1.4516549535097971E-3</v>
      </c>
    </row>
    <row r="30" spans="2:41" x14ac:dyDescent="0.25">
      <c r="B30" t="str">
        <f t="shared" si="0"/>
        <v>De 3 a 5</v>
      </c>
      <c r="C30" s="1">
        <f t="shared" si="1"/>
        <v>384379.33355438994</v>
      </c>
      <c r="D30" s="1">
        <f t="shared" si="2"/>
        <v>5156.2946067499997</v>
      </c>
      <c r="E30">
        <f t="shared" si="3"/>
        <v>8259979</v>
      </c>
      <c r="F30" s="2">
        <f t="shared" si="4"/>
        <v>1.3414598956372821E-2</v>
      </c>
      <c r="G30" s="1">
        <f t="shared" si="5"/>
        <v>1604402.2480075785</v>
      </c>
      <c r="I30">
        <f t="shared" si="6"/>
        <v>385149632.82003003</v>
      </c>
      <c r="J30">
        <f t="shared" si="7"/>
        <v>46.628403391828243</v>
      </c>
      <c r="K30">
        <f t="shared" si="8"/>
        <v>3.8857002826523535</v>
      </c>
      <c r="N30">
        <f t="shared" si="9"/>
        <v>46535.146585044582</v>
      </c>
      <c r="O30" s="3">
        <f t="shared" si="10"/>
        <v>1.3414598956372821E-2</v>
      </c>
    </row>
    <row r="31" spans="2:41" x14ac:dyDescent="0.25">
      <c r="B31" t="str">
        <f t="shared" si="0"/>
        <v>De 5 a 7</v>
      </c>
      <c r="C31" s="1">
        <f t="shared" si="1"/>
        <v>308620.31857271999</v>
      </c>
      <c r="D31" s="1">
        <f t="shared" si="2"/>
        <v>10651.23315478</v>
      </c>
      <c r="E31">
        <f t="shared" si="3"/>
        <v>4382734</v>
      </c>
      <c r="F31" s="2">
        <f t="shared" si="4"/>
        <v>3.451241708270824E-2</v>
      </c>
      <c r="G31" s="1">
        <f t="shared" si="5"/>
        <v>1288183.5459783447</v>
      </c>
      <c r="I31">
        <f t="shared" si="6"/>
        <v>309238796.16505009</v>
      </c>
      <c r="J31">
        <f t="shared" si="7"/>
        <v>70.558422246262282</v>
      </c>
      <c r="K31">
        <f t="shared" si="8"/>
        <v>5.8798685205218568</v>
      </c>
      <c r="N31">
        <f t="shared" si="9"/>
        <v>70417.305401769758</v>
      </c>
      <c r="O31" s="3">
        <f t="shared" si="10"/>
        <v>3.451241708270824E-2</v>
      </c>
    </row>
    <row r="32" spans="2:41" x14ac:dyDescent="0.25">
      <c r="B32" t="str">
        <f t="shared" si="0"/>
        <v>De 7 a 10</v>
      </c>
      <c r="C32" s="1">
        <f t="shared" si="1"/>
        <v>325373.44940489001</v>
      </c>
      <c r="D32" s="1">
        <f t="shared" si="2"/>
        <v>19963.3524745</v>
      </c>
      <c r="E32">
        <f t="shared" si="3"/>
        <v>3274742</v>
      </c>
      <c r="F32" s="2">
        <f t="shared" si="4"/>
        <v>6.1355198191533733E-2</v>
      </c>
      <c r="G32" s="1">
        <f t="shared" si="5"/>
        <v>1358111.2408930229</v>
      </c>
      <c r="I32">
        <f t="shared" si="6"/>
        <v>326025500.4057014</v>
      </c>
      <c r="J32">
        <f t="shared" si="7"/>
        <v>99.557614128289003</v>
      </c>
      <c r="K32">
        <f t="shared" si="8"/>
        <v>8.2964678440240842</v>
      </c>
      <c r="N32">
        <f t="shared" si="9"/>
        <v>99358.498900032428</v>
      </c>
      <c r="O32" s="3">
        <f t="shared" si="10"/>
        <v>6.1355198191533733E-2</v>
      </c>
    </row>
    <row r="33" spans="2:15" x14ac:dyDescent="0.25">
      <c r="B33" t="str">
        <f t="shared" si="0"/>
        <v>De 10 a 15</v>
      </c>
      <c r="C33" s="1">
        <f t="shared" si="1"/>
        <v>368610.43003364006</v>
      </c>
      <c r="D33" s="1">
        <f t="shared" si="2"/>
        <v>32754.382816220001</v>
      </c>
      <c r="E33">
        <f t="shared" si="3"/>
        <v>2545965</v>
      </c>
      <c r="F33" s="2">
        <f t="shared" si="4"/>
        <v>8.8859077626291735E-2</v>
      </c>
      <c r="G33" s="1">
        <f t="shared" si="5"/>
        <v>1538582.7253413689</v>
      </c>
      <c r="I33">
        <f t="shared" si="6"/>
        <v>369349128.2902205</v>
      </c>
      <c r="J33">
        <f t="shared" si="7"/>
        <v>145.07235106932754</v>
      </c>
      <c r="K33">
        <f t="shared" si="8"/>
        <v>12.089362589110628</v>
      </c>
      <c r="N33">
        <f t="shared" si="9"/>
        <v>144782.20636718889</v>
      </c>
      <c r="O33" s="3">
        <f t="shared" si="10"/>
        <v>8.8859077626291735E-2</v>
      </c>
    </row>
    <row r="34" spans="2:15" x14ac:dyDescent="0.25">
      <c r="B34" t="str">
        <f t="shared" si="0"/>
        <v>De 15 a 20</v>
      </c>
      <c r="C34" s="1">
        <f t="shared" si="1"/>
        <v>241737.63563584001</v>
      </c>
      <c r="D34" s="1">
        <f t="shared" si="2"/>
        <v>24732.479887580001</v>
      </c>
      <c r="E34">
        <f t="shared" si="3"/>
        <v>1177471</v>
      </c>
      <c r="F34" s="2">
        <f t="shared" si="4"/>
        <v>0.10231125088373771</v>
      </c>
      <c r="G34" s="1">
        <f t="shared" si="5"/>
        <v>1009014.7210978979</v>
      </c>
      <c r="I34">
        <f t="shared" si="6"/>
        <v>242222079.79543087</v>
      </c>
      <c r="J34">
        <f t="shared" si="7"/>
        <v>205.71383906306895</v>
      </c>
      <c r="K34">
        <f t="shared" si="8"/>
        <v>17.142819921922413</v>
      </c>
      <c r="N34">
        <f t="shared" si="9"/>
        <v>205302.41138494282</v>
      </c>
      <c r="O34" s="3">
        <f t="shared" si="10"/>
        <v>0.10231125088373771</v>
      </c>
    </row>
    <row r="35" spans="2:15" x14ac:dyDescent="0.25">
      <c r="B35" t="str">
        <f t="shared" si="0"/>
        <v>De 20 a 30</v>
      </c>
      <c r="C35" s="1">
        <f t="shared" si="1"/>
        <v>313382.45126157999</v>
      </c>
      <c r="D35" s="1">
        <f t="shared" si="2"/>
        <v>33455.039989669996</v>
      </c>
      <c r="E35">
        <f t="shared" si="3"/>
        <v>1088075</v>
      </c>
      <c r="F35" s="2">
        <f t="shared" si="4"/>
        <v>0.1067546694302455</v>
      </c>
      <c r="G35" s="1">
        <f t="shared" si="5"/>
        <v>1308060.7238709908</v>
      </c>
      <c r="I35">
        <f t="shared" si="6"/>
        <v>314010472.20599198</v>
      </c>
      <c r="J35">
        <f t="shared" si="7"/>
        <v>288.59267256943866</v>
      </c>
      <c r="K35">
        <f t="shared" si="8"/>
        <v>24.049389380786554</v>
      </c>
      <c r="N35">
        <f t="shared" si="9"/>
        <v>288015.48722429981</v>
      </c>
      <c r="O35" s="3">
        <f t="shared" si="10"/>
        <v>0.1067546694302455</v>
      </c>
    </row>
    <row r="36" spans="2:15" x14ac:dyDescent="0.25">
      <c r="B36" t="str">
        <f t="shared" si="0"/>
        <v>De 30 a 40</v>
      </c>
      <c r="C36" s="1">
        <f t="shared" si="1"/>
        <v>196058.31813087998</v>
      </c>
      <c r="D36" s="1">
        <f t="shared" si="2"/>
        <v>20718.71987696</v>
      </c>
      <c r="E36">
        <f t="shared" si="3"/>
        <v>479596</v>
      </c>
      <c r="F36" s="2">
        <f t="shared" si="4"/>
        <v>0.10567631138776314</v>
      </c>
      <c r="G36" s="1">
        <f t="shared" si="5"/>
        <v>818348.90403976128</v>
      </c>
      <c r="I36">
        <f t="shared" si="6"/>
        <v>196451220.57202402</v>
      </c>
      <c r="J36">
        <f t="shared" si="7"/>
        <v>409.61813812463828</v>
      </c>
      <c r="K36">
        <f t="shared" si="8"/>
        <v>34.134844843719854</v>
      </c>
      <c r="N36">
        <f t="shared" si="9"/>
        <v>408798.90184838901</v>
      </c>
      <c r="O36" s="3">
        <f t="shared" si="10"/>
        <v>0.10567631138776314</v>
      </c>
    </row>
    <row r="37" spans="2:15" x14ac:dyDescent="0.25">
      <c r="B37" t="str">
        <f t="shared" si="0"/>
        <v>De 40 a 60</v>
      </c>
      <c r="C37" s="1">
        <f t="shared" si="1"/>
        <v>206649.73010015997</v>
      </c>
      <c r="D37" s="1">
        <f t="shared" si="2"/>
        <v>19563.68129868</v>
      </c>
      <c r="E37">
        <f t="shared" si="3"/>
        <v>362941</v>
      </c>
      <c r="F37" s="2">
        <f t="shared" si="4"/>
        <v>9.4670732399204108E-2</v>
      </c>
      <c r="G37" s="1">
        <f t="shared" si="5"/>
        <v>862557.53777652455</v>
      </c>
      <c r="I37">
        <f t="shared" si="6"/>
        <v>207063857.81579155</v>
      </c>
      <c r="J37">
        <f t="shared" si="7"/>
        <v>570.51657932223566</v>
      </c>
      <c r="K37">
        <f t="shared" si="8"/>
        <v>47.543048276852971</v>
      </c>
      <c r="N37">
        <f t="shared" si="9"/>
        <v>569375.54616359121</v>
      </c>
      <c r="O37" s="3">
        <f t="shared" si="10"/>
        <v>9.4670732399204108E-2</v>
      </c>
    </row>
    <row r="38" spans="2:15" x14ac:dyDescent="0.25">
      <c r="B38" t="str">
        <f t="shared" si="0"/>
        <v>De 60 a 80</v>
      </c>
      <c r="C38" s="1">
        <f t="shared" si="1"/>
        <v>102223.39855387001</v>
      </c>
      <c r="D38" s="1">
        <f t="shared" si="2"/>
        <v>7623.2332903100005</v>
      </c>
      <c r="E38">
        <f t="shared" si="3"/>
        <v>125935</v>
      </c>
      <c r="F38" s="2">
        <f t="shared" si="4"/>
        <v>7.4574250104712428E-2</v>
      </c>
      <c r="G38" s="1">
        <f t="shared" si="5"/>
        <v>426681.23939498042</v>
      </c>
      <c r="I38">
        <f t="shared" si="6"/>
        <v>102428255.06399801</v>
      </c>
      <c r="J38">
        <f t="shared" si="7"/>
        <v>813.34224055265031</v>
      </c>
      <c r="K38">
        <f t="shared" si="8"/>
        <v>67.778520046054197</v>
      </c>
      <c r="N38">
        <f t="shared" si="9"/>
        <v>811715.55607154488</v>
      </c>
      <c r="O38" s="3">
        <f t="shared" si="10"/>
        <v>7.4574250104712428E-2</v>
      </c>
    </row>
    <row r="39" spans="2:15" x14ac:dyDescent="0.25">
      <c r="B39" t="str">
        <f t="shared" si="0"/>
        <v>De 80 a 160</v>
      </c>
      <c r="C39" s="1">
        <f t="shared" si="1"/>
        <v>160797.40342508</v>
      </c>
      <c r="D39" s="1">
        <f t="shared" si="2"/>
        <v>8992.7032349799993</v>
      </c>
      <c r="E39">
        <f t="shared" si="3"/>
        <v>126178</v>
      </c>
      <c r="F39" s="2">
        <f t="shared" si="4"/>
        <v>5.5925674441440532E-2</v>
      </c>
      <c r="G39" s="1">
        <f t="shared" si="5"/>
        <v>671169.57913262781</v>
      </c>
      <c r="I39">
        <f t="shared" si="6"/>
        <v>161119642.71050102</v>
      </c>
      <c r="J39">
        <f t="shared" si="7"/>
        <v>1276.9234154171172</v>
      </c>
      <c r="K39">
        <f t="shared" si="8"/>
        <v>106.4102846180931</v>
      </c>
      <c r="N39">
        <f t="shared" si="9"/>
        <v>1274369.5685862829</v>
      </c>
      <c r="O39" s="3">
        <f t="shared" si="10"/>
        <v>5.5925674441440532E-2</v>
      </c>
    </row>
    <row r="40" spans="2:15" x14ac:dyDescent="0.25">
      <c r="B40" t="str">
        <f t="shared" si="0"/>
        <v>De 160 a 240</v>
      </c>
      <c r="C40" s="1">
        <f t="shared" si="1"/>
        <v>67834.396029719996</v>
      </c>
      <c r="D40" s="1">
        <f t="shared" si="2"/>
        <v>2819.2269392899998</v>
      </c>
      <c r="E40">
        <f t="shared" si="3"/>
        <v>29667</v>
      </c>
      <c r="F40" s="2">
        <f t="shared" si="4"/>
        <v>4.1560434002461288E-2</v>
      </c>
      <c r="G40" s="1">
        <f t="shared" si="5"/>
        <v>283141.28253442916</v>
      </c>
      <c r="I40">
        <f t="shared" si="6"/>
        <v>67970336.703126252</v>
      </c>
      <c r="J40">
        <f t="shared" si="7"/>
        <v>2291.1092022491744</v>
      </c>
      <c r="K40">
        <f t="shared" si="8"/>
        <v>190.92576685409787</v>
      </c>
      <c r="N40">
        <f t="shared" si="9"/>
        <v>2286526.9838446756</v>
      </c>
      <c r="O40" s="3">
        <f t="shared" si="10"/>
        <v>4.1560434002461288E-2</v>
      </c>
    </row>
    <row r="41" spans="2:15" x14ac:dyDescent="0.25">
      <c r="B41" t="str">
        <f t="shared" si="0"/>
        <v>De 240 a 320</v>
      </c>
      <c r="C41" s="1">
        <f t="shared" si="1"/>
        <v>42226.189364599995</v>
      </c>
      <c r="D41" s="1">
        <f t="shared" si="2"/>
        <v>1538.46221754</v>
      </c>
      <c r="E41">
        <f t="shared" si="3"/>
        <v>13017</v>
      </c>
      <c r="F41" s="2">
        <f t="shared" si="4"/>
        <v>3.6433839773137522E-2</v>
      </c>
      <c r="G41" s="1">
        <f t="shared" si="5"/>
        <v>176252.43406009386</v>
      </c>
      <c r="I41">
        <f t="shared" si="6"/>
        <v>42310810.986573145</v>
      </c>
      <c r="J41">
        <f t="shared" si="7"/>
        <v>3250.4272095393057</v>
      </c>
      <c r="K41">
        <f t="shared" si="8"/>
        <v>270.8689341282755</v>
      </c>
      <c r="N41">
        <f t="shared" si="9"/>
        <v>3243926.3551202272</v>
      </c>
      <c r="O41" s="3">
        <f t="shared" si="10"/>
        <v>3.6433839773137522E-2</v>
      </c>
    </row>
    <row r="42" spans="2:15" x14ac:dyDescent="0.25">
      <c r="B42" t="str">
        <f t="shared" si="0"/>
        <v>Mais de 320</v>
      </c>
      <c r="C42" s="1">
        <f t="shared" si="1"/>
        <v>405646.60400411993</v>
      </c>
      <c r="D42" s="1">
        <f t="shared" si="2"/>
        <v>6638.7220684499998</v>
      </c>
      <c r="E42">
        <f t="shared" si="3"/>
        <v>26162</v>
      </c>
      <c r="F42" s="2">
        <f t="shared" si="4"/>
        <v>1.6365777509091569E-2</v>
      </c>
      <c r="G42" s="1">
        <f t="shared" si="5"/>
        <v>1693171.9958579887</v>
      </c>
      <c r="I42">
        <f t="shared" si="6"/>
        <v>406459523.05022037</v>
      </c>
      <c r="J42">
        <f t="shared" si="7"/>
        <v>15536.255754537893</v>
      </c>
      <c r="K42">
        <f t="shared" si="8"/>
        <v>1294.6879795448244</v>
      </c>
      <c r="N42">
        <f t="shared" si="9"/>
        <v>15505183.243028818</v>
      </c>
      <c r="O42" s="3">
        <f t="shared" si="10"/>
        <v>1.6365777509091569E-2</v>
      </c>
    </row>
    <row r="43" spans="2:15" x14ac:dyDescent="0.25">
      <c r="B43" t="str">
        <f t="shared" si="0"/>
        <v xml:space="preserve">    Total</v>
      </c>
      <c r="C43" s="1">
        <f t="shared" si="1"/>
        <v>3311414.9924314204</v>
      </c>
      <c r="D43" s="1">
        <f t="shared" si="2"/>
        <v>194825.90857838996</v>
      </c>
      <c r="E43">
        <f t="shared" si="3"/>
        <v>30498517</v>
      </c>
      <c r="F43" s="2">
        <f>+D43/C43</f>
        <v>5.8834639881647159E-2</v>
      </c>
      <c r="G43" s="1">
        <f t="shared" si="5"/>
        <v>13821871.245820241</v>
      </c>
      <c r="I43">
        <f t="shared" si="6"/>
        <v>3318051094.6206617</v>
      </c>
      <c r="J43">
        <f t="shared" si="7"/>
        <v>108.79385035740137</v>
      </c>
      <c r="K43">
        <f t="shared" si="8"/>
        <v>9.066154196450114</v>
      </c>
      <c r="N43">
        <f t="shared" si="9"/>
        <v>108576.26265668657</v>
      </c>
      <c r="O43" s="3">
        <f>+F43</f>
        <v>5.8834639881647159E-2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40B4-A6A3-42E8-8C6E-878365E8AB56}">
  <dimension ref="B2:AO43"/>
  <sheetViews>
    <sheetView tabSelected="1" topLeftCell="A13" workbookViewId="0">
      <selection activeCell="B25" sqref="B25:O43"/>
    </sheetView>
  </sheetViews>
  <sheetFormatPr baseColWidth="10" defaultRowHeight="15" x14ac:dyDescent="0.25"/>
  <sheetData>
    <row r="2" spans="2:41" x14ac:dyDescent="0.25">
      <c r="B2" t="str">
        <f>+'[14]Tab9_Fx Rend Total'!C8</f>
        <v>Tabela 9 - Resumo das Declarações Por Faixa de Rendimentos Totais (em salários-mínimos)</v>
      </c>
      <c r="C2">
        <f>+'[14]Tab9_Fx Rend Total'!D8</f>
        <v>0</v>
      </c>
      <c r="D2">
        <f>+'[14]Tab9_Fx Rend Total'!E8</f>
        <v>0</v>
      </c>
      <c r="E2">
        <f>+'[14]Tab9_Fx Rend Total'!F8</f>
        <v>0</v>
      </c>
      <c r="F2">
        <f>+'[14]Tab9_Fx Rend Total'!G8</f>
        <v>0</v>
      </c>
      <c r="G2">
        <f>+'[14]Tab9_Fx Rend Total'!H8</f>
        <v>0</v>
      </c>
      <c r="H2">
        <f>+'[14]Tab9_Fx Rend Total'!I8</f>
        <v>0</v>
      </c>
      <c r="I2">
        <f>+'[14]Tab9_Fx Rend Total'!J8</f>
        <v>0</v>
      </c>
      <c r="J2">
        <f>+'[14]Tab9_Fx Rend Total'!K8</f>
        <v>0</v>
      </c>
      <c r="K2">
        <f>+'[14]Tab9_Fx Rend Total'!L8</f>
        <v>0</v>
      </c>
      <c r="L2">
        <f>+'[14]Tab9_Fx Rend Total'!M8</f>
        <v>0</v>
      </c>
      <c r="M2">
        <f>+'[14]Tab9_Fx Rend Total'!N8</f>
        <v>0</v>
      </c>
      <c r="N2">
        <f>+'[14]Tab9_Fx Rend Total'!O8</f>
        <v>0</v>
      </c>
      <c r="O2">
        <f>+'[14]Tab9_Fx Rend Total'!P8</f>
        <v>0</v>
      </c>
      <c r="P2">
        <f>+'[14]Tab9_Fx Rend Total'!Q8</f>
        <v>0</v>
      </c>
      <c r="Q2">
        <f>+'[14]Tab9_Fx Rend Total'!R8</f>
        <v>0</v>
      </c>
      <c r="R2">
        <f>+'[14]Tab9_Fx Rend Total'!S8</f>
        <v>0</v>
      </c>
      <c r="S2">
        <f>+'[14]Tab9_Fx Rend Total'!T8</f>
        <v>0</v>
      </c>
      <c r="T2">
        <f>+'[14]Tab9_Fx Rend Total'!U8</f>
        <v>0</v>
      </c>
      <c r="U2">
        <f>+'[14]Tab9_Fx Rend Total'!V8</f>
        <v>0</v>
      </c>
      <c r="V2">
        <f>+'[14]Tab9_Fx Rend Total'!W8</f>
        <v>0</v>
      </c>
      <c r="W2">
        <f>+'[14]Tab9_Fx Rend Total'!X8</f>
        <v>0</v>
      </c>
      <c r="X2">
        <f>+'[14]Tab9_Fx Rend Total'!Y8</f>
        <v>0</v>
      </c>
      <c r="Y2">
        <f>+'[14]Tab9_Fx Rend Total'!Z8</f>
        <v>0</v>
      </c>
      <c r="Z2">
        <f>+'[14]Tab9_Fx Rend Total'!AA8</f>
        <v>0</v>
      </c>
      <c r="AA2">
        <f>+'[14]Tab9_Fx Rend Total'!AB8</f>
        <v>0</v>
      </c>
      <c r="AB2">
        <f>+'[14]Tab9_Fx Rend Total'!AC8</f>
        <v>0</v>
      </c>
      <c r="AC2">
        <f>+'[14]Tab9_Fx Rend Total'!AD8</f>
        <v>0</v>
      </c>
      <c r="AD2">
        <f>+'[14]Tab9_Fx Rend Total'!AE8</f>
        <v>0</v>
      </c>
      <c r="AE2">
        <f>+'[14]Tab9_Fx Rend Total'!AF8</f>
        <v>0</v>
      </c>
      <c r="AF2">
        <f>+'[14]Tab9_Fx Rend Total'!AG8</f>
        <v>0</v>
      </c>
      <c r="AG2">
        <f>+'[14]Tab9_Fx Rend Total'!AH8</f>
        <v>0</v>
      </c>
      <c r="AH2">
        <f>+'[14]Tab9_Fx Rend Total'!AI8</f>
        <v>0</v>
      </c>
      <c r="AI2">
        <f>+'[14]Tab9_Fx Rend Total'!AJ8</f>
        <v>0</v>
      </c>
      <c r="AJ2">
        <f>+'[14]Tab9_Fx Rend Total'!AK8</f>
        <v>0</v>
      </c>
      <c r="AK2">
        <f>+'[14]Tab9_Fx Rend Total'!AL8</f>
        <v>0</v>
      </c>
      <c r="AL2">
        <f>+'[14]Tab9_Fx Rend Total'!AM8</f>
        <v>0</v>
      </c>
      <c r="AM2">
        <f>+'[14]Tab9_Fx Rend Total'!AN8</f>
        <v>0</v>
      </c>
      <c r="AN2">
        <f>+'[14]Tab9_Fx Rend Total'!AO8</f>
        <v>0</v>
      </c>
      <c r="AO2">
        <f>+'[14]Tab9_Fx Rend Total'!AP8</f>
        <v>0</v>
      </c>
    </row>
    <row r="3" spans="2:41" x14ac:dyDescent="0.25">
      <c r="B3">
        <f>+'[14]Tab9_Fx Rend Total'!C9</f>
        <v>0</v>
      </c>
      <c r="C3">
        <f>+'[14]Tab9_Fx Rend Total'!D9</f>
        <v>0</v>
      </c>
      <c r="D3">
        <f>+'[14]Tab9_Fx Rend Total'!E9</f>
        <v>0</v>
      </c>
      <c r="E3">
        <f>+'[14]Tab9_Fx Rend Total'!F9</f>
        <v>0</v>
      </c>
      <c r="F3">
        <f>+'[14]Tab9_Fx Rend Total'!G9</f>
        <v>0</v>
      </c>
      <c r="G3">
        <f>+'[14]Tab9_Fx Rend Total'!H9</f>
        <v>0</v>
      </c>
      <c r="H3">
        <f>+'[14]Tab9_Fx Rend Total'!I9</f>
        <v>0</v>
      </c>
      <c r="I3">
        <f>+'[14]Tab9_Fx Rend Total'!J9</f>
        <v>0</v>
      </c>
      <c r="J3">
        <f>+'[14]Tab9_Fx Rend Total'!K9</f>
        <v>0</v>
      </c>
      <c r="K3">
        <f>+'[14]Tab9_Fx Rend Total'!L9</f>
        <v>0</v>
      </c>
      <c r="L3">
        <f>+'[14]Tab9_Fx Rend Total'!M9</f>
        <v>0</v>
      </c>
      <c r="M3">
        <f>+'[14]Tab9_Fx Rend Total'!N9</f>
        <v>0</v>
      </c>
      <c r="N3">
        <f>+'[14]Tab9_Fx Rend Total'!O9</f>
        <v>0</v>
      </c>
      <c r="O3">
        <f>+'[14]Tab9_Fx Rend Total'!P9</f>
        <v>0</v>
      </c>
      <c r="P3">
        <f>+'[14]Tab9_Fx Rend Total'!Q9</f>
        <v>0</v>
      </c>
      <c r="Q3">
        <f>+'[14]Tab9_Fx Rend Total'!R9</f>
        <v>0</v>
      </c>
      <c r="R3">
        <f>+'[14]Tab9_Fx Rend Total'!S9</f>
        <v>0</v>
      </c>
      <c r="S3">
        <f>+'[14]Tab9_Fx Rend Total'!T9</f>
        <v>0</v>
      </c>
      <c r="T3">
        <f>+'[14]Tab9_Fx Rend Total'!U9</f>
        <v>0</v>
      </c>
      <c r="U3">
        <f>+'[14]Tab9_Fx Rend Total'!V9</f>
        <v>0</v>
      </c>
      <c r="V3">
        <f>+'[14]Tab9_Fx Rend Total'!W9</f>
        <v>0</v>
      </c>
      <c r="W3">
        <f>+'[14]Tab9_Fx Rend Total'!X9</f>
        <v>0</v>
      </c>
      <c r="X3">
        <f>+'[14]Tab9_Fx Rend Total'!Y9</f>
        <v>0</v>
      </c>
      <c r="Y3">
        <f>+'[14]Tab9_Fx Rend Total'!Z9</f>
        <v>0</v>
      </c>
      <c r="Z3">
        <f>+'[14]Tab9_Fx Rend Total'!AA9</f>
        <v>0</v>
      </c>
      <c r="AA3">
        <f>+'[14]Tab9_Fx Rend Total'!AB9</f>
        <v>0</v>
      </c>
      <c r="AB3">
        <f>+'[14]Tab9_Fx Rend Total'!AC9</f>
        <v>0</v>
      </c>
      <c r="AC3">
        <f>+'[14]Tab9_Fx Rend Total'!AD9</f>
        <v>0</v>
      </c>
      <c r="AD3">
        <f>+'[14]Tab9_Fx Rend Total'!AE9</f>
        <v>0</v>
      </c>
      <c r="AE3">
        <f>+'[14]Tab9_Fx Rend Total'!AF9</f>
        <v>0</v>
      </c>
      <c r="AF3">
        <f>+'[14]Tab9_Fx Rend Total'!AG9</f>
        <v>0</v>
      </c>
      <c r="AG3">
        <f>+'[14]Tab9_Fx Rend Total'!AH9</f>
        <v>0</v>
      </c>
      <c r="AH3">
        <f>+'[14]Tab9_Fx Rend Total'!AI9</f>
        <v>0</v>
      </c>
      <c r="AI3">
        <f>+'[14]Tab9_Fx Rend Total'!AJ9</f>
        <v>0</v>
      </c>
      <c r="AJ3">
        <f>+'[14]Tab9_Fx Rend Total'!AK9</f>
        <v>0</v>
      </c>
      <c r="AK3">
        <f>+'[14]Tab9_Fx Rend Total'!AL9</f>
        <v>0</v>
      </c>
      <c r="AL3">
        <f>+'[14]Tab9_Fx Rend Total'!AM9</f>
        <v>0</v>
      </c>
      <c r="AM3">
        <f>+'[14]Tab9_Fx Rend Total'!AN9</f>
        <v>0</v>
      </c>
      <c r="AN3">
        <f>+'[14]Tab9_Fx Rend Total'!AO9</f>
        <v>0</v>
      </c>
      <c r="AO3" t="str">
        <f>+'[14]Tab9_Fx Rend Total'!AP9</f>
        <v>Valores em R$ milhões</v>
      </c>
    </row>
    <row r="4" spans="2:41" x14ac:dyDescent="0.25">
      <c r="B4" t="str">
        <f>+'[14]Tab9_Fx Rend Total'!C10</f>
        <v>Faixa SM Mensal</v>
      </c>
      <c r="C4" t="str">
        <f>+'[14]Tab9_Fx Rend Total'!D10</f>
        <v>Qtde Declarantes</v>
      </c>
      <c r="D4" t="str">
        <f>+'[14]Tab9_Fx Rend Total'!E10</f>
        <v>Rendim. Tribut.</v>
      </c>
      <c r="E4" t="str">
        <f>+'[14]Tab9_Fx Rend Total'!F10</f>
        <v>Rendim. Tribut. Exclus.</v>
      </c>
      <c r="F4" t="str">
        <f>+'[14]Tab9_Fx Rend Total'!G10</f>
        <v>Rendim. Isentos</v>
      </c>
      <c r="G4" t="str">
        <f>+'[14]Tab9_Fx Rend Total'!H10</f>
        <v>Deduções</v>
      </c>
      <c r="H4">
        <f>+'[14]Tab9_Fx Rend Total'!I10</f>
        <v>0</v>
      </c>
      <c r="I4">
        <f>+'[14]Tab9_Fx Rend Total'!J10</f>
        <v>0</v>
      </c>
      <c r="J4">
        <f>+'[14]Tab9_Fx Rend Total'!K10</f>
        <v>0</v>
      </c>
      <c r="K4">
        <f>+'[14]Tab9_Fx Rend Total'!L10</f>
        <v>0</v>
      </c>
      <c r="L4">
        <f>+'[14]Tab9_Fx Rend Total'!M10</f>
        <v>0</v>
      </c>
      <c r="M4">
        <f>+'[14]Tab9_Fx Rend Total'!N10</f>
        <v>0</v>
      </c>
      <c r="N4">
        <f>+'[14]Tab9_Fx Rend Total'!O10</f>
        <v>0</v>
      </c>
      <c r="O4">
        <f>+'[14]Tab9_Fx Rend Total'!P10</f>
        <v>0</v>
      </c>
      <c r="P4">
        <f>+'[14]Tab9_Fx Rend Total'!Q10</f>
        <v>0</v>
      </c>
      <c r="Q4">
        <f>+'[14]Tab9_Fx Rend Total'!R10</f>
        <v>0</v>
      </c>
      <c r="R4" t="str">
        <f>+'[14]Tab9_Fx Rend Total'!S10</f>
        <v>Base de Cálculo (RTL)</v>
      </c>
      <c r="S4" t="str">
        <f>+'[14]Tab9_Fx Rend Total'!T10</f>
        <v>Imposto Devido</v>
      </c>
      <c r="T4" t="str">
        <f>+'[14]Tab9_Fx Rend Total'!U10</f>
        <v>Dedução de Incentivo</v>
      </c>
      <c r="U4" t="str">
        <f>+'[14]Tab9_Fx Rend Total'!V10</f>
        <v>Imposto Devido 1</v>
      </c>
      <c r="V4" t="str">
        <f>+'[14]Tab9_Fx Rend Total'!W10</f>
        <v>Imposto Devido RRA</v>
      </c>
      <c r="W4" t="str">
        <f>+'[14]Tab9_Fx Rend Total'!X10</f>
        <v>Imposto Devido Total</v>
      </c>
      <c r="X4" t="str">
        <f>+'[14]Tab9_Fx Rend Total'!Y10</f>
        <v>Imposto Pago</v>
      </c>
      <c r="Y4" t="str">
        <f>+'[14]Tab9_Fx Rend Total'!Z10</f>
        <v>Imposto a Pagar</v>
      </c>
      <c r="Z4" t="str">
        <f>+'[14]Tab9_Fx Rend Total'!AA10</f>
        <v>Imposto a Restituir</v>
      </c>
      <c r="AA4" t="str">
        <f>+'[14]Tab9_Fx Rend Total'!AB10</f>
        <v>Dívidas   e Ônus</v>
      </c>
      <c r="AB4" t="str">
        <f>+'[14]Tab9_Fx Rend Total'!AC10</f>
        <v>Doações e Heranças Recebidos</v>
      </c>
      <c r="AC4" t="str">
        <f>+'[14]Tab9_Fx Rend Total'!AD10</f>
        <v>Bens e Direitos</v>
      </c>
      <c r="AD4" t="str">
        <f>+'[14]Tab9_Fx Rend Total'!AE10</f>
        <v>Previd. Comp. (VGBL)</v>
      </c>
      <c r="AE4" t="str">
        <f>+'[14]Tab9_Fx Rend Total'!AF10</f>
        <v>Valores Pagos</v>
      </c>
      <c r="AF4">
        <f>+'[14]Tab9_Fx Rend Total'!AG10</f>
        <v>0</v>
      </c>
      <c r="AG4">
        <f>+'[14]Tab9_Fx Rend Total'!AH10</f>
        <v>0</v>
      </c>
      <c r="AH4">
        <f>+'[14]Tab9_Fx Rend Total'!AI10</f>
        <v>0</v>
      </c>
      <c r="AI4">
        <f>+'[14]Tab9_Fx Rend Total'!AJ10</f>
        <v>0</v>
      </c>
      <c r="AJ4">
        <f>+'[14]Tab9_Fx Rend Total'!AK10</f>
        <v>0</v>
      </c>
      <c r="AK4">
        <f>+'[14]Tab9_Fx Rend Total'!AL10</f>
        <v>0</v>
      </c>
      <c r="AL4">
        <f>+'[14]Tab9_Fx Rend Total'!AM10</f>
        <v>0</v>
      </c>
      <c r="AM4">
        <f>+'[14]Tab9_Fx Rend Total'!AN10</f>
        <v>0</v>
      </c>
      <c r="AN4">
        <f>+'[14]Tab9_Fx Rend Total'!AO10</f>
        <v>0</v>
      </c>
      <c r="AO4" t="str">
        <f>+'[14]Tab9_Fx Rend Total'!AP10</f>
        <v>Doações Efetuadas</v>
      </c>
    </row>
    <row r="5" spans="2:41" x14ac:dyDescent="0.25">
      <c r="B5">
        <f>+'[14]Tab9_Fx Rend Total'!C11</f>
        <v>0</v>
      </c>
      <c r="C5">
        <f>+'[14]Tab9_Fx Rend Total'!D11</f>
        <v>0</v>
      </c>
      <c r="D5">
        <f>+'[14]Tab9_Fx Rend Total'!E11</f>
        <v>0</v>
      </c>
      <c r="E5">
        <f>+'[14]Tab9_Fx Rend Total'!F11</f>
        <v>0</v>
      </c>
      <c r="F5">
        <f>+'[14]Tab9_Fx Rend Total'!G11</f>
        <v>0</v>
      </c>
      <c r="G5" t="str">
        <f>+'[14]Tab9_Fx Rend Total'!H11</f>
        <v>Previd. Official</v>
      </c>
      <c r="H5" t="str">
        <f>+'[14]Tab9_Fx Rend Total'!I11</f>
        <v>Previd. RRA</v>
      </c>
      <c r="I5" t="str">
        <f>+'[14]Tab9_Fx Rend Total'!J11</f>
        <v>Previd. Privada e FAPI</v>
      </c>
      <c r="J5" t="str">
        <f>+'[14]Tab9_Fx Rend Total'!K11</f>
        <v>Dependentes</v>
      </c>
      <c r="K5" t="str">
        <f>+'[14]Tab9_Fx Rend Total'!L11</f>
        <v>Instrução</v>
      </c>
      <c r="L5" t="str">
        <f>+'[14]Tab9_Fx Rend Total'!M11</f>
        <v>Médicas</v>
      </c>
      <c r="M5" t="str">
        <f>+'[14]Tab9_Fx Rend Total'!N11</f>
        <v>Livro Caixa</v>
      </c>
      <c r="N5" t="str">
        <f>+'[14]Tab9_Fx Rend Total'!O11</f>
        <v>Pensão Aliment. Judicial</v>
      </c>
      <c r="O5" t="str">
        <f>+'[14]Tab9_Fx Rend Total'!P11</f>
        <v>Pensão Aliment. Escritura</v>
      </c>
      <c r="P5" t="str">
        <f>+'[14]Tab9_Fx Rend Total'!Q11</f>
        <v>Pensão Aliment. RRA</v>
      </c>
      <c r="Q5" t="str">
        <f>+'[14]Tab9_Fx Rend Total'!R11</f>
        <v>Desconto Padrão</v>
      </c>
      <c r="R5">
        <f>+'[14]Tab9_Fx Rend Total'!S11</f>
        <v>0</v>
      </c>
      <c r="S5">
        <f>+'[14]Tab9_Fx Rend Total'!T11</f>
        <v>0</v>
      </c>
      <c r="T5">
        <f>+'[14]Tab9_Fx Rend Total'!U11</f>
        <v>0</v>
      </c>
      <c r="U5">
        <f>+'[14]Tab9_Fx Rend Total'!V11</f>
        <v>0</v>
      </c>
      <c r="V5">
        <f>+'[14]Tab9_Fx Rend Total'!W11</f>
        <v>0</v>
      </c>
      <c r="W5">
        <f>+'[14]Tab9_Fx Rend Total'!X11</f>
        <v>0</v>
      </c>
      <c r="X5">
        <f>+'[14]Tab9_Fx Rend Total'!Y11</f>
        <v>0</v>
      </c>
      <c r="Y5">
        <f>+'[14]Tab9_Fx Rend Total'!Z11</f>
        <v>0</v>
      </c>
      <c r="Z5">
        <f>+'[14]Tab9_Fx Rend Total'!AA11</f>
        <v>0</v>
      </c>
      <c r="AA5">
        <f>+'[14]Tab9_Fx Rend Total'!AB11</f>
        <v>0</v>
      </c>
      <c r="AB5">
        <f>+'[14]Tab9_Fx Rend Total'!AC11</f>
        <v>0</v>
      </c>
      <c r="AC5">
        <f>+'[14]Tab9_Fx Rend Total'!AD11</f>
        <v>0</v>
      </c>
      <c r="AD5">
        <f>+'[14]Tab9_Fx Rend Total'!AE11</f>
        <v>0</v>
      </c>
      <c r="AE5" t="str">
        <f>+'[14]Tab9_Fx Rend Total'!AF11</f>
        <v>Previd. Comp. (PGBL)</v>
      </c>
      <c r="AF5" t="str">
        <f>+'[14]Tab9_Fx Rend Total'!AG11</f>
        <v>Previd. Comp. Nat. Púb.</v>
      </c>
      <c r="AG5" t="str">
        <f>+'[14]Tab9_Fx Rend Total'!AH11</f>
        <v>FAPI</v>
      </c>
      <c r="AH5" t="str">
        <f>+'[14]Tab9_Fx Rend Total'!AI11</f>
        <v>Despesas com Instrução</v>
      </c>
      <c r="AI5" t="str">
        <f>+'[14]Tab9_Fx Rend Total'!AJ11</f>
        <v>Despesas Médicas</v>
      </c>
      <c r="AJ5" t="str">
        <f>+'[14]Tab9_Fx Rend Total'!AK11</f>
        <v>Pensão Alim. Judicial</v>
      </c>
      <c r="AK5" t="str">
        <f>+'[14]Tab9_Fx Rend Total'!AL11</f>
        <v>Pensão Alim. Escritura</v>
      </c>
      <c r="AL5" t="str">
        <f>+'[14]Tab9_Fx Rend Total'!AM11</f>
        <v>Profissional Liberal</v>
      </c>
      <c r="AM5" t="str">
        <f>+'[14]Tab9_Fx Rend Total'!AN11</f>
        <v>Arrendam. Rural</v>
      </c>
      <c r="AN5" t="str">
        <f>+'[14]Tab9_Fx Rend Total'!AO11</f>
        <v>Outros</v>
      </c>
      <c r="AO5">
        <f>+'[14]Tab9_Fx Rend Total'!AP11</f>
        <v>0</v>
      </c>
    </row>
    <row r="6" spans="2:41" x14ac:dyDescent="0.25">
      <c r="B6" t="str">
        <f>+'[14]Tab9_Fx Rend Total'!C12</f>
        <v>Até 1/2</v>
      </c>
      <c r="C6">
        <f>+'[14]Tab9_Fx Rend Total'!D12</f>
        <v>1604246</v>
      </c>
      <c r="D6">
        <f>+'[14]Tab9_Fx Rend Total'!E12</f>
        <v>1110.77497397</v>
      </c>
      <c r="E6">
        <f>+'[14]Tab9_Fx Rend Total'!F12</f>
        <v>146.77423456</v>
      </c>
      <c r="F6">
        <f>+'[14]Tab9_Fx Rend Total'!G12</f>
        <v>263.61686580999998</v>
      </c>
      <c r="G6">
        <f>+'[14]Tab9_Fx Rend Total'!H12</f>
        <v>15.07220961</v>
      </c>
      <c r="H6">
        <f>+'[14]Tab9_Fx Rend Total'!I12</f>
        <v>4.8585550000000005E-2</v>
      </c>
      <c r="I6">
        <f>+'[14]Tab9_Fx Rend Total'!J12</f>
        <v>0.25146246999999999</v>
      </c>
      <c r="J6">
        <f>+'[14]Tab9_Fx Rend Total'!K12</f>
        <v>48.311411460000002</v>
      </c>
      <c r="K6">
        <f>+'[14]Tab9_Fx Rend Total'!L12</f>
        <v>5.8748912400000002</v>
      </c>
      <c r="L6">
        <f>+'[14]Tab9_Fx Rend Total'!M12</f>
        <v>17.849317469999999</v>
      </c>
      <c r="M6">
        <f>+'[14]Tab9_Fx Rend Total'!N12</f>
        <v>0.29453648999999998</v>
      </c>
      <c r="N6">
        <f>+'[14]Tab9_Fx Rend Total'!O12</f>
        <v>1.8493940800000002</v>
      </c>
      <c r="O6">
        <f>+'[14]Tab9_Fx Rend Total'!P12</f>
        <v>0.25610687999999998</v>
      </c>
      <c r="P6">
        <f>+'[14]Tab9_Fx Rend Total'!Q12</f>
        <v>1.0940500000000001E-2</v>
      </c>
      <c r="Q6">
        <f>+'[14]Tab9_Fx Rend Total'!R12</f>
        <v>122.28963369</v>
      </c>
      <c r="R6">
        <f>+'[14]Tab9_Fx Rend Total'!S12</f>
        <v>898.66648452999993</v>
      </c>
      <c r="S6">
        <f>+'[14]Tab9_Fx Rend Total'!T12</f>
        <v>2.1484200000000002E-2</v>
      </c>
      <c r="T6">
        <f>+'[14]Tab9_Fx Rend Total'!U12</f>
        <v>0</v>
      </c>
      <c r="U6">
        <f>+'[14]Tab9_Fx Rend Total'!V12</f>
        <v>2.1484200000000002E-2</v>
      </c>
      <c r="V6">
        <f>+'[14]Tab9_Fx Rend Total'!W12</f>
        <v>6.6036599999999999E-3</v>
      </c>
      <c r="W6">
        <f>+'[14]Tab9_Fx Rend Total'!X12</f>
        <v>2.66103E-2</v>
      </c>
      <c r="X6">
        <f>+'[14]Tab9_Fx Rend Total'!Y12</f>
        <v>20.347569420000003</v>
      </c>
      <c r="Y6">
        <f>+'[14]Tab9_Fx Rend Total'!Z12</f>
        <v>1.3545079999999999E-2</v>
      </c>
      <c r="Z6">
        <f>+'[14]Tab9_Fx Rend Total'!AA12</f>
        <v>20.74640608</v>
      </c>
      <c r="AA6">
        <f>+'[14]Tab9_Fx Rend Total'!AB12</f>
        <v>25987.996920759997</v>
      </c>
      <c r="AB6">
        <f>+'[14]Tab9_Fx Rend Total'!AC12</f>
        <v>2.5085879900000001</v>
      </c>
      <c r="AC6">
        <f>+'[14]Tab9_Fx Rend Total'!AD12</f>
        <v>311655.59086025</v>
      </c>
      <c r="AD6">
        <f>+'[14]Tab9_Fx Rend Total'!AE12</f>
        <v>532.24307479000004</v>
      </c>
      <c r="AE6">
        <f>+'[14]Tab9_Fx Rend Total'!AF12</f>
        <v>20.758675149999998</v>
      </c>
      <c r="AF6">
        <f>+'[14]Tab9_Fx Rend Total'!AG12</f>
        <v>0.36962834</v>
      </c>
      <c r="AG6">
        <f>+'[14]Tab9_Fx Rend Total'!AH12</f>
        <v>3.0430595199999999</v>
      </c>
      <c r="AH6">
        <f>+'[14]Tab9_Fx Rend Total'!AI12</f>
        <v>206.39956438999999</v>
      </c>
      <c r="AI6">
        <f>+'[14]Tab9_Fx Rend Total'!AJ12</f>
        <v>434.51243168999997</v>
      </c>
      <c r="AJ6">
        <f>+'[14]Tab9_Fx Rend Total'!AK12</f>
        <v>54.387009540000001</v>
      </c>
      <c r="AK6">
        <f>+'[14]Tab9_Fx Rend Total'!AL12</f>
        <v>8.7024127699999987</v>
      </c>
      <c r="AL6">
        <f>+'[14]Tab9_Fx Rend Total'!AM12</f>
        <v>48.134902150000002</v>
      </c>
      <c r="AM6">
        <f>+'[14]Tab9_Fx Rend Total'!AN12</f>
        <v>23.47134763</v>
      </c>
      <c r="AN6">
        <f>+'[14]Tab9_Fx Rend Total'!AO12</f>
        <v>266.63828744</v>
      </c>
      <c r="AO6">
        <f>+'[14]Tab9_Fx Rend Total'!AP12</f>
        <v>957.10717825999996</v>
      </c>
    </row>
    <row r="7" spans="2:41" x14ac:dyDescent="0.25">
      <c r="B7" t="str">
        <f>+'[14]Tab9_Fx Rend Total'!C13</f>
        <v>De 1/2 a 1</v>
      </c>
      <c r="C7">
        <f>+'[14]Tab9_Fx Rend Total'!D13</f>
        <v>578381</v>
      </c>
      <c r="D7">
        <f>+'[14]Tab9_Fx Rend Total'!E13</f>
        <v>4975.5948829600002</v>
      </c>
      <c r="E7">
        <f>+'[14]Tab9_Fx Rend Total'!F13</f>
        <v>242.5130408</v>
      </c>
      <c r="F7">
        <f>+'[14]Tab9_Fx Rend Total'!G13</f>
        <v>699.00018708000005</v>
      </c>
      <c r="G7">
        <f>+'[14]Tab9_Fx Rend Total'!H13</f>
        <v>92.233408680000011</v>
      </c>
      <c r="H7">
        <f>+'[14]Tab9_Fx Rend Total'!I13</f>
        <v>9.8389600000000008E-2</v>
      </c>
      <c r="I7">
        <f>+'[14]Tab9_Fx Rend Total'!J13</f>
        <v>0.87959087999999996</v>
      </c>
      <c r="J7">
        <f>+'[14]Tab9_Fx Rend Total'!K13</f>
        <v>117.42367045</v>
      </c>
      <c r="K7">
        <f>+'[14]Tab9_Fx Rend Total'!L13</f>
        <v>20.422010100000001</v>
      </c>
      <c r="L7">
        <f>+'[14]Tab9_Fx Rend Total'!M13</f>
        <v>62.778558029999999</v>
      </c>
      <c r="M7">
        <f>+'[14]Tab9_Fx Rend Total'!N13</f>
        <v>1.84314318</v>
      </c>
      <c r="N7">
        <f>+'[14]Tab9_Fx Rend Total'!O13</f>
        <v>6.4467765799999999</v>
      </c>
      <c r="O7">
        <f>+'[14]Tab9_Fx Rend Total'!P13</f>
        <v>0.81850017000000008</v>
      </c>
      <c r="P7">
        <f>+'[14]Tab9_Fx Rend Total'!Q13</f>
        <v>6.2551709999999996E-2</v>
      </c>
      <c r="Q7">
        <f>+'[14]Tab9_Fx Rend Total'!R13</f>
        <v>647.36103803999993</v>
      </c>
      <c r="R7">
        <f>+'[14]Tab9_Fx Rend Total'!S13</f>
        <v>4025.2272455399998</v>
      </c>
      <c r="S7">
        <f>+'[14]Tab9_Fx Rend Total'!T13</f>
        <v>0.14860842999999999</v>
      </c>
      <c r="T7">
        <f>+'[14]Tab9_Fx Rend Total'!U13</f>
        <v>4.8539999999999999E-5</v>
      </c>
      <c r="U7">
        <f>+'[14]Tab9_Fx Rend Total'!V13</f>
        <v>0.14855989000000003</v>
      </c>
      <c r="V7">
        <f>+'[14]Tab9_Fx Rend Total'!W13</f>
        <v>2.2827549999999999E-2</v>
      </c>
      <c r="W7">
        <f>+'[14]Tab9_Fx Rend Total'!X13</f>
        <v>0.17138744</v>
      </c>
      <c r="X7">
        <f>+'[14]Tab9_Fx Rend Total'!Y13</f>
        <v>32.20574912</v>
      </c>
      <c r="Y7">
        <f>+'[14]Tab9_Fx Rend Total'!Z13</f>
        <v>8.1174339999999998E-2</v>
      </c>
      <c r="Z7">
        <f>+'[14]Tab9_Fx Rend Total'!AA13</f>
        <v>32.272003050000002</v>
      </c>
      <c r="AA7">
        <f>+'[14]Tab9_Fx Rend Total'!AB13</f>
        <v>6668.2015802100004</v>
      </c>
      <c r="AB7">
        <f>+'[14]Tab9_Fx Rend Total'!AC13</f>
        <v>12.7630477</v>
      </c>
      <c r="AC7">
        <f>+'[14]Tab9_Fx Rend Total'!AD13</f>
        <v>67171.871526610004</v>
      </c>
      <c r="AD7">
        <f>+'[14]Tab9_Fx Rend Total'!AE13</f>
        <v>343.39847205000001</v>
      </c>
      <c r="AE7">
        <f>+'[14]Tab9_Fx Rend Total'!AF13</f>
        <v>17.39022241</v>
      </c>
      <c r="AF7">
        <f>+'[14]Tab9_Fx Rend Total'!AG13</f>
        <v>0.18459982</v>
      </c>
      <c r="AG7">
        <f>+'[14]Tab9_Fx Rend Total'!AH13</f>
        <v>1.82662082</v>
      </c>
      <c r="AH7">
        <f>+'[14]Tab9_Fx Rend Total'!AI13</f>
        <v>121.86357595999999</v>
      </c>
      <c r="AI7">
        <f>+'[14]Tab9_Fx Rend Total'!AJ13</f>
        <v>250.18859368</v>
      </c>
      <c r="AJ7">
        <f>+'[14]Tab9_Fx Rend Total'!AK13</f>
        <v>21.000373449999998</v>
      </c>
      <c r="AK7">
        <f>+'[14]Tab9_Fx Rend Total'!AL13</f>
        <v>4.9680201900000007</v>
      </c>
      <c r="AL7">
        <f>+'[14]Tab9_Fx Rend Total'!AM13</f>
        <v>19.934395670000001</v>
      </c>
      <c r="AM7">
        <f>+'[14]Tab9_Fx Rend Total'!AN13</f>
        <v>6.9015199999999997</v>
      </c>
      <c r="AN7">
        <f>+'[14]Tab9_Fx Rend Total'!AO13</f>
        <v>101.26937604000001</v>
      </c>
      <c r="AO7">
        <f>+'[14]Tab9_Fx Rend Total'!AP13</f>
        <v>184.88172114</v>
      </c>
    </row>
    <row r="8" spans="2:41" x14ac:dyDescent="0.25">
      <c r="B8" t="str">
        <f>+'[14]Tab9_Fx Rend Total'!C14</f>
        <v>De 1 a 2</v>
      </c>
      <c r="C8">
        <f>+'[14]Tab9_Fx Rend Total'!D14</f>
        <v>2755245</v>
      </c>
      <c r="D8">
        <f>+'[14]Tab9_Fx Rend Total'!E14</f>
        <v>43655.424515639999</v>
      </c>
      <c r="E8">
        <f>+'[14]Tab9_Fx Rend Total'!F14</f>
        <v>1623.4888108099999</v>
      </c>
      <c r="F8">
        <f>+'[14]Tab9_Fx Rend Total'!G14</f>
        <v>6499.0151713499999</v>
      </c>
      <c r="G8">
        <f>+'[14]Tab9_Fx Rend Total'!H14</f>
        <v>683.44687082000007</v>
      </c>
      <c r="H8">
        <f>+'[14]Tab9_Fx Rend Total'!I14</f>
        <v>0.92858958999999996</v>
      </c>
      <c r="I8">
        <f>+'[14]Tab9_Fx Rend Total'!J14</f>
        <v>7.6617949100000002</v>
      </c>
      <c r="J8">
        <f>+'[14]Tab9_Fx Rend Total'!K14</f>
        <v>568.83253790999993</v>
      </c>
      <c r="K8">
        <f>+'[14]Tab9_Fx Rend Total'!L14</f>
        <v>135.68712166</v>
      </c>
      <c r="L8">
        <f>+'[14]Tab9_Fx Rend Total'!M14</f>
        <v>493.98937595999996</v>
      </c>
      <c r="M8">
        <f>+'[14]Tab9_Fx Rend Total'!N14</f>
        <v>20.758013120000001</v>
      </c>
      <c r="N8">
        <f>+'[14]Tab9_Fx Rend Total'!O14</f>
        <v>47.38649607</v>
      </c>
      <c r="O8">
        <f>+'[14]Tab9_Fx Rend Total'!P14</f>
        <v>5.6789219800000001</v>
      </c>
      <c r="P8">
        <f>+'[14]Tab9_Fx Rend Total'!Q14</f>
        <v>0.31003802000000003</v>
      </c>
      <c r="Q8">
        <f>+'[14]Tab9_Fx Rend Total'!R14</f>
        <v>6052.02880568</v>
      </c>
      <c r="R8">
        <f>+'[14]Tab9_Fx Rend Total'!S14</f>
        <v>35638.72253159</v>
      </c>
      <c r="S8">
        <f>+'[14]Tab9_Fx Rend Total'!T14</f>
        <v>1.1349713100000001</v>
      </c>
      <c r="T8">
        <f>+'[14]Tab9_Fx Rend Total'!U14</f>
        <v>1.137E-5</v>
      </c>
      <c r="U8">
        <f>+'[14]Tab9_Fx Rend Total'!V14</f>
        <v>1.1349599399999999</v>
      </c>
      <c r="V8">
        <f>+'[14]Tab9_Fx Rend Total'!W14</f>
        <v>0.14765117000000003</v>
      </c>
      <c r="W8">
        <f>+'[14]Tab9_Fx Rend Total'!X14</f>
        <v>1.28073379</v>
      </c>
      <c r="X8">
        <f>+'[14]Tab9_Fx Rend Total'!Y14</f>
        <v>227.25857303000001</v>
      </c>
      <c r="Y8">
        <f>+'[14]Tab9_Fx Rend Total'!Z14</f>
        <v>0.61242453000000008</v>
      </c>
      <c r="Z8">
        <f>+'[14]Tab9_Fx Rend Total'!AA14</f>
        <v>228.80053015000001</v>
      </c>
      <c r="AA8">
        <f>+'[14]Tab9_Fx Rend Total'!AB14</f>
        <v>27284.28682044</v>
      </c>
      <c r="AB8">
        <f>+'[14]Tab9_Fx Rend Total'!AC14</f>
        <v>81.439045750000005</v>
      </c>
      <c r="AC8">
        <f>+'[14]Tab9_Fx Rend Total'!AD14</f>
        <v>327870.43809178</v>
      </c>
      <c r="AD8">
        <f>+'[14]Tab9_Fx Rend Total'!AE14</f>
        <v>1307.6387574300002</v>
      </c>
      <c r="AE8">
        <f>+'[14]Tab9_Fx Rend Total'!AF14</f>
        <v>41.4518111</v>
      </c>
      <c r="AF8">
        <f>+'[14]Tab9_Fx Rend Total'!AG14</f>
        <v>1.1606750800000001</v>
      </c>
      <c r="AG8">
        <f>+'[14]Tab9_Fx Rend Total'!AH14</f>
        <v>7.9021216299999999</v>
      </c>
      <c r="AH8">
        <f>+'[14]Tab9_Fx Rend Total'!AI14</f>
        <v>562.97411271999999</v>
      </c>
      <c r="AI8">
        <f>+'[14]Tab9_Fx Rend Total'!AJ14</f>
        <v>1374.62172844</v>
      </c>
      <c r="AJ8">
        <f>+'[14]Tab9_Fx Rend Total'!AK14</f>
        <v>108.12249245000001</v>
      </c>
      <c r="AK8">
        <f>+'[14]Tab9_Fx Rend Total'!AL14</f>
        <v>15.447186310000001</v>
      </c>
      <c r="AL8">
        <f>+'[14]Tab9_Fx Rend Total'!AM14</f>
        <v>92.49066388</v>
      </c>
      <c r="AM8">
        <f>+'[14]Tab9_Fx Rend Total'!AN14</f>
        <v>17.826619839999999</v>
      </c>
      <c r="AN8">
        <f>+'[14]Tab9_Fx Rend Total'!AO14</f>
        <v>327.77261576999996</v>
      </c>
      <c r="AO8">
        <f>+'[14]Tab9_Fx Rend Total'!AP14</f>
        <v>562.12300582</v>
      </c>
    </row>
    <row r="9" spans="2:41" x14ac:dyDescent="0.25">
      <c r="B9" t="str">
        <f>+'[14]Tab9_Fx Rend Total'!C15</f>
        <v>De 2 a 3</v>
      </c>
      <c r="C9">
        <f>+'[14]Tab9_Fx Rend Total'!D15</f>
        <v>5014845</v>
      </c>
      <c r="D9">
        <f>+'[14]Tab9_Fx Rend Total'!E15</f>
        <v>135856.8419383</v>
      </c>
      <c r="E9">
        <f>+'[14]Tab9_Fx Rend Total'!F15</f>
        <v>8796.72866144</v>
      </c>
      <c r="F9">
        <f>+'[14]Tab9_Fx Rend Total'!G15</f>
        <v>15271.23282388</v>
      </c>
      <c r="G9">
        <f>+'[14]Tab9_Fx Rend Total'!H15</f>
        <v>2722.8962199799998</v>
      </c>
      <c r="H9">
        <f>+'[14]Tab9_Fx Rend Total'!I15</f>
        <v>2.8367539500000003</v>
      </c>
      <c r="I9">
        <f>+'[14]Tab9_Fx Rend Total'!J15</f>
        <v>44.977363750000002</v>
      </c>
      <c r="J9">
        <f>+'[14]Tab9_Fx Rend Total'!K15</f>
        <v>2733.1896250599998</v>
      </c>
      <c r="K9">
        <f>+'[14]Tab9_Fx Rend Total'!L15</f>
        <v>842.87046622000003</v>
      </c>
      <c r="L9">
        <f>+'[14]Tab9_Fx Rend Total'!M15</f>
        <v>2750.4009322500001</v>
      </c>
      <c r="M9">
        <f>+'[14]Tab9_Fx Rend Total'!N15</f>
        <v>78.427039879999995</v>
      </c>
      <c r="N9">
        <f>+'[14]Tab9_Fx Rend Total'!O15</f>
        <v>387.75147539</v>
      </c>
      <c r="O9">
        <f>+'[14]Tab9_Fx Rend Total'!P15</f>
        <v>38.875913250000004</v>
      </c>
      <c r="P9">
        <f>+'[14]Tab9_Fx Rend Total'!Q15</f>
        <v>1.13423053</v>
      </c>
      <c r="Q9">
        <f>+'[14]Tab9_Fx Rend Total'!R15</f>
        <v>20422.765258610001</v>
      </c>
      <c r="R9">
        <f>+'[14]Tab9_Fx Rend Total'!S15</f>
        <v>105830.75958855</v>
      </c>
      <c r="S9">
        <f>+'[14]Tab9_Fx Rend Total'!T15</f>
        <v>404.80329429</v>
      </c>
      <c r="T9">
        <f>+'[14]Tab9_Fx Rend Total'!U15</f>
        <v>2.6614400000000002E-3</v>
      </c>
      <c r="U9">
        <f>+'[14]Tab9_Fx Rend Total'!V15</f>
        <v>404.80063285</v>
      </c>
      <c r="V9">
        <f>+'[14]Tab9_Fx Rend Total'!W15</f>
        <v>0.55236563999999999</v>
      </c>
      <c r="W9">
        <f>+'[14]Tab9_Fx Rend Total'!X15</f>
        <v>405.33879791000004</v>
      </c>
      <c r="X9">
        <f>+'[14]Tab9_Fx Rend Total'!Y15</f>
        <v>1434.3696356199998</v>
      </c>
      <c r="Y9">
        <f>+'[14]Tab9_Fx Rend Total'!Z15</f>
        <v>83.861809040000011</v>
      </c>
      <c r="Z9">
        <f>+'[14]Tab9_Fx Rend Total'!AA15</f>
        <v>1123.02389576</v>
      </c>
      <c r="AA9">
        <f>+'[14]Tab9_Fx Rend Total'!AB15</f>
        <v>42824.00892837</v>
      </c>
      <c r="AB9">
        <f>+'[14]Tab9_Fx Rend Total'!AC15</f>
        <v>181.21985941</v>
      </c>
      <c r="AC9">
        <f>+'[14]Tab9_Fx Rend Total'!AD15</f>
        <v>466055.49959850998</v>
      </c>
      <c r="AD9">
        <f>+'[14]Tab9_Fx Rend Total'!AE15</f>
        <v>2759.2128125700001</v>
      </c>
      <c r="AE9">
        <f>+'[14]Tab9_Fx Rend Total'!AF15</f>
        <v>92.786825459999989</v>
      </c>
      <c r="AF9">
        <f>+'[14]Tab9_Fx Rend Total'!AG15</f>
        <v>2.6444343900000002</v>
      </c>
      <c r="AG9">
        <f>+'[14]Tab9_Fx Rend Total'!AH15</f>
        <v>31.795222750000001</v>
      </c>
      <c r="AH9">
        <f>+'[14]Tab9_Fx Rend Total'!AI15</f>
        <v>2002.7515343699999</v>
      </c>
      <c r="AI9">
        <f>+'[14]Tab9_Fx Rend Total'!AJ15</f>
        <v>4701.3221815200004</v>
      </c>
      <c r="AJ9">
        <f>+'[14]Tab9_Fx Rend Total'!AK15</f>
        <v>486.52892086999998</v>
      </c>
      <c r="AK9">
        <f>+'[14]Tab9_Fx Rend Total'!AL15</f>
        <v>54.697664570000001</v>
      </c>
      <c r="AL9">
        <f>+'[14]Tab9_Fx Rend Total'!AM15</f>
        <v>172.01626568</v>
      </c>
      <c r="AM9">
        <f>+'[14]Tab9_Fx Rend Total'!AN15</f>
        <v>15.965701749999999</v>
      </c>
      <c r="AN9">
        <f>+'[14]Tab9_Fx Rend Total'!AO15</f>
        <v>726.34339416</v>
      </c>
      <c r="AO9">
        <f>+'[14]Tab9_Fx Rend Total'!AP15</f>
        <v>872.44594932000007</v>
      </c>
    </row>
    <row r="10" spans="2:41" x14ac:dyDescent="0.25">
      <c r="B10" t="str">
        <f>+'[14]Tab9_Fx Rend Total'!C16</f>
        <v>De 3 a 5</v>
      </c>
      <c r="C10">
        <f>+'[14]Tab9_Fx Rend Total'!D16</f>
        <v>8262962</v>
      </c>
      <c r="D10">
        <f>+'[14]Tab9_Fx Rend Total'!E16</f>
        <v>322633.21009325999</v>
      </c>
      <c r="E10">
        <f>+'[14]Tab9_Fx Rend Total'!F16</f>
        <v>26223.85182295</v>
      </c>
      <c r="F10">
        <f>+'[14]Tab9_Fx Rend Total'!G16</f>
        <v>54106.301708899999</v>
      </c>
      <c r="G10">
        <f>+'[14]Tab9_Fx Rend Total'!H16</f>
        <v>9728.0695077700002</v>
      </c>
      <c r="H10">
        <f>+'[14]Tab9_Fx Rend Total'!I16</f>
        <v>6.6708163899999997</v>
      </c>
      <c r="I10">
        <f>+'[14]Tab9_Fx Rend Total'!J16</f>
        <v>328.18669813999998</v>
      </c>
      <c r="J10">
        <f>+'[14]Tab9_Fx Rend Total'!K16</f>
        <v>7303.4393338199998</v>
      </c>
      <c r="K10">
        <f>+'[14]Tab9_Fx Rend Total'!L16</f>
        <v>3815.6316059800001</v>
      </c>
      <c r="L10">
        <f>+'[14]Tab9_Fx Rend Total'!M16</f>
        <v>12517.50934135</v>
      </c>
      <c r="M10">
        <f>+'[14]Tab9_Fx Rend Total'!N16</f>
        <v>411.38031741000003</v>
      </c>
      <c r="N10">
        <f>+'[14]Tab9_Fx Rend Total'!O16</f>
        <v>1640.2612478800002</v>
      </c>
      <c r="O10">
        <f>+'[14]Tab9_Fx Rend Total'!P16</f>
        <v>183.05336591999998</v>
      </c>
      <c r="P10">
        <f>+'[14]Tab9_Fx Rend Total'!Q16</f>
        <v>3.5570388199999998</v>
      </c>
      <c r="Q10">
        <f>+'[14]Tab9_Fx Rend Total'!R16</f>
        <v>42034.337487010001</v>
      </c>
      <c r="R10">
        <f>+'[14]Tab9_Fx Rend Total'!S16</f>
        <v>244661.20790862999</v>
      </c>
      <c r="S10">
        <f>+'[14]Tab9_Fx Rend Total'!T16</f>
        <v>6348.9201102299994</v>
      </c>
      <c r="T10">
        <f>+'[14]Tab9_Fx Rend Total'!U16</f>
        <v>0.43292342</v>
      </c>
      <c r="U10">
        <f>+'[14]Tab9_Fx Rend Total'!V16</f>
        <v>6348.4871868100008</v>
      </c>
      <c r="V10">
        <f>+'[14]Tab9_Fx Rend Total'!W16</f>
        <v>3.0182419500000002</v>
      </c>
      <c r="W10">
        <f>+'[14]Tab9_Fx Rend Total'!X16</f>
        <v>6351.4157561499997</v>
      </c>
      <c r="X10">
        <f>+'[14]Tab9_Fx Rend Total'!Y16</f>
        <v>9797.4123065599997</v>
      </c>
      <c r="Y10">
        <f>+'[14]Tab9_Fx Rend Total'!Z16</f>
        <v>1014.70001185</v>
      </c>
      <c r="Z10">
        <f>+'[14]Tab9_Fx Rend Total'!AA16</f>
        <v>4515.4770329100002</v>
      </c>
      <c r="AA10">
        <f>+'[14]Tab9_Fx Rend Total'!AB16</f>
        <v>82258.280022240011</v>
      </c>
      <c r="AB10">
        <f>+'[14]Tab9_Fx Rend Total'!AC16</f>
        <v>984.14254835999998</v>
      </c>
      <c r="AC10">
        <f>+'[14]Tab9_Fx Rend Total'!AD16</f>
        <v>894670.46787592</v>
      </c>
      <c r="AD10">
        <f>+'[14]Tab9_Fx Rend Total'!AE16</f>
        <v>4217.0116955800004</v>
      </c>
      <c r="AE10">
        <f>+'[14]Tab9_Fx Rend Total'!AF16</f>
        <v>384.01474635</v>
      </c>
      <c r="AF10">
        <f>+'[14]Tab9_Fx Rend Total'!AG16</f>
        <v>12.65212848</v>
      </c>
      <c r="AG10">
        <f>+'[14]Tab9_Fx Rend Total'!AH16</f>
        <v>178.74839878</v>
      </c>
      <c r="AH10">
        <f>+'[14]Tab9_Fx Rend Total'!AI16</f>
        <v>7526.8936683399997</v>
      </c>
      <c r="AI10">
        <f>+'[14]Tab9_Fx Rend Total'!AJ16</f>
        <v>17350.605059240002</v>
      </c>
      <c r="AJ10">
        <f>+'[14]Tab9_Fx Rend Total'!AK16</f>
        <v>1813.1017662899999</v>
      </c>
      <c r="AK10">
        <f>+'[14]Tab9_Fx Rend Total'!AL16</f>
        <v>207.01866953999999</v>
      </c>
      <c r="AL10">
        <f>+'[14]Tab9_Fx Rend Total'!AM16</f>
        <v>482.01747752</v>
      </c>
      <c r="AM10">
        <f>+'[14]Tab9_Fx Rend Total'!AN16</f>
        <v>29.997006429999999</v>
      </c>
      <c r="AN10">
        <f>+'[14]Tab9_Fx Rend Total'!AO16</f>
        <v>1991.2611279300002</v>
      </c>
      <c r="AO10">
        <f>+'[14]Tab9_Fx Rend Total'!AP16</f>
        <v>1783.8598951400002</v>
      </c>
    </row>
    <row r="11" spans="2:41" x14ac:dyDescent="0.25">
      <c r="B11" t="str">
        <f>+'[14]Tab9_Fx Rend Total'!C17</f>
        <v>De 5 a 7</v>
      </c>
      <c r="C11">
        <f>+'[14]Tab9_Fx Rend Total'!D17</f>
        <v>4316910</v>
      </c>
      <c r="D11">
        <f>+'[14]Tab9_Fx Rend Total'!E17</f>
        <v>245948.76226625001</v>
      </c>
      <c r="E11">
        <f>+'[14]Tab9_Fx Rend Total'!F17</f>
        <v>22023.013431040003</v>
      </c>
      <c r="F11">
        <f>+'[14]Tab9_Fx Rend Total'!G17</f>
        <v>50870.069533620001</v>
      </c>
      <c r="G11">
        <f>+'[14]Tab9_Fx Rend Total'!H17</f>
        <v>8461.3610601500004</v>
      </c>
      <c r="H11">
        <f>+'[14]Tab9_Fx Rend Total'!I17</f>
        <v>5.2662147599999996</v>
      </c>
      <c r="I11">
        <f>+'[14]Tab9_Fx Rend Total'!J17</f>
        <v>513.47105779000003</v>
      </c>
      <c r="J11">
        <f>+'[14]Tab9_Fx Rend Total'!K17</f>
        <v>4330.5372936700005</v>
      </c>
      <c r="K11">
        <f>+'[14]Tab9_Fx Rend Total'!L17</f>
        <v>3430.61426256</v>
      </c>
      <c r="L11">
        <f>+'[14]Tab9_Fx Rend Total'!M17</f>
        <v>12739.34546002</v>
      </c>
      <c r="M11">
        <f>+'[14]Tab9_Fx Rend Total'!N17</f>
        <v>593.07876778000002</v>
      </c>
      <c r="N11">
        <f>+'[14]Tab9_Fx Rend Total'!O17</f>
        <v>1684.58732521</v>
      </c>
      <c r="O11">
        <f>+'[14]Tab9_Fx Rend Total'!P17</f>
        <v>186.35289846999999</v>
      </c>
      <c r="P11">
        <f>+'[14]Tab9_Fx Rend Total'!Q17</f>
        <v>2.55485293</v>
      </c>
      <c r="Q11">
        <f>+'[14]Tab9_Fx Rend Total'!R17</f>
        <v>29707.125786560002</v>
      </c>
      <c r="R11">
        <f>+'[14]Tab9_Fx Rend Total'!S17</f>
        <v>184294.51987217</v>
      </c>
      <c r="S11">
        <f>+'[14]Tab9_Fx Rend Total'!T17</f>
        <v>12338.476121579999</v>
      </c>
      <c r="T11">
        <f>+'[14]Tab9_Fx Rend Total'!U17</f>
        <v>1.7273716299999999</v>
      </c>
      <c r="U11">
        <f>+'[14]Tab9_Fx Rend Total'!V17</f>
        <v>12336.74874995</v>
      </c>
      <c r="V11">
        <f>+'[14]Tab9_Fx Rend Total'!W17</f>
        <v>7.6853283099999992</v>
      </c>
      <c r="W11">
        <f>+'[14]Tab9_Fx Rend Total'!X17</f>
        <v>12344.287013540001</v>
      </c>
      <c r="X11">
        <f>+'[14]Tab9_Fx Rend Total'!Y17</f>
        <v>15048.092847219999</v>
      </c>
      <c r="Y11">
        <f>+'[14]Tab9_Fx Rend Total'!Z17</f>
        <v>1923.8527922400001</v>
      </c>
      <c r="Z11">
        <f>+'[14]Tab9_Fx Rend Total'!AA17</f>
        <v>4707.10239404</v>
      </c>
      <c r="AA11">
        <f>+'[14]Tab9_Fx Rend Total'!AB17</f>
        <v>70961.01646811</v>
      </c>
      <c r="AB11">
        <f>+'[14]Tab9_Fx Rend Total'!AC17</f>
        <v>1846.4919229500001</v>
      </c>
      <c r="AC11">
        <f>+'[14]Tab9_Fx Rend Total'!AD17</f>
        <v>724203.71030021994</v>
      </c>
      <c r="AD11">
        <f>+'[14]Tab9_Fx Rend Total'!AE17</f>
        <v>4411.8836773800003</v>
      </c>
      <c r="AE11">
        <f>+'[14]Tab9_Fx Rend Total'!AF17</f>
        <v>562.04312120000009</v>
      </c>
      <c r="AF11">
        <f>+'[14]Tab9_Fx Rend Total'!AG17</f>
        <v>17.499997950000001</v>
      </c>
      <c r="AG11">
        <f>+'[14]Tab9_Fx Rend Total'!AH17</f>
        <v>230.33344955000001</v>
      </c>
      <c r="AH11">
        <f>+'[14]Tab9_Fx Rend Total'!AI17</f>
        <v>7139.4037389700006</v>
      </c>
      <c r="AI11">
        <f>+'[14]Tab9_Fx Rend Total'!AJ17</f>
        <v>16652.412034000001</v>
      </c>
      <c r="AJ11">
        <f>+'[14]Tab9_Fx Rend Total'!AK17</f>
        <v>1802.93955248</v>
      </c>
      <c r="AK11">
        <f>+'[14]Tab9_Fx Rend Total'!AL17</f>
        <v>203.92036847999998</v>
      </c>
      <c r="AL11">
        <f>+'[14]Tab9_Fx Rend Total'!AM17</f>
        <v>517.51674364999997</v>
      </c>
      <c r="AM11">
        <f>+'[14]Tab9_Fx Rend Total'!AN17</f>
        <v>30.87777711</v>
      </c>
      <c r="AN11">
        <f>+'[14]Tab9_Fx Rend Total'!AO17</f>
        <v>1778.43874811</v>
      </c>
      <c r="AO11">
        <f>+'[14]Tab9_Fx Rend Total'!AP17</f>
        <v>1759.57803423</v>
      </c>
    </row>
    <row r="12" spans="2:41" x14ac:dyDescent="0.25">
      <c r="B12" t="str">
        <f>+'[14]Tab9_Fx Rend Total'!C18</f>
        <v>De 7 a 10</v>
      </c>
      <c r="C12">
        <f>+'[14]Tab9_Fx Rend Total'!D18</f>
        <v>3219144</v>
      </c>
      <c r="D12">
        <f>+'[14]Tab9_Fx Rend Total'!E18</f>
        <v>249138.20550896</v>
      </c>
      <c r="E12">
        <f>+'[14]Tab9_Fx Rend Total'!F18</f>
        <v>24438.662198620001</v>
      </c>
      <c r="F12">
        <f>+'[14]Tab9_Fx Rend Total'!G18</f>
        <v>62356.49320012</v>
      </c>
      <c r="G12">
        <f>+'[14]Tab9_Fx Rend Total'!H18</f>
        <v>9631.0014501499991</v>
      </c>
      <c r="H12">
        <f>+'[14]Tab9_Fx Rend Total'!I18</f>
        <v>5.2584516600000004</v>
      </c>
      <c r="I12">
        <f>+'[14]Tab9_Fx Rend Total'!J18</f>
        <v>924.72400105999998</v>
      </c>
      <c r="J12">
        <f>+'[14]Tab9_Fx Rend Total'!K18</f>
        <v>3669.9698516799999</v>
      </c>
      <c r="K12">
        <f>+'[14]Tab9_Fx Rend Total'!L18</f>
        <v>3275.83402699</v>
      </c>
      <c r="L12">
        <f>+'[14]Tab9_Fx Rend Total'!M18</f>
        <v>13522.447139370001</v>
      </c>
      <c r="M12">
        <f>+'[14]Tab9_Fx Rend Total'!N18</f>
        <v>960.85890670000003</v>
      </c>
      <c r="N12">
        <f>+'[14]Tab9_Fx Rend Total'!O18</f>
        <v>1960.5567896700002</v>
      </c>
      <c r="O12">
        <f>+'[14]Tab9_Fx Rend Total'!P18</f>
        <v>215.37734118</v>
      </c>
      <c r="P12">
        <f>+'[14]Tab9_Fx Rend Total'!Q18</f>
        <v>1.9846122900000001</v>
      </c>
      <c r="Q12">
        <f>+'[14]Tab9_Fx Rend Total'!R18</f>
        <v>24895.032072860002</v>
      </c>
      <c r="R12">
        <f>+'[14]Tab9_Fx Rend Total'!S18</f>
        <v>190075.17833970001</v>
      </c>
      <c r="S12">
        <f>+'[14]Tab9_Fx Rend Total'!T18</f>
        <v>22211.342117159998</v>
      </c>
      <c r="T12">
        <f>+'[14]Tab9_Fx Rend Total'!U18</f>
        <v>5.8762545199999998</v>
      </c>
      <c r="U12">
        <f>+'[14]Tab9_Fx Rend Total'!V18</f>
        <v>22205.465862639998</v>
      </c>
      <c r="V12">
        <f>+'[14]Tab9_Fx Rend Total'!W18</f>
        <v>19.979389190000003</v>
      </c>
      <c r="W12">
        <f>+'[14]Tab9_Fx Rend Total'!X18</f>
        <v>22225.096889650002</v>
      </c>
      <c r="X12">
        <f>+'[14]Tab9_Fx Rend Total'!Y18</f>
        <v>23032.349724580003</v>
      </c>
      <c r="Y12">
        <f>+'[14]Tab9_Fx Rend Total'!Z18</f>
        <v>3468.7675623800001</v>
      </c>
      <c r="Z12">
        <f>+'[14]Tab9_Fx Rend Total'!AA18</f>
        <v>4395.4532692499997</v>
      </c>
      <c r="AA12">
        <f>+'[14]Tab9_Fx Rend Total'!AB18</f>
        <v>71832.55276233</v>
      </c>
      <c r="AB12">
        <f>+'[14]Tab9_Fx Rend Total'!AC18</f>
        <v>2972.60640736</v>
      </c>
      <c r="AC12">
        <f>+'[14]Tab9_Fx Rend Total'!AD18</f>
        <v>796998.14788754005</v>
      </c>
      <c r="AD12">
        <f>+'[14]Tab9_Fx Rend Total'!AE18</f>
        <v>6194.6663669</v>
      </c>
      <c r="AE12">
        <f>+'[14]Tab9_Fx Rend Total'!AF18</f>
        <v>974.38786861000006</v>
      </c>
      <c r="AF12">
        <f>+'[14]Tab9_Fx Rend Total'!AG18</f>
        <v>40.613580630000001</v>
      </c>
      <c r="AG12">
        <f>+'[14]Tab9_Fx Rend Total'!AH18</f>
        <v>387.84906131999998</v>
      </c>
      <c r="AH12">
        <f>+'[14]Tab9_Fx Rend Total'!AI18</f>
        <v>7439.8519108299997</v>
      </c>
      <c r="AI12">
        <f>+'[14]Tab9_Fx Rend Total'!AJ18</f>
        <v>17401.013211680001</v>
      </c>
      <c r="AJ12">
        <f>+'[14]Tab9_Fx Rend Total'!AK18</f>
        <v>2066.6144311400003</v>
      </c>
      <c r="AK12">
        <f>+'[14]Tab9_Fx Rend Total'!AL18</f>
        <v>229.86971121000002</v>
      </c>
      <c r="AL12">
        <f>+'[14]Tab9_Fx Rend Total'!AM18</f>
        <v>683.31203505999997</v>
      </c>
      <c r="AM12">
        <f>+'[14]Tab9_Fx Rend Total'!AN18</f>
        <v>31.728531030000003</v>
      </c>
      <c r="AN12">
        <f>+'[14]Tab9_Fx Rend Total'!AO18</f>
        <v>2034.4328398</v>
      </c>
      <c r="AO12">
        <f>+'[14]Tab9_Fx Rend Total'!AP18</f>
        <v>31466.021472189997</v>
      </c>
    </row>
    <row r="13" spans="2:41" x14ac:dyDescent="0.25">
      <c r="B13" t="str">
        <f>+'[14]Tab9_Fx Rend Total'!C19</f>
        <v>De 10 a 15</v>
      </c>
      <c r="C13">
        <f>+'[14]Tab9_Fx Rend Total'!D19</f>
        <v>2526189</v>
      </c>
      <c r="D13">
        <f>+'[14]Tab9_Fx Rend Total'!E19</f>
        <v>269857.80436065001</v>
      </c>
      <c r="E13">
        <f>+'[14]Tab9_Fx Rend Total'!F19</f>
        <v>29508.50712378</v>
      </c>
      <c r="F13">
        <f>+'[14]Tab9_Fx Rend Total'!G19</f>
        <v>85199.96618232</v>
      </c>
      <c r="G13">
        <f>+'[14]Tab9_Fx Rend Total'!H19</f>
        <v>13502.673559819999</v>
      </c>
      <c r="H13">
        <f>+'[14]Tab9_Fx Rend Total'!I19</f>
        <v>6.9639314500000005</v>
      </c>
      <c r="I13">
        <f>+'[14]Tab9_Fx Rend Total'!J19</f>
        <v>2111.0840791599999</v>
      </c>
      <c r="J13">
        <f>+'[14]Tab9_Fx Rend Total'!K19</f>
        <v>3397.4289265700004</v>
      </c>
      <c r="K13">
        <f>+'[14]Tab9_Fx Rend Total'!L19</f>
        <v>3025.6373815399998</v>
      </c>
      <c r="L13">
        <f>+'[14]Tab9_Fx Rend Total'!M19</f>
        <v>15563.18432842</v>
      </c>
      <c r="M13">
        <f>+'[14]Tab9_Fx Rend Total'!N19</f>
        <v>1467.65513566</v>
      </c>
      <c r="N13">
        <f>+'[14]Tab9_Fx Rend Total'!O19</f>
        <v>2335.7158747399999</v>
      </c>
      <c r="O13">
        <f>+'[14]Tab9_Fx Rend Total'!P19</f>
        <v>277.54111375000002</v>
      </c>
      <c r="P13">
        <f>+'[14]Tab9_Fx Rend Total'!Q19</f>
        <v>1.5142916000000002</v>
      </c>
      <c r="Q13">
        <f>+'[14]Tab9_Fx Rend Total'!R19</f>
        <v>14351.88863433</v>
      </c>
      <c r="R13">
        <f>+'[14]Tab9_Fx Rend Total'!S19</f>
        <v>213816.54239436999</v>
      </c>
      <c r="S13">
        <f>+'[14]Tab9_Fx Rend Total'!T19</f>
        <v>35293.131836280001</v>
      </c>
      <c r="T13">
        <f>+'[14]Tab9_Fx Rend Total'!U19</f>
        <v>18.758974909999999</v>
      </c>
      <c r="U13">
        <f>+'[14]Tab9_Fx Rend Total'!V19</f>
        <v>35274.37286137</v>
      </c>
      <c r="V13">
        <f>+'[14]Tab9_Fx Rend Total'!W19</f>
        <v>43.71383385</v>
      </c>
      <c r="W13">
        <f>+'[14]Tab9_Fx Rend Total'!X19</f>
        <v>35317.688535829999</v>
      </c>
      <c r="X13">
        <f>+'[14]Tab9_Fx Rend Total'!Y19</f>
        <v>34517.478975800004</v>
      </c>
      <c r="Y13">
        <f>+'[14]Tab9_Fx Rend Total'!Z19</f>
        <v>4368.6375882600005</v>
      </c>
      <c r="Z13">
        <f>+'[14]Tab9_Fx Rend Total'!AA19</f>
        <v>3731.1226441399999</v>
      </c>
      <c r="AA13">
        <f>+'[14]Tab9_Fx Rend Total'!AB19</f>
        <v>91081.727672549998</v>
      </c>
      <c r="AB13">
        <f>+'[14]Tab9_Fx Rend Total'!AC19</f>
        <v>4421.7285924600001</v>
      </c>
      <c r="AC13">
        <f>+'[14]Tab9_Fx Rend Total'!AD19</f>
        <v>956287.63320468995</v>
      </c>
      <c r="AD13">
        <f>+'[14]Tab9_Fx Rend Total'!AE19</f>
        <v>7179.2207980800003</v>
      </c>
      <c r="AE13">
        <f>+'[14]Tab9_Fx Rend Total'!AF19</f>
        <v>1928.20537644</v>
      </c>
      <c r="AF13">
        <f>+'[14]Tab9_Fx Rend Total'!AG19</f>
        <v>184.79244875999998</v>
      </c>
      <c r="AG13">
        <f>+'[14]Tab9_Fx Rend Total'!AH19</f>
        <v>637.18614599</v>
      </c>
      <c r="AH13">
        <f>+'[14]Tab9_Fx Rend Total'!AI19</f>
        <v>7846.2072760699994</v>
      </c>
      <c r="AI13">
        <f>+'[14]Tab9_Fx Rend Total'!AJ19</f>
        <v>18458.764598530001</v>
      </c>
      <c r="AJ13">
        <f>+'[14]Tab9_Fx Rend Total'!AK19</f>
        <v>2482.0668934699997</v>
      </c>
      <c r="AK13">
        <f>+'[14]Tab9_Fx Rend Total'!AL19</f>
        <v>298.18200806999999</v>
      </c>
      <c r="AL13">
        <f>+'[14]Tab9_Fx Rend Total'!AM19</f>
        <v>960.55577673000005</v>
      </c>
      <c r="AM13">
        <f>+'[14]Tab9_Fx Rend Total'!AN19</f>
        <v>36.345232320000001</v>
      </c>
      <c r="AN13">
        <f>+'[14]Tab9_Fx Rend Total'!AO19</f>
        <v>2611.7840173200002</v>
      </c>
      <c r="AO13">
        <f>+'[14]Tab9_Fx Rend Total'!AP19</f>
        <v>2858.1477301999998</v>
      </c>
    </row>
    <row r="14" spans="2:41" x14ac:dyDescent="0.25">
      <c r="B14" t="str">
        <f>+'[14]Tab9_Fx Rend Total'!C20</f>
        <v>De 15 a 20</v>
      </c>
      <c r="C14">
        <f>+'[14]Tab9_Fx Rend Total'!D20</f>
        <v>1167190</v>
      </c>
      <c r="D14">
        <f>+'[14]Tab9_Fx Rend Total'!E20</f>
        <v>165207.33020185001</v>
      </c>
      <c r="E14">
        <f>+'[14]Tab9_Fx Rend Total'!F20</f>
        <v>20683.24104895</v>
      </c>
      <c r="F14">
        <f>+'[14]Tab9_Fx Rend Total'!G20</f>
        <v>66463.499459409999</v>
      </c>
      <c r="G14">
        <f>+'[14]Tab9_Fx Rend Total'!H20</f>
        <v>9603.6023893000001</v>
      </c>
      <c r="H14">
        <f>+'[14]Tab9_Fx Rend Total'!I20</f>
        <v>4.9749062400000001</v>
      </c>
      <c r="I14">
        <f>+'[14]Tab9_Fx Rend Total'!J20</f>
        <v>2128.9422438900001</v>
      </c>
      <c r="J14">
        <f>+'[14]Tab9_Fx Rend Total'!K20</f>
        <v>1692.88501107</v>
      </c>
      <c r="K14">
        <f>+'[14]Tab9_Fx Rend Total'!L20</f>
        <v>1475.91770406</v>
      </c>
      <c r="L14">
        <f>+'[14]Tab9_Fx Rend Total'!M20</f>
        <v>9572.5906509100005</v>
      </c>
      <c r="M14">
        <f>+'[14]Tab9_Fx Rend Total'!N20</f>
        <v>1195.8432376600001</v>
      </c>
      <c r="N14">
        <f>+'[14]Tab9_Fx Rend Total'!O20</f>
        <v>1415.7236782699999</v>
      </c>
      <c r="O14">
        <f>+'[14]Tab9_Fx Rend Total'!P20</f>
        <v>180.35649050000001</v>
      </c>
      <c r="P14">
        <f>+'[14]Tab9_Fx Rend Total'!Q20</f>
        <v>1.0089644799999999</v>
      </c>
      <c r="Q14">
        <f>+'[14]Tab9_Fx Rend Total'!R20</f>
        <v>4470.6815896099997</v>
      </c>
      <c r="R14">
        <f>+'[14]Tab9_Fx Rend Total'!S20</f>
        <v>133464.80333585999</v>
      </c>
      <c r="S14">
        <f>+'[14]Tab9_Fx Rend Total'!T20</f>
        <v>26005.515476830002</v>
      </c>
      <c r="T14">
        <f>+'[14]Tab9_Fx Rend Total'!U20</f>
        <v>23.442512539999999</v>
      </c>
      <c r="U14">
        <f>+'[14]Tab9_Fx Rend Total'!V20</f>
        <v>25982.072964290001</v>
      </c>
      <c r="V14">
        <f>+'[14]Tab9_Fx Rend Total'!W20</f>
        <v>49.697415319999998</v>
      </c>
      <c r="W14">
        <f>+'[14]Tab9_Fx Rend Total'!X20</f>
        <v>26031.54441178</v>
      </c>
      <c r="X14">
        <f>+'[14]Tab9_Fx Rend Total'!Y20</f>
        <v>25301.504756770002</v>
      </c>
      <c r="Y14">
        <f>+'[14]Tab9_Fx Rend Total'!Z20</f>
        <v>2616.1528669099998</v>
      </c>
      <c r="Z14">
        <f>+'[14]Tab9_Fx Rend Total'!AA20</f>
        <v>1997.9874865199999</v>
      </c>
      <c r="AA14">
        <f>+'[14]Tab9_Fx Rend Total'!AB20</f>
        <v>59666.767959720004</v>
      </c>
      <c r="AB14">
        <f>+'[14]Tab9_Fx Rend Total'!AC20</f>
        <v>3890.11909423</v>
      </c>
      <c r="AC14">
        <f>+'[14]Tab9_Fx Rend Total'!AD20</f>
        <v>689994.36639546999</v>
      </c>
      <c r="AD14">
        <f>+'[14]Tab9_Fx Rend Total'!AE20</f>
        <v>5987.7999978999997</v>
      </c>
      <c r="AE14">
        <f>+'[14]Tab9_Fx Rend Total'!AF20</f>
        <v>1848.4272853900002</v>
      </c>
      <c r="AF14">
        <f>+'[14]Tab9_Fx Rend Total'!AG20</f>
        <v>139.00553966999999</v>
      </c>
      <c r="AG14">
        <f>+'[14]Tab9_Fx Rend Total'!AH20</f>
        <v>553.25999664999995</v>
      </c>
      <c r="AH14">
        <f>+'[14]Tab9_Fx Rend Total'!AI20</f>
        <v>4758.7215977100004</v>
      </c>
      <c r="AI14">
        <f>+'[14]Tab9_Fx Rend Total'!AJ20</f>
        <v>10966.22187419</v>
      </c>
      <c r="AJ14">
        <f>+'[14]Tab9_Fx Rend Total'!AK20</f>
        <v>1531.7336220899999</v>
      </c>
      <c r="AK14">
        <f>+'[14]Tab9_Fx Rend Total'!AL20</f>
        <v>197.01321006000001</v>
      </c>
      <c r="AL14">
        <f>+'[14]Tab9_Fx Rend Total'!AM20</f>
        <v>788.10206388999995</v>
      </c>
      <c r="AM14">
        <f>+'[14]Tab9_Fx Rend Total'!AN20</f>
        <v>26.271561500000001</v>
      </c>
      <c r="AN14">
        <f>+'[14]Tab9_Fx Rend Total'!AO20</f>
        <v>1898.6805098699999</v>
      </c>
      <c r="AO14">
        <f>+'[14]Tab9_Fx Rend Total'!AP20</f>
        <v>2245.7613194999999</v>
      </c>
    </row>
    <row r="15" spans="2:41" x14ac:dyDescent="0.25">
      <c r="B15" t="str">
        <f>+'[14]Tab9_Fx Rend Total'!C21</f>
        <v>De 20 a 30</v>
      </c>
      <c r="C15">
        <f>+'[14]Tab9_Fx Rend Total'!D21</f>
        <v>1073869</v>
      </c>
      <c r="D15">
        <f>+'[14]Tab9_Fx Rend Total'!E21</f>
        <v>197198.67155314999</v>
      </c>
      <c r="E15">
        <f>+'[14]Tab9_Fx Rend Total'!F21</f>
        <v>28396.72646596</v>
      </c>
      <c r="F15">
        <f>+'[14]Tab9_Fx Rend Total'!G21</f>
        <v>100128.28657619</v>
      </c>
      <c r="G15">
        <f>+'[14]Tab9_Fx Rend Total'!H21</f>
        <v>12476.577548809999</v>
      </c>
      <c r="H15">
        <f>+'[14]Tab9_Fx Rend Total'!I21</f>
        <v>5.4416825099999997</v>
      </c>
      <c r="I15">
        <f>+'[14]Tab9_Fx Rend Total'!J21</f>
        <v>3300.3138134699998</v>
      </c>
      <c r="J15">
        <f>+'[14]Tab9_Fx Rend Total'!K21</f>
        <v>1602.2986892599999</v>
      </c>
      <c r="K15">
        <f>+'[14]Tab9_Fx Rend Total'!L21</f>
        <v>1390.0009916600002</v>
      </c>
      <c r="L15">
        <f>+'[14]Tab9_Fx Rend Total'!M21</f>
        <v>10793.08321592</v>
      </c>
      <c r="M15">
        <f>+'[14]Tab9_Fx Rend Total'!N21</f>
        <v>1821.5648174800001</v>
      </c>
      <c r="N15">
        <f>+'[14]Tab9_Fx Rend Total'!O21</f>
        <v>1750.2404243199999</v>
      </c>
      <c r="O15">
        <f>+'[14]Tab9_Fx Rend Total'!P21</f>
        <v>243.30790765</v>
      </c>
      <c r="P15">
        <f>+'[14]Tab9_Fx Rend Total'!Q21</f>
        <v>0.56465356999999994</v>
      </c>
      <c r="Q15">
        <f>+'[14]Tab9_Fx Rend Total'!R21</f>
        <v>3210.12462865</v>
      </c>
      <c r="R15">
        <f>+'[14]Tab9_Fx Rend Total'!S21</f>
        <v>160605.16404926</v>
      </c>
      <c r="S15">
        <f>+'[14]Tab9_Fx Rend Total'!T21</f>
        <v>34473.244083900005</v>
      </c>
      <c r="T15">
        <f>+'[14]Tab9_Fx Rend Total'!U21</f>
        <v>44.625868939999997</v>
      </c>
      <c r="U15">
        <f>+'[14]Tab9_Fx Rend Total'!V21</f>
        <v>34428.618214959999</v>
      </c>
      <c r="V15">
        <f>+'[14]Tab9_Fx Rend Total'!W21</f>
        <v>100.95975214000001</v>
      </c>
      <c r="W15">
        <f>+'[14]Tab9_Fx Rend Total'!X21</f>
        <v>34528.908547989995</v>
      </c>
      <c r="X15">
        <f>+'[14]Tab9_Fx Rend Total'!Y21</f>
        <v>33647.661497150002</v>
      </c>
      <c r="Y15">
        <f>+'[14]Tab9_Fx Rend Total'!Z21</f>
        <v>2954.6086599999999</v>
      </c>
      <c r="Z15">
        <f>+'[14]Tab9_Fx Rend Total'!AA21</f>
        <v>2237.8264065500002</v>
      </c>
      <c r="AA15">
        <f>+'[14]Tab9_Fx Rend Total'!AB21</f>
        <v>71202.025634880003</v>
      </c>
      <c r="AB15">
        <f>+'[14]Tab9_Fx Rend Total'!AC21</f>
        <v>6641.7880844600004</v>
      </c>
      <c r="AC15">
        <f>+'[14]Tab9_Fx Rend Total'!AD21</f>
        <v>970452.19873571</v>
      </c>
      <c r="AD15">
        <f>+'[14]Tab9_Fx Rend Total'!AE21</f>
        <v>10023.23773334</v>
      </c>
      <c r="AE15">
        <f>+'[14]Tab9_Fx Rend Total'!AF21</f>
        <v>2956.1859209699996</v>
      </c>
      <c r="AF15">
        <f>+'[14]Tab9_Fx Rend Total'!AG21</f>
        <v>198.51265462000001</v>
      </c>
      <c r="AG15">
        <f>+'[14]Tab9_Fx Rend Total'!AH21</f>
        <v>720.4261316699999</v>
      </c>
      <c r="AH15">
        <f>+'[14]Tab9_Fx Rend Total'!AI21</f>
        <v>5596.9395327100001</v>
      </c>
      <c r="AI15">
        <f>+'[14]Tab9_Fx Rend Total'!AJ21</f>
        <v>12350.39469173</v>
      </c>
      <c r="AJ15">
        <f>+'[14]Tab9_Fx Rend Total'!AK21</f>
        <v>1912.4216566700002</v>
      </c>
      <c r="AK15">
        <f>+'[14]Tab9_Fx Rend Total'!AL21</f>
        <v>270.52163718999998</v>
      </c>
      <c r="AL15">
        <f>+'[14]Tab9_Fx Rend Total'!AM21</f>
        <v>1207.21870341</v>
      </c>
      <c r="AM15">
        <f>+'[14]Tab9_Fx Rend Total'!AN21</f>
        <v>39.124511509999998</v>
      </c>
      <c r="AN15">
        <f>+'[14]Tab9_Fx Rend Total'!AO21</f>
        <v>2680.6737461399998</v>
      </c>
      <c r="AO15">
        <f>+'[14]Tab9_Fx Rend Total'!AP21</f>
        <v>3728.5320961100001</v>
      </c>
    </row>
    <row r="16" spans="2:41" x14ac:dyDescent="0.25">
      <c r="B16" t="str">
        <f>+'[14]Tab9_Fx Rend Total'!C22</f>
        <v>De 30 a 40</v>
      </c>
      <c r="C16">
        <f>+'[14]Tab9_Fx Rend Total'!D22</f>
        <v>462066</v>
      </c>
      <c r="D16">
        <f>+'[14]Tab9_Fx Rend Total'!E22</f>
        <v>110538.54932836999</v>
      </c>
      <c r="E16">
        <f>+'[14]Tab9_Fx Rend Total'!F22</f>
        <v>18533.013575519999</v>
      </c>
      <c r="F16">
        <f>+'[14]Tab9_Fx Rend Total'!G22</f>
        <v>70142.24229005001</v>
      </c>
      <c r="G16">
        <f>+'[14]Tab9_Fx Rend Total'!H22</f>
        <v>7311.9905643500006</v>
      </c>
      <c r="H16">
        <f>+'[14]Tab9_Fx Rend Total'!I22</f>
        <v>4.0966332899999998</v>
      </c>
      <c r="I16">
        <f>+'[14]Tab9_Fx Rend Total'!J22</f>
        <v>2087.3233145099998</v>
      </c>
      <c r="J16">
        <f>+'[14]Tab9_Fx Rend Total'!K22</f>
        <v>706.41615091999995</v>
      </c>
      <c r="K16">
        <f>+'[14]Tab9_Fx Rend Total'!L22</f>
        <v>625.22724997</v>
      </c>
      <c r="L16">
        <f>+'[14]Tab9_Fx Rend Total'!M22</f>
        <v>5646.6205504</v>
      </c>
      <c r="M16">
        <f>+'[14]Tab9_Fx Rend Total'!N22</f>
        <v>1348.8409539500001</v>
      </c>
      <c r="N16">
        <f>+'[14]Tab9_Fx Rend Total'!O22</f>
        <v>1031.6545425499999</v>
      </c>
      <c r="O16">
        <f>+'[14]Tab9_Fx Rend Total'!P22</f>
        <v>144.22694593</v>
      </c>
      <c r="P16">
        <f>+'[14]Tab9_Fx Rend Total'!Q22</f>
        <v>0.79012711999999996</v>
      </c>
      <c r="Q16">
        <f>+'[14]Tab9_Fx Rend Total'!R22</f>
        <v>1224.63111056</v>
      </c>
      <c r="R16">
        <f>+'[14]Tab9_Fx Rend Total'!S22</f>
        <v>90406.725831820004</v>
      </c>
      <c r="S16">
        <f>+'[14]Tab9_Fx Rend Total'!T22</f>
        <v>20747.34058742</v>
      </c>
      <c r="T16">
        <f>+'[14]Tab9_Fx Rend Total'!U22</f>
        <v>37.832376659999994</v>
      </c>
      <c r="U16">
        <f>+'[14]Tab9_Fx Rend Total'!V22</f>
        <v>20709.508210759999</v>
      </c>
      <c r="V16">
        <f>+'[14]Tab9_Fx Rend Total'!W22</f>
        <v>98.196319000000003</v>
      </c>
      <c r="W16">
        <f>+'[14]Tab9_Fx Rend Total'!X22</f>
        <v>20807.270029840001</v>
      </c>
      <c r="X16">
        <f>+'[14]Tab9_Fx Rend Total'!Y22</f>
        <v>20163.091205650002</v>
      </c>
      <c r="Y16">
        <f>+'[14]Tab9_Fx Rend Total'!Z22</f>
        <v>1698.1016383499998</v>
      </c>
      <c r="Z16">
        <f>+'[14]Tab9_Fx Rend Total'!AA22</f>
        <v>1170.6816348900002</v>
      </c>
      <c r="AA16">
        <f>+'[14]Tab9_Fx Rend Total'!AB22</f>
        <v>45789.676626330001</v>
      </c>
      <c r="AB16">
        <f>+'[14]Tab9_Fx Rend Total'!AC22</f>
        <v>5302.8327966000006</v>
      </c>
      <c r="AC16">
        <f>+'[14]Tab9_Fx Rend Total'!AD22</f>
        <v>652018.28154153004</v>
      </c>
      <c r="AD16">
        <f>+'[14]Tab9_Fx Rend Total'!AE22</f>
        <v>7947.1369371800001</v>
      </c>
      <c r="AE16">
        <f>+'[14]Tab9_Fx Rend Total'!AF22</f>
        <v>1885.38518623</v>
      </c>
      <c r="AF16">
        <f>+'[14]Tab9_Fx Rend Total'!AG22</f>
        <v>200.32508933000003</v>
      </c>
      <c r="AG16">
        <f>+'[14]Tab9_Fx Rend Total'!AH22</f>
        <v>388.52605602</v>
      </c>
      <c r="AH16">
        <f>+'[14]Tab9_Fx Rend Total'!AI22</f>
        <v>3100.3054712199996</v>
      </c>
      <c r="AI16">
        <f>+'[14]Tab9_Fx Rend Total'!AJ22</f>
        <v>6522.8823767100002</v>
      </c>
      <c r="AJ16">
        <f>+'[14]Tab9_Fx Rend Total'!AK22</f>
        <v>1140.03673835</v>
      </c>
      <c r="AK16">
        <f>+'[14]Tab9_Fx Rend Total'!AL22</f>
        <v>162.17039903999998</v>
      </c>
      <c r="AL16">
        <f>+'[14]Tab9_Fx Rend Total'!AM22</f>
        <v>824.55529274000003</v>
      </c>
      <c r="AM16">
        <f>+'[14]Tab9_Fx Rend Total'!AN22</f>
        <v>34.096616640000001</v>
      </c>
      <c r="AN16">
        <f>+'[14]Tab9_Fx Rend Total'!AO22</f>
        <v>1710.5664362299999</v>
      </c>
      <c r="AO16">
        <f>+'[14]Tab9_Fx Rend Total'!AP22</f>
        <v>28512.494820340002</v>
      </c>
    </row>
    <row r="17" spans="2:41" x14ac:dyDescent="0.25">
      <c r="B17" t="str">
        <f>+'[14]Tab9_Fx Rend Total'!C23</f>
        <v>De 40 a 60</v>
      </c>
      <c r="C17">
        <f>+'[14]Tab9_Fx Rend Total'!D23</f>
        <v>340832</v>
      </c>
      <c r="D17">
        <f>+'[14]Tab9_Fx Rend Total'!E23</f>
        <v>94559.362968920002</v>
      </c>
      <c r="E17">
        <f>+'[14]Tab9_Fx Rend Total'!F23</f>
        <v>21735.02403715</v>
      </c>
      <c r="F17">
        <f>+'[14]Tab9_Fx Rend Total'!G23</f>
        <v>88543.260472969996</v>
      </c>
      <c r="G17">
        <f>+'[14]Tab9_Fx Rend Total'!H23</f>
        <v>5342.4260723699999</v>
      </c>
      <c r="H17">
        <f>+'[14]Tab9_Fx Rend Total'!I23</f>
        <v>3.95874777</v>
      </c>
      <c r="I17">
        <f>+'[14]Tab9_Fx Rend Total'!J23</f>
        <v>2088.6465213699998</v>
      </c>
      <c r="J17">
        <f>+'[14]Tab9_Fx Rend Total'!K23</f>
        <v>545.56502754999997</v>
      </c>
      <c r="K17">
        <f>+'[14]Tab9_Fx Rend Total'!L23</f>
        <v>496.97136641000003</v>
      </c>
      <c r="L17">
        <f>+'[14]Tab9_Fx Rend Total'!M23</f>
        <v>4416.8064932200004</v>
      </c>
      <c r="M17">
        <f>+'[14]Tab9_Fx Rend Total'!N23</f>
        <v>1686.3289678900001</v>
      </c>
      <c r="N17">
        <f>+'[14]Tab9_Fx Rend Total'!O23</f>
        <v>829.32006267999998</v>
      </c>
      <c r="O17">
        <f>+'[14]Tab9_Fx Rend Total'!P23</f>
        <v>127.14154929</v>
      </c>
      <c r="P17">
        <f>+'[14]Tab9_Fx Rend Total'!Q23</f>
        <v>0.51493122000000002</v>
      </c>
      <c r="Q17">
        <f>+'[14]Tab9_Fx Rend Total'!R23</f>
        <v>982.03870252000002</v>
      </c>
      <c r="R17">
        <f>+'[14]Tab9_Fx Rend Total'!S23</f>
        <v>78039.64452663</v>
      </c>
      <c r="S17">
        <f>+'[14]Tab9_Fx Rend Total'!T23</f>
        <v>18465.73577195</v>
      </c>
      <c r="T17">
        <f>+'[14]Tab9_Fx Rend Total'!U23</f>
        <v>41.60505053</v>
      </c>
      <c r="U17">
        <f>+'[14]Tab9_Fx Rend Total'!V23</f>
        <v>18424.130721419999</v>
      </c>
      <c r="V17">
        <f>+'[14]Tab9_Fx Rend Total'!W23</f>
        <v>208.24788494999999</v>
      </c>
      <c r="W17">
        <f>+'[14]Tab9_Fx Rend Total'!X23</f>
        <v>18631.336521680001</v>
      </c>
      <c r="X17">
        <f>+'[14]Tab9_Fx Rend Total'!Y23</f>
        <v>17680.701450029999</v>
      </c>
      <c r="Y17">
        <f>+'[14]Tab9_Fx Rend Total'!Z23</f>
        <v>1764.23629482</v>
      </c>
      <c r="Z17">
        <f>+'[14]Tab9_Fx Rend Total'!AA23</f>
        <v>990.08381800999996</v>
      </c>
      <c r="AA17">
        <f>+'[14]Tab9_Fx Rend Total'!AB23</f>
        <v>46089.960576239995</v>
      </c>
      <c r="AB17">
        <f>+'[14]Tab9_Fx Rend Total'!AC23</f>
        <v>7981.10705512</v>
      </c>
      <c r="AC17">
        <f>+'[14]Tab9_Fx Rend Total'!AD23</f>
        <v>739514.92855100997</v>
      </c>
      <c r="AD17">
        <f>+'[14]Tab9_Fx Rend Total'!AE23</f>
        <v>8201.5160042999996</v>
      </c>
      <c r="AE17">
        <f>+'[14]Tab9_Fx Rend Total'!AF23</f>
        <v>1931.94553432</v>
      </c>
      <c r="AF17">
        <f>+'[14]Tab9_Fx Rend Total'!AG23</f>
        <v>126.09452659999999</v>
      </c>
      <c r="AG17">
        <f>+'[14]Tab9_Fx Rend Total'!AH23</f>
        <v>375.21699648999999</v>
      </c>
      <c r="AH17">
        <f>+'[14]Tab9_Fx Rend Total'!AI23</f>
        <v>3014.1466722700002</v>
      </c>
      <c r="AI17">
        <f>+'[14]Tab9_Fx Rend Total'!AJ23</f>
        <v>5190.2239896199999</v>
      </c>
      <c r="AJ17">
        <f>+'[14]Tab9_Fx Rend Total'!AK23</f>
        <v>908.72622109999998</v>
      </c>
      <c r="AK17">
        <f>+'[14]Tab9_Fx Rend Total'!AL23</f>
        <v>141.48606227000002</v>
      </c>
      <c r="AL17">
        <f>+'[14]Tab9_Fx Rend Total'!AM23</f>
        <v>1034.2262497199999</v>
      </c>
      <c r="AM17">
        <f>+'[14]Tab9_Fx Rend Total'!AN23</f>
        <v>31.98423434</v>
      </c>
      <c r="AN17">
        <f>+'[14]Tab9_Fx Rend Total'!AO23</f>
        <v>1771.03573594</v>
      </c>
      <c r="AO17">
        <f>+'[14]Tab9_Fx Rend Total'!AP23</f>
        <v>8756.6510974599987</v>
      </c>
    </row>
    <row r="18" spans="2:41" x14ac:dyDescent="0.25">
      <c r="B18" t="str">
        <f>+'[14]Tab9_Fx Rend Total'!C24</f>
        <v>De 60 a 80</v>
      </c>
      <c r="C18">
        <f>+'[14]Tab9_Fx Rend Total'!D24</f>
        <v>117987</v>
      </c>
      <c r="D18">
        <f>+'[14]Tab9_Fx Rend Total'!E24</f>
        <v>35199.365893480004</v>
      </c>
      <c r="E18">
        <f>+'[14]Tab9_Fx Rend Total'!F24</f>
        <v>12391.792472290001</v>
      </c>
      <c r="F18">
        <f>+'[14]Tab9_Fx Rend Total'!G24</f>
        <v>53803.750617639998</v>
      </c>
      <c r="G18">
        <f>+'[14]Tab9_Fx Rend Total'!H24</f>
        <v>1358.85379201</v>
      </c>
      <c r="H18">
        <f>+'[14]Tab9_Fx Rend Total'!I24</f>
        <v>2.2348008500000001</v>
      </c>
      <c r="I18">
        <f>+'[14]Tab9_Fx Rend Total'!J24</f>
        <v>853.34948783000004</v>
      </c>
      <c r="J18">
        <f>+'[14]Tab9_Fx Rend Total'!K24</f>
        <v>180.85748512000001</v>
      </c>
      <c r="K18">
        <f>+'[14]Tab9_Fx Rend Total'!L24</f>
        <v>163.19961736000002</v>
      </c>
      <c r="L18">
        <f>+'[14]Tab9_Fx Rend Total'!M24</f>
        <v>1455.0551615499999</v>
      </c>
      <c r="M18">
        <f>+'[14]Tab9_Fx Rend Total'!N24</f>
        <v>911.12531526999999</v>
      </c>
      <c r="N18">
        <f>+'[14]Tab9_Fx Rend Total'!O24</f>
        <v>296.78180722000002</v>
      </c>
      <c r="O18">
        <f>+'[14]Tab9_Fx Rend Total'!P24</f>
        <v>45.846005529999999</v>
      </c>
      <c r="P18">
        <f>+'[14]Tab9_Fx Rend Total'!Q24</f>
        <v>0.30701676</v>
      </c>
      <c r="Q18">
        <f>+'[14]Tab9_Fx Rend Total'!R24</f>
        <v>403.72086860000002</v>
      </c>
      <c r="R18">
        <f>+'[14]Tab9_Fx Rend Total'!S24</f>
        <v>29528.03453538</v>
      </c>
      <c r="S18">
        <f>+'[14]Tab9_Fx Rend Total'!T24</f>
        <v>7119.3112189200001</v>
      </c>
      <c r="T18">
        <f>+'[14]Tab9_Fx Rend Total'!U24</f>
        <v>18.499643329999998</v>
      </c>
      <c r="U18">
        <f>+'[14]Tab9_Fx Rend Total'!V24</f>
        <v>7100.8115755899998</v>
      </c>
      <c r="V18">
        <f>+'[14]Tab9_Fx Rend Total'!W24</f>
        <v>165.78753421000002</v>
      </c>
      <c r="W18">
        <f>+'[14]Tab9_Fx Rend Total'!X24</f>
        <v>7266.4022424899995</v>
      </c>
      <c r="X18">
        <f>+'[14]Tab9_Fx Rend Total'!Y24</f>
        <v>6593.9770312199998</v>
      </c>
      <c r="Y18">
        <f>+'[14]Tab9_Fx Rend Total'!Z24</f>
        <v>896.25157805999993</v>
      </c>
      <c r="Z18">
        <f>+'[14]Tab9_Fx Rend Total'!AA24</f>
        <v>350.55742066000005</v>
      </c>
      <c r="AA18">
        <f>+'[14]Tab9_Fx Rend Total'!AB24</f>
        <v>25170.765137130002</v>
      </c>
      <c r="AB18">
        <f>+'[14]Tab9_Fx Rend Total'!AC24</f>
        <v>5559.4772014499995</v>
      </c>
      <c r="AC18">
        <f>+'[14]Tab9_Fx Rend Total'!AD24</f>
        <v>403704.50759384996</v>
      </c>
      <c r="AD18">
        <f>+'[14]Tab9_Fx Rend Total'!AE24</f>
        <v>6292.2605648100007</v>
      </c>
      <c r="AE18">
        <f>+'[14]Tab9_Fx Rend Total'!AF24</f>
        <v>813.64406917999997</v>
      </c>
      <c r="AF18">
        <f>+'[14]Tab9_Fx Rend Total'!AG24</f>
        <v>12.757713050000001</v>
      </c>
      <c r="AG18">
        <f>+'[14]Tab9_Fx Rend Total'!AH24</f>
        <v>148.61365546000002</v>
      </c>
      <c r="AH18">
        <f>+'[14]Tab9_Fx Rend Total'!AI24</f>
        <v>1195.71377209</v>
      </c>
      <c r="AI18">
        <f>+'[14]Tab9_Fx Rend Total'!AJ24</f>
        <v>1779.4304731</v>
      </c>
      <c r="AJ18">
        <f>+'[14]Tab9_Fx Rend Total'!AK24</f>
        <v>330.37997911000002</v>
      </c>
      <c r="AK18">
        <f>+'[14]Tab9_Fx Rend Total'!AL24</f>
        <v>53.137622139999998</v>
      </c>
      <c r="AL18">
        <f>+'[14]Tab9_Fx Rend Total'!AM24</f>
        <v>598.89988463999998</v>
      </c>
      <c r="AM18">
        <f>+'[14]Tab9_Fx Rend Total'!AN24</f>
        <v>21.567767010000001</v>
      </c>
      <c r="AN18">
        <f>+'[14]Tab9_Fx Rend Total'!AO24</f>
        <v>863.29649927000003</v>
      </c>
      <c r="AO18">
        <f>+'[14]Tab9_Fx Rend Total'!AP24</f>
        <v>97696.691711189997</v>
      </c>
    </row>
    <row r="19" spans="2:41" x14ac:dyDescent="0.25">
      <c r="B19" t="str">
        <f>+'[14]Tab9_Fx Rend Total'!C25</f>
        <v>De 80 a 160</v>
      </c>
      <c r="C19">
        <f>+'[14]Tab9_Fx Rend Total'!D25</f>
        <v>122641</v>
      </c>
      <c r="D19">
        <f>+'[14]Tab9_Fx Rend Total'!E25</f>
        <v>42143.326177930001</v>
      </c>
      <c r="E19">
        <f>+'[14]Tab9_Fx Rend Total'!F25</f>
        <v>21567.30466093</v>
      </c>
      <c r="F19">
        <f>+'[14]Tab9_Fx Rend Total'!G25</f>
        <v>102302.41856061001</v>
      </c>
      <c r="G19">
        <f>+'[14]Tab9_Fx Rend Total'!H25</f>
        <v>883.17156374000001</v>
      </c>
      <c r="H19">
        <f>+'[14]Tab9_Fx Rend Total'!I25</f>
        <v>2.8849635600000001</v>
      </c>
      <c r="I19">
        <f>+'[14]Tab9_Fx Rend Total'!J25</f>
        <v>970.43643304</v>
      </c>
      <c r="J19">
        <f>+'[14]Tab9_Fx Rend Total'!K25</f>
        <v>173.71131869999999</v>
      </c>
      <c r="K19">
        <f>+'[14]Tab9_Fx Rend Total'!L25</f>
        <v>155.96297483000001</v>
      </c>
      <c r="L19">
        <f>+'[14]Tab9_Fx Rend Total'!M25</f>
        <v>1469.3470255299999</v>
      </c>
      <c r="M19">
        <f>+'[14]Tab9_Fx Rend Total'!N25</f>
        <v>1673.3566924200002</v>
      </c>
      <c r="N19">
        <f>+'[14]Tab9_Fx Rend Total'!O25</f>
        <v>267.13209799999998</v>
      </c>
      <c r="O19">
        <f>+'[14]Tab9_Fx Rend Total'!P25</f>
        <v>48.628116390000002</v>
      </c>
      <c r="P19">
        <f>+'[14]Tab9_Fx Rend Total'!Q25</f>
        <v>7.9783919999999994E-2</v>
      </c>
      <c r="Q19">
        <f>+'[14]Tab9_Fx Rend Total'!R25</f>
        <v>497.48472974999999</v>
      </c>
      <c r="R19">
        <f>+'[14]Tab9_Fx Rend Total'!S25</f>
        <v>36001.13047805</v>
      </c>
      <c r="S19">
        <f>+'[14]Tab9_Fx Rend Total'!T25</f>
        <v>8894.5175633199997</v>
      </c>
      <c r="T19">
        <f>+'[14]Tab9_Fx Rend Total'!U25</f>
        <v>25.533321709999999</v>
      </c>
      <c r="U19">
        <f>+'[14]Tab9_Fx Rend Total'!V25</f>
        <v>8868.98424161</v>
      </c>
      <c r="V19">
        <f>+'[14]Tab9_Fx Rend Total'!W25</f>
        <v>239.04296950999998</v>
      </c>
      <c r="W19">
        <f>+'[14]Tab9_Fx Rend Total'!X25</f>
        <v>9107.57507601</v>
      </c>
      <c r="X19">
        <f>+'[14]Tab9_Fx Rend Total'!Y25</f>
        <v>7707.1676563599995</v>
      </c>
      <c r="Y19">
        <f>+'[14]Tab9_Fx Rend Total'!Z25</f>
        <v>1487.8371019799999</v>
      </c>
      <c r="Z19">
        <f>+'[14]Tab9_Fx Rend Total'!AA25</f>
        <v>396.45732764999997</v>
      </c>
      <c r="AA19">
        <f>+'[14]Tab9_Fx Rend Total'!AB25</f>
        <v>44499.537929509999</v>
      </c>
      <c r="AB19">
        <f>+'[14]Tab9_Fx Rend Total'!AC25</f>
        <v>12496.00457809</v>
      </c>
      <c r="AC19">
        <f>+'[14]Tab9_Fx Rend Total'!AD25</f>
        <v>746421.3522749301</v>
      </c>
      <c r="AD19">
        <f>+'[14]Tab9_Fx Rend Total'!AE25</f>
        <v>7433.6707612500004</v>
      </c>
      <c r="AE19">
        <f>+'[14]Tab9_Fx Rend Total'!AF25</f>
        <v>979.0390901799999</v>
      </c>
      <c r="AF19">
        <f>+'[14]Tab9_Fx Rend Total'!AG25</f>
        <v>6.5863627400000002</v>
      </c>
      <c r="AG19">
        <f>+'[14]Tab9_Fx Rend Total'!AH25</f>
        <v>162.75046980000002</v>
      </c>
      <c r="AH19">
        <f>+'[14]Tab9_Fx Rend Total'!AI25</f>
        <v>1356.8256933399998</v>
      </c>
      <c r="AI19">
        <f>+'[14]Tab9_Fx Rend Total'!AJ25</f>
        <v>1889.13060718</v>
      </c>
      <c r="AJ19">
        <f>+'[14]Tab9_Fx Rend Total'!AK25</f>
        <v>314.48892542000004</v>
      </c>
      <c r="AK19">
        <f>+'[14]Tab9_Fx Rend Total'!AL25</f>
        <v>59.420314220000002</v>
      </c>
      <c r="AL19">
        <f>+'[14]Tab9_Fx Rend Total'!AM25</f>
        <v>1012.8908022000001</v>
      </c>
      <c r="AM19">
        <f>+'[14]Tab9_Fx Rend Total'!AN25</f>
        <v>49.096059609999998</v>
      </c>
      <c r="AN19">
        <f>+'[14]Tab9_Fx Rend Total'!AO25</f>
        <v>1397.8346602399999</v>
      </c>
      <c r="AO19">
        <f>+'[14]Tab9_Fx Rend Total'!AP25</f>
        <v>5081.2386281000008</v>
      </c>
    </row>
    <row r="20" spans="2:41" x14ac:dyDescent="0.25">
      <c r="B20" t="str">
        <f>+'[14]Tab9_Fx Rend Total'!C26</f>
        <v>De 160 a 240</v>
      </c>
      <c r="C20">
        <f>+'[14]Tab9_Fx Rend Total'!D26</f>
        <v>30762</v>
      </c>
      <c r="D20">
        <f>+'[14]Tab9_Fx Rend Total'!E26</f>
        <v>13990.217562450001</v>
      </c>
      <c r="E20">
        <f>+'[14]Tab9_Fx Rend Total'!F26</f>
        <v>10278.3517756</v>
      </c>
      <c r="F20">
        <f>+'[14]Tab9_Fx Rend Total'!G26</f>
        <v>50327.52962881</v>
      </c>
      <c r="G20">
        <f>+'[14]Tab9_Fx Rend Total'!H26</f>
        <v>151.65053053</v>
      </c>
      <c r="H20">
        <f>+'[14]Tab9_Fx Rend Total'!I26</f>
        <v>0.38403809</v>
      </c>
      <c r="I20">
        <f>+'[14]Tab9_Fx Rend Total'!J26</f>
        <v>270.9130955</v>
      </c>
      <c r="J20">
        <f>+'[14]Tab9_Fx Rend Total'!K26</f>
        <v>42.15360201</v>
      </c>
      <c r="K20">
        <f>+'[14]Tab9_Fx Rend Total'!L26</f>
        <v>36.823219450000003</v>
      </c>
      <c r="L20">
        <f>+'[14]Tab9_Fx Rend Total'!M26</f>
        <v>396.21259529000002</v>
      </c>
      <c r="M20">
        <f>+'[14]Tab9_Fx Rend Total'!N26</f>
        <v>938.51277228999993</v>
      </c>
      <c r="N20">
        <f>+'[14]Tab9_Fx Rend Total'!O26</f>
        <v>73.417255859999997</v>
      </c>
      <c r="O20">
        <f>+'[14]Tab9_Fx Rend Total'!P26</f>
        <v>14.049712550000001</v>
      </c>
      <c r="P20">
        <f>+'[14]Tab9_Fx Rend Total'!Q26</f>
        <v>8.9396000000000007E-4</v>
      </c>
      <c r="Q20">
        <f>+'[14]Tab9_Fx Rend Total'!R26</f>
        <v>134.14562738999999</v>
      </c>
      <c r="R20">
        <f>+'[14]Tab9_Fx Rend Total'!S26</f>
        <v>11931.95421953</v>
      </c>
      <c r="S20">
        <f>+'[14]Tab9_Fx Rend Total'!T26</f>
        <v>3038.2702307099999</v>
      </c>
      <c r="T20">
        <f>+'[14]Tab9_Fx Rend Total'!U26</f>
        <v>11.3584905</v>
      </c>
      <c r="U20">
        <f>+'[14]Tab9_Fx Rend Total'!V26</f>
        <v>3026.9117402100001</v>
      </c>
      <c r="V20">
        <f>+'[14]Tab9_Fx Rend Total'!W26</f>
        <v>61.552760560000003</v>
      </c>
      <c r="W20">
        <f>+'[14]Tab9_Fx Rend Total'!X26</f>
        <v>3087.4325156199998</v>
      </c>
      <c r="X20">
        <f>+'[14]Tab9_Fx Rend Total'!Y26</f>
        <v>2391.2429881900002</v>
      </c>
      <c r="Y20">
        <f>+'[14]Tab9_Fx Rend Total'!Z26</f>
        <v>682.28343117999998</v>
      </c>
      <c r="Z20">
        <f>+'[14]Tab9_Fx Rend Total'!AA26</f>
        <v>108.50626368</v>
      </c>
      <c r="AA20">
        <f>+'[14]Tab9_Fx Rend Total'!AB26</f>
        <v>25070.058731429999</v>
      </c>
      <c r="AB20">
        <f>+'[14]Tab9_Fx Rend Total'!AC26</f>
        <v>6592.9911674200002</v>
      </c>
      <c r="AC20">
        <f>+'[14]Tab9_Fx Rend Total'!AD26</f>
        <v>356296.54716428003</v>
      </c>
      <c r="AD20">
        <f>+'[14]Tab9_Fx Rend Total'!AE26</f>
        <v>2993.0679112899998</v>
      </c>
      <c r="AE20">
        <f>+'[14]Tab9_Fx Rend Total'!AF26</f>
        <v>279.38714025000002</v>
      </c>
      <c r="AF20">
        <f>+'[14]Tab9_Fx Rend Total'!AG26</f>
        <v>1.1713654099999999</v>
      </c>
      <c r="AG20">
        <f>+'[14]Tab9_Fx Rend Total'!AH26</f>
        <v>38.825883070000003</v>
      </c>
      <c r="AH20">
        <f>+'[14]Tab9_Fx Rend Total'!AI26</f>
        <v>410.20916287</v>
      </c>
      <c r="AI20">
        <f>+'[14]Tab9_Fx Rend Total'!AJ26</f>
        <v>540.42469041999993</v>
      </c>
      <c r="AJ20">
        <f>+'[14]Tab9_Fx Rend Total'!AK26</f>
        <v>92.69744378</v>
      </c>
      <c r="AK20">
        <f>+'[14]Tab9_Fx Rend Total'!AL26</f>
        <v>18.93042823</v>
      </c>
      <c r="AL20">
        <f>+'[14]Tab9_Fx Rend Total'!AM26</f>
        <v>321.98454536999998</v>
      </c>
      <c r="AM20">
        <f>+'[14]Tab9_Fx Rend Total'!AN26</f>
        <v>26.577294329999997</v>
      </c>
      <c r="AN20">
        <f>+'[14]Tab9_Fx Rend Total'!AO26</f>
        <v>638.16823777000002</v>
      </c>
      <c r="AO20">
        <f>+'[14]Tab9_Fx Rend Total'!AP26</f>
        <v>3046.4082314699999</v>
      </c>
    </row>
    <row r="21" spans="2:41" x14ac:dyDescent="0.25">
      <c r="B21" t="str">
        <f>+'[14]Tab9_Fx Rend Total'!C27</f>
        <v>De 240 a 320</v>
      </c>
      <c r="C21">
        <f>+'[14]Tab9_Fx Rend Total'!D27</f>
        <v>13567</v>
      </c>
      <c r="D21">
        <f>+'[14]Tab9_Fx Rend Total'!E27</f>
        <v>7779.5267162800001</v>
      </c>
      <c r="E21">
        <f>+'[14]Tab9_Fx Rend Total'!F27</f>
        <v>7135.7381175600003</v>
      </c>
      <c r="F21">
        <f>+'[14]Tab9_Fx Rend Total'!G27</f>
        <v>31942.866345369999</v>
      </c>
      <c r="G21">
        <f>+'[14]Tab9_Fx Rend Total'!H27</f>
        <v>64.481675670000001</v>
      </c>
      <c r="H21">
        <f>+'[14]Tab9_Fx Rend Total'!I27</f>
        <v>1.7804400000000001E-2</v>
      </c>
      <c r="I21">
        <f>+'[14]Tab9_Fx Rend Total'!J27</f>
        <v>141.2748235</v>
      </c>
      <c r="J21">
        <f>+'[14]Tab9_Fx Rend Total'!K27</f>
        <v>18.553871640000001</v>
      </c>
      <c r="K21">
        <f>+'[14]Tab9_Fx Rend Total'!L27</f>
        <v>16.245800460000002</v>
      </c>
      <c r="L21">
        <f>+'[14]Tab9_Fx Rend Total'!M27</f>
        <v>191.83936477</v>
      </c>
      <c r="M21">
        <f>+'[14]Tab9_Fx Rend Total'!N27</f>
        <v>631.23404975000005</v>
      </c>
      <c r="N21">
        <f>+'[14]Tab9_Fx Rend Total'!O27</f>
        <v>39.841460600000005</v>
      </c>
      <c r="O21">
        <f>+'[14]Tab9_Fx Rend Total'!P27</f>
        <v>7.92741176</v>
      </c>
      <c r="P21">
        <f>+'[14]Tab9_Fx Rend Total'!Q27</f>
        <v>2.4766189999999997E-2</v>
      </c>
      <c r="Q21">
        <f>+'[14]Tab9_Fx Rend Total'!R27</f>
        <v>60.379074680000002</v>
      </c>
      <c r="R21">
        <f>+'[14]Tab9_Fx Rend Total'!S27</f>
        <v>6607.70661286</v>
      </c>
      <c r="S21">
        <f>+'[14]Tab9_Fx Rend Total'!T27</f>
        <v>1710.2583879900001</v>
      </c>
      <c r="T21">
        <f>+'[14]Tab9_Fx Rend Total'!U27</f>
        <v>7.5429636599999998</v>
      </c>
      <c r="U21">
        <f>+'[14]Tab9_Fx Rend Total'!V27</f>
        <v>1702.7154243299999</v>
      </c>
      <c r="V21">
        <f>+'[14]Tab9_Fx Rend Total'!W27</f>
        <v>17.269081579999998</v>
      </c>
      <c r="W21">
        <f>+'[14]Tab9_Fx Rend Total'!X27</f>
        <v>1719.52070688</v>
      </c>
      <c r="X21">
        <f>+'[14]Tab9_Fx Rend Total'!Y27</f>
        <v>1296.7076987</v>
      </c>
      <c r="Y21">
        <f>+'[14]Tab9_Fx Rend Total'!Z27</f>
        <v>422.01241469000001</v>
      </c>
      <c r="Z21">
        <f>+'[14]Tab9_Fx Rend Total'!AA27</f>
        <v>55.976070610000001</v>
      </c>
      <c r="AA21">
        <f>+'[14]Tab9_Fx Rend Total'!AB27</f>
        <v>15172.51805864</v>
      </c>
      <c r="AB21">
        <f>+'[14]Tab9_Fx Rend Total'!AC27</f>
        <v>4467.2850948900004</v>
      </c>
      <c r="AC21">
        <f>+'[14]Tab9_Fx Rend Total'!AD27</f>
        <v>229453.65624421</v>
      </c>
      <c r="AD21">
        <f>+'[14]Tab9_Fx Rend Total'!AE27</f>
        <v>2060.3603472599998</v>
      </c>
      <c r="AE21">
        <f>+'[14]Tab9_Fx Rend Total'!AF27</f>
        <v>145.39615843999999</v>
      </c>
      <c r="AF21">
        <f>+'[14]Tab9_Fx Rend Total'!AG27</f>
        <v>0.52126853000000006</v>
      </c>
      <c r="AG21">
        <f>+'[14]Tab9_Fx Rend Total'!AH27</f>
        <v>17.67920793</v>
      </c>
      <c r="AH21">
        <f>+'[14]Tab9_Fx Rend Total'!AI27</f>
        <v>191.24619450999998</v>
      </c>
      <c r="AI21">
        <f>+'[14]Tab9_Fx Rend Total'!AJ27</f>
        <v>269.25678168000002</v>
      </c>
      <c r="AJ21">
        <f>+'[14]Tab9_Fx Rend Total'!AK27</f>
        <v>51.878261020000004</v>
      </c>
      <c r="AK21">
        <f>+'[14]Tab9_Fx Rend Total'!AL27</f>
        <v>12.14719545</v>
      </c>
      <c r="AL21">
        <f>+'[14]Tab9_Fx Rend Total'!AM27</f>
        <v>149.53689224999999</v>
      </c>
      <c r="AM21">
        <f>+'[14]Tab9_Fx Rend Total'!AN27</f>
        <v>14.28452347</v>
      </c>
      <c r="AN21">
        <f>+'[14]Tab9_Fx Rend Total'!AO27</f>
        <v>328.44587968999997</v>
      </c>
      <c r="AO21">
        <f>+'[14]Tab9_Fx Rend Total'!AP27</f>
        <v>1915.0738618900002</v>
      </c>
    </row>
    <row r="22" spans="2:41" x14ac:dyDescent="0.25">
      <c r="B22" t="str">
        <f>+'[14]Tab9_Fx Rend Total'!C28</f>
        <v>Mais de 320</v>
      </c>
      <c r="C22">
        <f>+'[14]Tab9_Fx Rend Total'!D28</f>
        <v>28007</v>
      </c>
      <c r="D22">
        <f>+'[14]Tab9_Fx Rend Total'!E28</f>
        <v>35640.27003136</v>
      </c>
      <c r="E22">
        <f>+'[14]Tab9_Fx Rend Total'!F28</f>
        <v>77873.975317039993</v>
      </c>
      <c r="F22">
        <f>+'[14]Tab9_Fx Rend Total'!G28</f>
        <v>257190.16537267002</v>
      </c>
      <c r="G22">
        <f>+'[14]Tab9_Fx Rend Total'!H28</f>
        <v>117.30797869</v>
      </c>
      <c r="H22">
        <f>+'[14]Tab9_Fx Rend Total'!I28</f>
        <v>2.1777560000000001E-2</v>
      </c>
      <c r="I22">
        <f>+'[14]Tab9_Fx Rend Total'!J28</f>
        <v>653.86989512000002</v>
      </c>
      <c r="J22">
        <f>+'[14]Tab9_Fx Rend Total'!K28</f>
        <v>40.780153439999999</v>
      </c>
      <c r="K22">
        <f>+'[14]Tab9_Fx Rend Total'!L28</f>
        <v>34.688004920000004</v>
      </c>
      <c r="L22">
        <f>+'[14]Tab9_Fx Rend Total'!M28</f>
        <v>493.86615419999998</v>
      </c>
      <c r="M22">
        <f>+'[14]Tab9_Fx Rend Total'!N28</f>
        <v>4910.0789709199998</v>
      </c>
      <c r="N22">
        <f>+'[14]Tab9_Fx Rend Total'!O28</f>
        <v>138.10549277999999</v>
      </c>
      <c r="O22">
        <f>+'[14]Tab9_Fx Rend Total'!P28</f>
        <v>27.40863702</v>
      </c>
      <c r="P22">
        <f>+'[14]Tab9_Fx Rend Total'!Q28</f>
        <v>0</v>
      </c>
      <c r="Q22">
        <f>+'[14]Tab9_Fx Rend Total'!R28</f>
        <v>117.84101118000001</v>
      </c>
      <c r="R22">
        <f>+'[14]Tab9_Fx Rend Total'!S28</f>
        <v>29106.301955529998</v>
      </c>
      <c r="S22">
        <f>+'[14]Tab9_Fx Rend Total'!T28</f>
        <v>7784.5034751899993</v>
      </c>
      <c r="T22">
        <f>+'[14]Tab9_Fx Rend Total'!U28</f>
        <v>75.41931409</v>
      </c>
      <c r="U22">
        <f>+'[14]Tab9_Fx Rend Total'!V28</f>
        <v>7709.0841611000005</v>
      </c>
      <c r="V22">
        <f>+'[14]Tab9_Fx Rend Total'!W28</f>
        <v>26.209606190000002</v>
      </c>
      <c r="W22">
        <f>+'[14]Tab9_Fx Rend Total'!X28</f>
        <v>7735.2937673000006</v>
      </c>
      <c r="X22">
        <f>+'[14]Tab9_Fx Rend Total'!Y28</f>
        <v>5749.4520147399999</v>
      </c>
      <c r="Y22">
        <f>+'[14]Tab9_Fx Rend Total'!Z28</f>
        <v>1880.56527168</v>
      </c>
      <c r="Z22">
        <f>+'[14]Tab9_Fx Rend Total'!AA28</f>
        <v>209.05539865</v>
      </c>
      <c r="AA22">
        <f>+'[14]Tab9_Fx Rend Total'!AB28</f>
        <v>90125.823822229999</v>
      </c>
      <c r="AB22">
        <f>+'[14]Tab9_Fx Rend Total'!AC28</f>
        <v>46889.949280269997</v>
      </c>
      <c r="AC22">
        <f>+'[14]Tab9_Fx Rend Total'!AD28</f>
        <v>1801748.0640171201</v>
      </c>
      <c r="AD22">
        <f>+'[14]Tab9_Fx Rend Total'!AE28</f>
        <v>10057.205461240001</v>
      </c>
      <c r="AE22">
        <f>+'[14]Tab9_Fx Rend Total'!AF28</f>
        <v>1159.93164351</v>
      </c>
      <c r="AF22">
        <f>+'[14]Tab9_Fx Rend Total'!AG28</f>
        <v>0.50705739000000005</v>
      </c>
      <c r="AG22">
        <f>+'[14]Tab9_Fx Rend Total'!AH28</f>
        <v>44.829555799999994</v>
      </c>
      <c r="AH22">
        <f>+'[14]Tab9_Fx Rend Total'!AI28</f>
        <v>495.85438289999996</v>
      </c>
      <c r="AI22">
        <f>+'[14]Tab9_Fx Rend Total'!AJ28</f>
        <v>729.83027078999999</v>
      </c>
      <c r="AJ22">
        <f>+'[14]Tab9_Fx Rend Total'!AK28</f>
        <v>198.87304309999999</v>
      </c>
      <c r="AK22">
        <f>+'[14]Tab9_Fx Rend Total'!AL28</f>
        <v>39.544986810000005</v>
      </c>
      <c r="AL22">
        <f>+'[14]Tab9_Fx Rend Total'!AM28</f>
        <v>683.37891413</v>
      </c>
      <c r="AM22">
        <f>+'[14]Tab9_Fx Rend Total'!AN28</f>
        <v>73.61148329000001</v>
      </c>
      <c r="AN22">
        <f>+'[14]Tab9_Fx Rend Total'!AO28</f>
        <v>3361.7650756999997</v>
      </c>
      <c r="AO22">
        <f>+'[14]Tab9_Fx Rend Total'!AP28</f>
        <v>24834.55685891</v>
      </c>
    </row>
    <row r="23" spans="2:41" x14ac:dyDescent="0.25">
      <c r="B23" t="str">
        <f>+'[14]Tab9_Fx Rend Total'!C29</f>
        <v xml:space="preserve">    Total</v>
      </c>
      <c r="C23">
        <f>+'[14]Tab9_Fx Rend Total'!D29</f>
        <v>31634843</v>
      </c>
      <c r="D23">
        <f>+'[14]Tab9_Fx Rend Total'!E29</f>
        <v>1975433.2389737801</v>
      </c>
      <c r="E23">
        <f>+'[14]Tab9_Fx Rend Total'!F29</f>
        <v>331598.70679500001</v>
      </c>
      <c r="F23">
        <f>+'[14]Tab9_Fx Rend Total'!G29</f>
        <v>1096109.7149968001</v>
      </c>
      <c r="G23">
        <f>+'[14]Tab9_Fx Rend Total'!H29</f>
        <v>82146.81640245</v>
      </c>
      <c r="H23">
        <f>+'[14]Tab9_Fx Rend Total'!I29</f>
        <v>52.087087220000001</v>
      </c>
      <c r="I23">
        <f>+'[14]Tab9_Fx Rend Total'!J29</f>
        <v>16426.305676389999</v>
      </c>
      <c r="J23">
        <f>+'[14]Tab9_Fx Rend Total'!K29</f>
        <v>27172.353960329994</v>
      </c>
      <c r="K23">
        <f>+'[14]Tab9_Fx Rend Total'!L29</f>
        <v>18947.608695410006</v>
      </c>
      <c r="L23">
        <f>+'[14]Tab9_Fx Rend Total'!M29</f>
        <v>92102.925664660012</v>
      </c>
      <c r="M23">
        <f>+'[14]Tab9_Fx Rend Total'!N29</f>
        <v>18651.181637850001</v>
      </c>
      <c r="N23">
        <f>+'[14]Tab9_Fx Rend Total'!O29</f>
        <v>13906.772201900001</v>
      </c>
      <c r="O23">
        <f>+'[14]Tab9_Fx Rend Total'!P29</f>
        <v>1746.8469382200003</v>
      </c>
      <c r="P23">
        <f>+'[14]Tab9_Fx Rend Total'!Q29</f>
        <v>14.419693619999997</v>
      </c>
      <c r="Q23">
        <f>+'[14]Tab9_Fx Rend Total'!R29</f>
        <v>149333.87605972</v>
      </c>
      <c r="R23">
        <f>+'[14]Tab9_Fx Rend Total'!S29</f>
        <v>1554932.2899100003</v>
      </c>
      <c r="S23">
        <f>+'[14]Tab9_Fx Rend Total'!T29</f>
        <v>204836.67533971003</v>
      </c>
      <c r="T23">
        <f>+'[14]Tab9_Fx Rend Total'!U29</f>
        <v>312.65778778999993</v>
      </c>
      <c r="U23">
        <f>+'[14]Tab9_Fx Rend Total'!V29</f>
        <v>204524.01755191994</v>
      </c>
      <c r="V23">
        <f>+'[14]Tab9_Fx Rend Total'!W29</f>
        <v>1042.08956478</v>
      </c>
      <c r="W23">
        <f>+'[14]Tab9_Fx Rend Total'!X29</f>
        <v>205560.58954419996</v>
      </c>
      <c r="X23">
        <f>+'[14]Tab9_Fx Rend Total'!Y29</f>
        <v>204641.02168016002</v>
      </c>
      <c r="Y23">
        <f>+'[14]Tab9_Fx Rend Total'!Z29</f>
        <v>25262.576165389997</v>
      </c>
      <c r="Z23">
        <f>+'[14]Tab9_Fx Rend Total'!AA29</f>
        <v>26271.130002599999</v>
      </c>
      <c r="AA23">
        <f>+'[14]Tab9_Fx Rend Total'!AB29</f>
        <v>841685.20565111993</v>
      </c>
      <c r="AB23">
        <f>+'[14]Tab9_Fx Rend Total'!AC29</f>
        <v>110324.45436450999</v>
      </c>
      <c r="AC23">
        <f>+'[14]Tab9_Fx Rend Total'!AD29</f>
        <v>11134517.26186363</v>
      </c>
      <c r="AD23">
        <f>+'[14]Tab9_Fx Rend Total'!AE29</f>
        <v>87941.531373349993</v>
      </c>
      <c r="AE23">
        <f>+'[14]Tab9_Fx Rend Total'!AF29</f>
        <v>16020.380675190001</v>
      </c>
      <c r="AF23">
        <f>+'[14]Tab9_Fx Rend Total'!AG29</f>
        <v>945.39907079000022</v>
      </c>
      <c r="AG23">
        <f>+'[14]Tab9_Fx Rend Total'!AH29</f>
        <v>3928.8120332499993</v>
      </c>
      <c r="AH23">
        <f>+'[14]Tab9_Fx Rend Total'!AI29</f>
        <v>52966.30786126999</v>
      </c>
      <c r="AI23">
        <f>+'[14]Tab9_Fx Rend Total'!AJ29</f>
        <v>116861.23559420001</v>
      </c>
      <c r="AJ23">
        <f>+'[14]Tab9_Fx Rend Total'!AK29</f>
        <v>15315.997330329999</v>
      </c>
      <c r="AK23">
        <f>+'[14]Tab9_Fx Rend Total'!AL29</f>
        <v>1977.17789655</v>
      </c>
      <c r="AL23">
        <f>+'[14]Tab9_Fx Rend Total'!AM29</f>
        <v>9596.77160869</v>
      </c>
      <c r="AM23">
        <f>+'[14]Tab9_Fx Rend Total'!AN29</f>
        <v>509.72778781</v>
      </c>
      <c r="AN23">
        <f>+'[14]Tab9_Fx Rend Total'!AO29</f>
        <v>24488.407187420002</v>
      </c>
      <c r="AO23">
        <f>+'[14]Tab9_Fx Rend Total'!AP29</f>
        <v>216261.57361127</v>
      </c>
    </row>
    <row r="25" spans="2:41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>
        <v>998</v>
      </c>
      <c r="I25" t="s">
        <v>6</v>
      </c>
      <c r="J25" t="s">
        <v>7</v>
      </c>
      <c r="K25" t="s">
        <v>8</v>
      </c>
      <c r="N25" t="s">
        <v>1</v>
      </c>
      <c r="O25" t="s">
        <v>4</v>
      </c>
    </row>
    <row r="26" spans="2:41" x14ac:dyDescent="0.25">
      <c r="B26" t="str">
        <f>+B6</f>
        <v>Até 1/2</v>
      </c>
      <c r="C26" s="1">
        <f>+D6+E6+F6-M6</f>
        <v>1520.8715378500001</v>
      </c>
      <c r="D26" s="1">
        <f>+S6</f>
        <v>2.1484200000000002E-2</v>
      </c>
      <c r="E26">
        <f>+C6</f>
        <v>1604246</v>
      </c>
      <c r="F26" s="2">
        <f>+D26/C26</f>
        <v>1.4126242398073556E-5</v>
      </c>
      <c r="G26" s="1">
        <f>+C26*$H$18</f>
        <v>3398.8450055279873</v>
      </c>
      <c r="I26" t="e">
        <f>+C26*1000000/#REF!</f>
        <v>#REF!</v>
      </c>
      <c r="J26" t="e">
        <f>+I26/E26</f>
        <v>#REF!</v>
      </c>
      <c r="K26" t="e">
        <f>+J26/12</f>
        <v>#REF!</v>
      </c>
      <c r="N26">
        <f>+C26*1000000/E26</f>
        <v>948.02887951723119</v>
      </c>
      <c r="O26" s="3">
        <f>+F26</f>
        <v>1.4126242398073556E-5</v>
      </c>
    </row>
    <row r="27" spans="2:41" x14ac:dyDescent="0.25">
      <c r="B27" t="str">
        <f>+B7</f>
        <v>De 1/2 a 1</v>
      </c>
      <c r="C27" s="1">
        <f>+D7+E7+F7-M7</f>
        <v>5915.2649676600004</v>
      </c>
      <c r="D27" s="1">
        <f>+S7</f>
        <v>0.14860842999999999</v>
      </c>
      <c r="E27">
        <f>+C7</f>
        <v>578381</v>
      </c>
      <c r="F27" s="2">
        <f t="shared" ref="F27:F42" si="0">+D27/C27</f>
        <v>2.5122869526973615E-5</v>
      </c>
      <c r="G27" s="1">
        <f t="shared" ref="G27:G43" si="1">+C27*$H$18</f>
        <v>13219.439177701792</v>
      </c>
      <c r="I27" t="e">
        <f>+C27*1000000/#REF!</f>
        <v>#REF!</v>
      </c>
      <c r="J27" t="e">
        <f t="shared" ref="J27:J43" si="2">+I27/E27</f>
        <v>#REF!</v>
      </c>
      <c r="K27" t="e">
        <f t="shared" ref="K27:K43" si="3">+J27/12</f>
        <v>#REF!</v>
      </c>
      <c r="N27">
        <f t="shared" ref="N27:N43" si="4">+C27*1000000/E27</f>
        <v>10227.280923232265</v>
      </c>
      <c r="O27" s="3">
        <f t="shared" ref="O27:O42" si="5">+F27</f>
        <v>2.5122869526973615E-5</v>
      </c>
    </row>
    <row r="28" spans="2:41" x14ac:dyDescent="0.25">
      <c r="B28" t="str">
        <f>+B8</f>
        <v>De 1 a 2</v>
      </c>
      <c r="C28" s="1">
        <f>+D8+E8+F8-M8</f>
        <v>51757.170484679998</v>
      </c>
      <c r="D28" s="1">
        <f>+S8</f>
        <v>1.1349713100000001</v>
      </c>
      <c r="E28">
        <f>+C8</f>
        <v>2755245</v>
      </c>
      <c r="F28" s="2">
        <f t="shared" si="0"/>
        <v>2.1928774300672964E-5</v>
      </c>
      <c r="G28" s="1">
        <f t="shared" si="1"/>
        <v>115666.96859275778</v>
      </c>
      <c r="I28" t="e">
        <f>+C28*1000000/#REF!</f>
        <v>#REF!</v>
      </c>
      <c r="J28" t="e">
        <f t="shared" si="2"/>
        <v>#REF!</v>
      </c>
      <c r="K28" t="e">
        <f t="shared" si="3"/>
        <v>#REF!</v>
      </c>
      <c r="N28">
        <f t="shared" si="4"/>
        <v>18784.961222932987</v>
      </c>
      <c r="O28" s="3">
        <f t="shared" si="5"/>
        <v>2.1928774300672964E-5</v>
      </c>
    </row>
    <row r="29" spans="2:41" x14ac:dyDescent="0.25">
      <c r="B29" t="str">
        <f>+B9</f>
        <v>De 2 a 3</v>
      </c>
      <c r="C29" s="1">
        <f>+D9+E9+F9-M9</f>
        <v>159846.37638373999</v>
      </c>
      <c r="D29" s="1">
        <f>+S9</f>
        <v>404.80329429</v>
      </c>
      <c r="E29">
        <f>+C9</f>
        <v>5014845</v>
      </c>
      <c r="F29" s="2">
        <f t="shared" si="0"/>
        <v>2.5324521171390013E-3</v>
      </c>
      <c r="G29" s="1">
        <f t="shared" si="1"/>
        <v>357224.81781180209</v>
      </c>
      <c r="I29" t="e">
        <f>+C29*1000000/#REF!</f>
        <v>#REF!</v>
      </c>
      <c r="J29" t="e">
        <f t="shared" si="2"/>
        <v>#REF!</v>
      </c>
      <c r="K29" t="e">
        <f t="shared" si="3"/>
        <v>#REF!</v>
      </c>
      <c r="N29">
        <f t="shared" si="4"/>
        <v>31874.63947215517</v>
      </c>
      <c r="O29" s="3">
        <f t="shared" si="5"/>
        <v>2.5324521171390013E-3</v>
      </c>
    </row>
    <row r="30" spans="2:41" x14ac:dyDescent="0.25">
      <c r="B30" t="str">
        <f>+B10</f>
        <v>De 3 a 5</v>
      </c>
      <c r="C30" s="1">
        <f>+D10+E10+F10-M10</f>
        <v>402551.98330770002</v>
      </c>
      <c r="D30" s="1">
        <f>+S10</f>
        <v>6348.9201102299994</v>
      </c>
      <c r="E30">
        <f>+C10</f>
        <v>8262962</v>
      </c>
      <c r="F30" s="2">
        <f t="shared" si="0"/>
        <v>1.5771677630456622E-2</v>
      </c>
      <c r="G30" s="1">
        <f t="shared" si="1"/>
        <v>899623.51446523389</v>
      </c>
      <c r="I30" t="e">
        <f>+C30*1000000/#REF!</f>
        <v>#REF!</v>
      </c>
      <c r="J30" t="e">
        <f t="shared" si="2"/>
        <v>#REF!</v>
      </c>
      <c r="K30" t="e">
        <f t="shared" si="3"/>
        <v>#REF!</v>
      </c>
      <c r="N30">
        <f t="shared" si="4"/>
        <v>48717.637005676661</v>
      </c>
      <c r="O30" s="3">
        <f t="shared" si="5"/>
        <v>1.5771677630456622E-2</v>
      </c>
    </row>
    <row r="31" spans="2:41" x14ac:dyDescent="0.25">
      <c r="B31" t="str">
        <f>+B11</f>
        <v>De 5 a 7</v>
      </c>
      <c r="C31" s="1">
        <f>+D11+E11+F11-M11</f>
        <v>318248.76646313001</v>
      </c>
      <c r="D31" s="1">
        <f>+S11</f>
        <v>12338.476121579999</v>
      </c>
      <c r="E31">
        <f>+C11</f>
        <v>4316910</v>
      </c>
      <c r="F31" s="2">
        <f t="shared" si="0"/>
        <v>3.8769910277121046E-2</v>
      </c>
      <c r="G31" s="1">
        <f t="shared" si="1"/>
        <v>711222.61380325444</v>
      </c>
      <c r="I31" t="e">
        <f>+C31*1000000/#REF!</f>
        <v>#REF!</v>
      </c>
      <c r="J31" t="e">
        <f t="shared" si="2"/>
        <v>#REF!</v>
      </c>
      <c r="K31" t="e">
        <f t="shared" si="3"/>
        <v>#REF!</v>
      </c>
      <c r="N31">
        <f t="shared" si="4"/>
        <v>73721.427239189608</v>
      </c>
      <c r="O31" s="3">
        <f t="shared" si="5"/>
        <v>3.8769910277121046E-2</v>
      </c>
    </row>
    <row r="32" spans="2:41" x14ac:dyDescent="0.25">
      <c r="B32" t="str">
        <f>+B12</f>
        <v>De 7 a 10</v>
      </c>
      <c r="C32" s="1">
        <f>+D12+E12+F12-M12</f>
        <v>334972.50200099999</v>
      </c>
      <c r="D32" s="1">
        <f>+S12</f>
        <v>22211.342117159998</v>
      </c>
      <c r="E32">
        <f>+C12</f>
        <v>3219144</v>
      </c>
      <c r="F32" s="2">
        <f t="shared" si="0"/>
        <v>6.6307956576966101E-2</v>
      </c>
      <c r="G32" s="1">
        <f t="shared" si="1"/>
        <v>748596.83219846152</v>
      </c>
      <c r="I32" t="e">
        <f>+C32*1000000/#REF!</f>
        <v>#REF!</v>
      </c>
      <c r="J32" t="e">
        <f t="shared" si="2"/>
        <v>#REF!</v>
      </c>
      <c r="K32" t="e">
        <f t="shared" si="3"/>
        <v>#REF!</v>
      </c>
      <c r="N32">
        <f t="shared" si="4"/>
        <v>104056.38952497931</v>
      </c>
      <c r="O32" s="3">
        <f t="shared" si="5"/>
        <v>6.6307956576966101E-2</v>
      </c>
    </row>
    <row r="33" spans="2:15" x14ac:dyDescent="0.25">
      <c r="B33" t="str">
        <f>+B13</f>
        <v>De 10 a 15</v>
      </c>
      <c r="C33" s="1">
        <f>+D13+E13+F13-M13</f>
        <v>383098.62253108999</v>
      </c>
      <c r="D33" s="1">
        <f>+S13</f>
        <v>35293.131836280001</v>
      </c>
      <c r="E33">
        <f>+C13</f>
        <v>2526189</v>
      </c>
      <c r="F33" s="2">
        <f t="shared" si="0"/>
        <v>9.2125446975251976E-2</v>
      </c>
      <c r="G33" s="1">
        <f t="shared" si="1"/>
        <v>856149.12726630911</v>
      </c>
      <c r="I33" t="e">
        <f>+C33*1000000/#REF!</f>
        <v>#REF!</v>
      </c>
      <c r="J33" t="e">
        <f t="shared" si="2"/>
        <v>#REF!</v>
      </c>
      <c r="K33" t="e">
        <f t="shared" si="3"/>
        <v>#REF!</v>
      </c>
      <c r="N33">
        <f t="shared" si="4"/>
        <v>151650.81572720408</v>
      </c>
      <c r="O33" s="3">
        <f t="shared" si="5"/>
        <v>9.2125446975251976E-2</v>
      </c>
    </row>
    <row r="34" spans="2:15" x14ac:dyDescent="0.25">
      <c r="B34" t="str">
        <f>+B14</f>
        <v>De 15 a 20</v>
      </c>
      <c r="C34" s="1">
        <f>+D14+E14+F14-M14</f>
        <v>251158.22747255</v>
      </c>
      <c r="D34" s="1">
        <f>+S14</f>
        <v>26005.515476830002</v>
      </c>
      <c r="E34">
        <f>+C14</f>
        <v>1167190</v>
      </c>
      <c r="F34" s="2">
        <f t="shared" si="0"/>
        <v>0.10354235948600266</v>
      </c>
      <c r="G34" s="1">
        <f t="shared" si="1"/>
        <v>561288.62024014816</v>
      </c>
      <c r="I34" t="e">
        <f>+C34*1000000/#REF!</f>
        <v>#REF!</v>
      </c>
      <c r="J34" t="e">
        <f t="shared" si="2"/>
        <v>#REF!</v>
      </c>
      <c r="K34" t="e">
        <f t="shared" si="3"/>
        <v>#REF!</v>
      </c>
      <c r="N34">
        <f t="shared" si="4"/>
        <v>215181.95621325576</v>
      </c>
      <c r="O34" s="3">
        <f t="shared" si="5"/>
        <v>0.10354235948600266</v>
      </c>
    </row>
    <row r="35" spans="2:15" x14ac:dyDescent="0.25">
      <c r="B35" t="str">
        <f>+B15</f>
        <v>De 20 a 30</v>
      </c>
      <c r="C35" s="1">
        <f>+D15+E15+F15-M15</f>
        <v>323902.11977782001</v>
      </c>
      <c r="D35" s="1">
        <f>+S15</f>
        <v>34473.244083900005</v>
      </c>
      <c r="E35">
        <f>+C15</f>
        <v>1073869</v>
      </c>
      <c r="F35" s="2">
        <f t="shared" si="0"/>
        <v>0.1064310542565972</v>
      </c>
      <c r="G35" s="1">
        <f t="shared" si="1"/>
        <v>723856.732596274</v>
      </c>
      <c r="I35" t="e">
        <f>+C35*1000000/#REF!</f>
        <v>#REF!</v>
      </c>
      <c r="J35" t="e">
        <f t="shared" si="2"/>
        <v>#REF!</v>
      </c>
      <c r="K35" t="e">
        <f t="shared" si="3"/>
        <v>#REF!</v>
      </c>
      <c r="N35">
        <f t="shared" si="4"/>
        <v>301621.63148188469</v>
      </c>
      <c r="O35" s="3">
        <f t="shared" si="5"/>
        <v>0.1064310542565972</v>
      </c>
    </row>
    <row r="36" spans="2:15" x14ac:dyDescent="0.25">
      <c r="B36" t="str">
        <f>+B16</f>
        <v>De 30 a 40</v>
      </c>
      <c r="C36" s="1">
        <f>+D16+E16+F16-M16</f>
        <v>197864.96423998999</v>
      </c>
      <c r="D36" s="1">
        <f>+S16</f>
        <v>20747.34058742</v>
      </c>
      <c r="E36">
        <f>+C16</f>
        <v>462066</v>
      </c>
      <c r="F36" s="2">
        <f t="shared" si="0"/>
        <v>0.10485606012722695</v>
      </c>
      <c r="G36" s="1">
        <f t="shared" si="1"/>
        <v>442188.79026874923</v>
      </c>
      <c r="I36" t="e">
        <f>+C36*1000000/#REF!</f>
        <v>#REF!</v>
      </c>
      <c r="J36" t="e">
        <f t="shared" si="2"/>
        <v>#REF!</v>
      </c>
      <c r="K36" t="e">
        <f t="shared" si="3"/>
        <v>#REF!</v>
      </c>
      <c r="N36">
        <f t="shared" si="4"/>
        <v>428217.96938097588</v>
      </c>
      <c r="O36" s="3">
        <f t="shared" si="5"/>
        <v>0.10485606012722695</v>
      </c>
    </row>
    <row r="37" spans="2:15" x14ac:dyDescent="0.25">
      <c r="B37" t="str">
        <f>+B17</f>
        <v>De 40 a 60</v>
      </c>
      <c r="C37" s="1">
        <f>+D17+E17+F17-M17</f>
        <v>203151.31851114999</v>
      </c>
      <c r="D37" s="1">
        <f>+S17</f>
        <v>18465.73577195</v>
      </c>
      <c r="E37">
        <f>+C17</f>
        <v>340832</v>
      </c>
      <c r="F37" s="2">
        <f t="shared" si="0"/>
        <v>9.0896460368956475E-2</v>
      </c>
      <c r="G37" s="1">
        <f t="shared" si="1"/>
        <v>454002.73928733874</v>
      </c>
      <c r="I37" t="e">
        <f>+C37*1000000/#REF!</f>
        <v>#REF!</v>
      </c>
      <c r="J37" t="e">
        <f t="shared" si="2"/>
        <v>#REF!</v>
      </c>
      <c r="K37" t="e">
        <f t="shared" si="3"/>
        <v>#REF!</v>
      </c>
      <c r="N37">
        <f t="shared" si="4"/>
        <v>596045.32001440588</v>
      </c>
      <c r="O37" s="3">
        <f t="shared" si="5"/>
        <v>9.0896460368956475E-2</v>
      </c>
    </row>
    <row r="38" spans="2:15" x14ac:dyDescent="0.25">
      <c r="B38" t="str">
        <f>+B18</f>
        <v>De 60 a 80</v>
      </c>
      <c r="C38" s="1">
        <f>+D18+E18+F18-M18</f>
        <v>100483.78366814001</v>
      </c>
      <c r="D38" s="1">
        <f>+S18</f>
        <v>7119.3112189200001</v>
      </c>
      <c r="E38">
        <f>+C18</f>
        <v>117987</v>
      </c>
      <c r="F38" s="2">
        <f t="shared" si="0"/>
        <v>7.0850349768201371E-2</v>
      </c>
      <c r="G38" s="1">
        <f t="shared" si="1"/>
        <v>224561.2451527754</v>
      </c>
      <c r="I38" t="e">
        <f>+C38*1000000/#REF!</f>
        <v>#REF!</v>
      </c>
      <c r="J38" t="e">
        <f t="shared" si="2"/>
        <v>#REF!</v>
      </c>
      <c r="K38" t="e">
        <f t="shared" si="3"/>
        <v>#REF!</v>
      </c>
      <c r="N38">
        <f t="shared" si="4"/>
        <v>851651.31470534904</v>
      </c>
      <c r="O38" s="3">
        <f t="shared" si="5"/>
        <v>7.0850349768201371E-2</v>
      </c>
    </row>
    <row r="39" spans="2:15" x14ac:dyDescent="0.25">
      <c r="B39" t="str">
        <f>+B19</f>
        <v>De 80 a 160</v>
      </c>
      <c r="C39" s="1">
        <f>+D19+E19+F19-M19</f>
        <v>164339.69270705001</v>
      </c>
      <c r="D39" s="1">
        <f>+S19</f>
        <v>8894.5175633199997</v>
      </c>
      <c r="E39">
        <f>+C19</f>
        <v>122641</v>
      </c>
      <c r="F39" s="2">
        <f t="shared" si="0"/>
        <v>5.4122758883182659E-2</v>
      </c>
      <c r="G39" s="1">
        <f t="shared" si="1"/>
        <v>367266.48495045415</v>
      </c>
      <c r="I39" t="e">
        <f>+C39*1000000/#REF!</f>
        <v>#REF!</v>
      </c>
      <c r="J39" t="e">
        <f t="shared" si="2"/>
        <v>#REF!</v>
      </c>
      <c r="K39" t="e">
        <f t="shared" si="3"/>
        <v>#REF!</v>
      </c>
      <c r="N39">
        <f t="shared" si="4"/>
        <v>1340006.1374829789</v>
      </c>
      <c r="O39" s="3">
        <f t="shared" si="5"/>
        <v>5.4122758883182659E-2</v>
      </c>
    </row>
    <row r="40" spans="2:15" x14ac:dyDescent="0.25">
      <c r="B40" t="str">
        <f>+B20</f>
        <v>De 160 a 240</v>
      </c>
      <c r="C40" s="1">
        <f>+D20+E20+F20-M20</f>
        <v>73657.586194570002</v>
      </c>
      <c r="D40" s="1">
        <f>+S20</f>
        <v>3038.2702307099999</v>
      </c>
      <c r="E40">
        <f>+C20</f>
        <v>30762</v>
      </c>
      <c r="F40" s="2">
        <f t="shared" si="0"/>
        <v>4.1248571772149377E-2</v>
      </c>
      <c r="G40" s="1">
        <f t="shared" si="1"/>
        <v>164610.0362365733</v>
      </c>
      <c r="I40" t="e">
        <f>+C40*1000000/#REF!</f>
        <v>#REF!</v>
      </c>
      <c r="J40" t="e">
        <f t="shared" si="2"/>
        <v>#REF!</v>
      </c>
      <c r="K40" t="e">
        <f t="shared" si="3"/>
        <v>#REF!</v>
      </c>
      <c r="N40">
        <f t="shared" si="4"/>
        <v>2394434.2433707174</v>
      </c>
      <c r="O40" s="3">
        <f t="shared" si="5"/>
        <v>4.1248571772149377E-2</v>
      </c>
    </row>
    <row r="41" spans="2:15" x14ac:dyDescent="0.25">
      <c r="B41" t="str">
        <f>+B21</f>
        <v>De 240 a 320</v>
      </c>
      <c r="C41" s="1">
        <f>+D21+E21+F21-M21</f>
        <v>46226.897129460005</v>
      </c>
      <c r="D41" s="1">
        <f>+S21</f>
        <v>1710.2583879900001</v>
      </c>
      <c r="E41">
        <f>+C21</f>
        <v>13567</v>
      </c>
      <c r="F41" s="2">
        <f t="shared" si="0"/>
        <v>3.6997040558451565E-2</v>
      </c>
      <c r="G41" s="1">
        <f t="shared" si="1"/>
        <v>103307.90899777978</v>
      </c>
      <c r="I41" t="e">
        <f>+C41*1000000/#REF!</f>
        <v>#REF!</v>
      </c>
      <c r="J41" t="e">
        <f t="shared" si="2"/>
        <v>#REF!</v>
      </c>
      <c r="K41" t="e">
        <f t="shared" si="3"/>
        <v>#REF!</v>
      </c>
      <c r="N41">
        <f t="shared" si="4"/>
        <v>3407304.2772506825</v>
      </c>
      <c r="O41" s="3">
        <f t="shared" si="5"/>
        <v>3.6997040558451565E-2</v>
      </c>
    </row>
    <row r="42" spans="2:15" x14ac:dyDescent="0.25">
      <c r="B42" t="str">
        <f>+B22</f>
        <v>Mais de 320</v>
      </c>
      <c r="C42" s="1">
        <f>+D22+E22+F22-M22</f>
        <v>365794.33175015001</v>
      </c>
      <c r="D42" s="1">
        <f>+S22</f>
        <v>7784.5034751899993</v>
      </c>
      <c r="E42">
        <f>+C22</f>
        <v>28007</v>
      </c>
      <c r="F42" s="2">
        <f t="shared" si="0"/>
        <v>2.1281093771860524E-2</v>
      </c>
      <c r="G42" s="1">
        <f t="shared" si="1"/>
        <v>817477.48352041724</v>
      </c>
      <c r="I42" t="e">
        <f>+C42*1000000/#REF!</f>
        <v>#REF!</v>
      </c>
      <c r="J42" t="e">
        <f t="shared" si="2"/>
        <v>#REF!</v>
      </c>
      <c r="K42" t="e">
        <f t="shared" si="3"/>
        <v>#REF!</v>
      </c>
      <c r="N42">
        <f t="shared" si="4"/>
        <v>13060818.072273005</v>
      </c>
      <c r="O42" s="3">
        <f t="shared" si="5"/>
        <v>2.1281093771860524E-2</v>
      </c>
    </row>
    <row r="43" spans="2:15" x14ac:dyDescent="0.25">
      <c r="B43" t="str">
        <f>+B23</f>
        <v xml:space="preserve">    Total</v>
      </c>
      <c r="C43" s="1">
        <f>+D23+E23+F23-M23</f>
        <v>3384490.4791277298</v>
      </c>
      <c r="D43" s="1">
        <f>+S23</f>
        <v>204836.67533971003</v>
      </c>
      <c r="E43">
        <f>+C23</f>
        <v>31634843</v>
      </c>
      <c r="F43" s="2">
        <f>+D43/C43</f>
        <v>6.0522160308307829E-2</v>
      </c>
      <c r="G43" s="1">
        <f t="shared" si="1"/>
        <v>7563662.1995715583</v>
      </c>
      <c r="I43" t="e">
        <f>+C43*1000000/#REF!</f>
        <v>#REF!</v>
      </c>
      <c r="J43" t="e">
        <f t="shared" si="2"/>
        <v>#REF!</v>
      </c>
      <c r="K43" t="e">
        <f t="shared" si="3"/>
        <v>#REF!</v>
      </c>
      <c r="N43">
        <f t="shared" si="4"/>
        <v>106986.16329873141</v>
      </c>
      <c r="O43" s="3">
        <f>+F43</f>
        <v>6.0522160308307829E-2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Mauricio de Rosa</cp:lastModifiedBy>
  <dcterms:created xsi:type="dcterms:W3CDTF">2020-02-20T15:06:03Z</dcterms:created>
  <dcterms:modified xsi:type="dcterms:W3CDTF">2023-09-25T15:29:31Z</dcterms:modified>
</cp:coreProperties>
</file>