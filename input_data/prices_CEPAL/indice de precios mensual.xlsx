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rcmorgan/Dropbox/DINA-LATAM/Data/CEPAL/prices/"/>
    </mc:Choice>
  </mc:AlternateContent>
  <xr:revisionPtr revIDLastSave="0" documentId="13_ncr:1_{A9007C21-E3D3-CE4C-9CE9-0A684D84FFE9}" xr6:coauthVersionLast="46" xr6:coauthVersionMax="46" xr10:uidLastSave="{00000000-0000-0000-0000-000000000000}"/>
  <bookViews>
    <workbookView xWindow="380" yWindow="460" windowWidth="28040" windowHeight="16480" xr2:uid="{00000000-000D-0000-FFFF-FFFF00000000}"/>
  </bookViews>
  <sheets>
    <sheet name="Nivel" sheetId="1" r:id="rId1"/>
  </sheets>
  <calcPr calcId="191029"/>
</workbook>
</file>

<file path=xl/calcChain.xml><?xml version="1.0" encoding="utf-8"?>
<calcChain xmlns="http://schemas.openxmlformats.org/spreadsheetml/2006/main">
  <c r="D9" i="1" l="1"/>
  <c r="D56" i="1"/>
  <c r="D66" i="1"/>
  <c r="D22" i="1"/>
  <c r="D230" i="1"/>
  <c r="D8" i="1"/>
  <c r="D244" i="1"/>
  <c r="D243" i="1"/>
  <c r="D242" i="1"/>
  <c r="D60" i="1"/>
  <c r="F13" i="1"/>
  <c r="F18" i="1"/>
  <c r="F8" i="1"/>
  <c r="F254" i="1"/>
  <c r="F253" i="1"/>
  <c r="F252" i="1"/>
  <c r="F251" i="1"/>
  <c r="F250" i="1"/>
  <c r="F249" i="1"/>
  <c r="F248" i="1"/>
  <c r="F247" i="1"/>
  <c r="F246" i="1"/>
  <c r="F245" i="1"/>
  <c r="F244" i="1"/>
  <c r="F243" i="1"/>
  <c r="F242" i="1" s="1"/>
  <c r="F241" i="1"/>
  <c r="F240" i="1"/>
  <c r="F239" i="1"/>
  <c r="F238" i="1"/>
  <c r="F237" i="1"/>
  <c r="F236" i="1"/>
  <c r="F235" i="1"/>
  <c r="F234" i="1"/>
  <c r="F233" i="1"/>
  <c r="F232" i="1"/>
  <c r="F231" i="1"/>
  <c r="F230" i="1"/>
  <c r="F229" i="1" s="1"/>
  <c r="F228" i="1"/>
  <c r="F227" i="1"/>
  <c r="F226" i="1"/>
  <c r="F225" i="1"/>
  <c r="F224" i="1"/>
  <c r="F223" i="1"/>
  <c r="F222" i="1"/>
  <c r="F221" i="1"/>
  <c r="F220" i="1"/>
  <c r="F219" i="1"/>
  <c r="F218" i="1"/>
  <c r="F217" i="1"/>
  <c r="F216" i="1"/>
  <c r="F215" i="1"/>
  <c r="F214" i="1"/>
  <c r="F213" i="1"/>
  <c r="F212" i="1"/>
  <c r="F211" i="1"/>
  <c r="F210" i="1"/>
  <c r="F209" i="1"/>
  <c r="F208" i="1"/>
  <c r="F207" i="1"/>
  <c r="F206" i="1"/>
  <c r="F205" i="1"/>
  <c r="F204" i="1"/>
  <c r="F203" i="1" s="1"/>
  <c r="F202" i="1"/>
  <c r="F201" i="1"/>
  <c r="F200" i="1"/>
  <c r="F199" i="1"/>
  <c r="F198" i="1"/>
  <c r="F197" i="1"/>
  <c r="F196" i="1"/>
  <c r="F195" i="1"/>
  <c r="F194" i="1"/>
  <c r="F193" i="1"/>
  <c r="F192" i="1"/>
  <c r="F191" i="1"/>
  <c r="F190" i="1" s="1"/>
  <c r="F189" i="1"/>
  <c r="F188" i="1"/>
  <c r="F187" i="1"/>
  <c r="F186" i="1"/>
  <c r="F185" i="1"/>
  <c r="F184" i="1"/>
  <c r="F183" i="1"/>
  <c r="F182" i="1"/>
  <c r="F181" i="1"/>
  <c r="F180" i="1"/>
  <c r="F179" i="1"/>
  <c r="F178" i="1"/>
  <c r="F177" i="1" s="1"/>
  <c r="F176" i="1"/>
  <c r="F175" i="1"/>
  <c r="F174" i="1"/>
  <c r="F173" i="1"/>
  <c r="F172" i="1"/>
  <c r="F171" i="1"/>
  <c r="F170" i="1"/>
  <c r="F169" i="1"/>
  <c r="F168" i="1"/>
  <c r="F167" i="1"/>
  <c r="F166" i="1"/>
  <c r="F165" i="1"/>
  <c r="F164" i="1"/>
  <c r="F163" i="1"/>
  <c r="F162" i="1"/>
  <c r="F161" i="1"/>
  <c r="F160" i="1"/>
  <c r="F159" i="1"/>
  <c r="F158" i="1"/>
  <c r="F157" i="1"/>
  <c r="F156" i="1"/>
  <c r="F155" i="1"/>
  <c r="F154" i="1"/>
  <c r="F153" i="1"/>
  <c r="F152" i="1"/>
  <c r="F151" i="1" s="1"/>
  <c r="F150" i="1"/>
  <c r="F149" i="1"/>
  <c r="F148" i="1"/>
  <c r="F147" i="1"/>
  <c r="F146" i="1"/>
  <c r="F145" i="1"/>
  <c r="F144" i="1"/>
  <c r="F143" i="1"/>
  <c r="F142" i="1"/>
  <c r="F141" i="1"/>
  <c r="F140" i="1"/>
  <c r="F139" i="1"/>
  <c r="F138" i="1" s="1"/>
  <c r="F137" i="1"/>
  <c r="F136" i="1"/>
  <c r="F135" i="1"/>
  <c r="F134" i="1"/>
  <c r="F133" i="1"/>
  <c r="F132" i="1"/>
  <c r="F131" i="1"/>
  <c r="F130" i="1"/>
  <c r="F129" i="1"/>
  <c r="F128" i="1"/>
  <c r="F127" i="1"/>
  <c r="F126" i="1"/>
  <c r="F125" i="1" s="1"/>
  <c r="F124" i="1"/>
  <c r="F123" i="1"/>
  <c r="F122" i="1"/>
  <c r="F121" i="1"/>
  <c r="F120" i="1"/>
  <c r="F119" i="1"/>
  <c r="F118" i="1"/>
  <c r="F117" i="1"/>
  <c r="F116" i="1"/>
  <c r="F115" i="1"/>
  <c r="F114" i="1"/>
  <c r="F113" i="1"/>
  <c r="F112" i="1"/>
  <c r="F111" i="1"/>
  <c r="F110" i="1"/>
  <c r="F109" i="1"/>
  <c r="F108" i="1"/>
  <c r="F107" i="1"/>
  <c r="F106" i="1"/>
  <c r="F105" i="1"/>
  <c r="F104" i="1"/>
  <c r="F103" i="1"/>
  <c r="F102" i="1"/>
  <c r="F101" i="1"/>
  <c r="F100" i="1"/>
  <c r="F99" i="1"/>
  <c r="F98" i="1"/>
  <c r="F97" i="1"/>
  <c r="F96" i="1"/>
  <c r="F95" i="1"/>
  <c r="F94" i="1"/>
  <c r="F93" i="1"/>
  <c r="F92" i="1"/>
  <c r="F91" i="1"/>
  <c r="F90" i="1"/>
  <c r="F89" i="1"/>
  <c r="F88" i="1"/>
  <c r="F87" i="1"/>
  <c r="F86" i="1" s="1"/>
  <c r="F85" i="1"/>
  <c r="F84" i="1"/>
  <c r="F83" i="1"/>
  <c r="F82" i="1"/>
  <c r="F81" i="1"/>
  <c r="F80" i="1"/>
  <c r="F79" i="1"/>
  <c r="F78" i="1"/>
  <c r="F77" i="1"/>
  <c r="F76" i="1"/>
  <c r="F75" i="1"/>
  <c r="F74" i="1"/>
  <c r="F73" i="1" s="1"/>
  <c r="F72" i="1"/>
  <c r="F71" i="1"/>
  <c r="F70" i="1"/>
  <c r="F69" i="1"/>
  <c r="F68" i="1"/>
  <c r="F67" i="1"/>
  <c r="F66" i="1"/>
  <c r="F65" i="1"/>
  <c r="F64" i="1"/>
  <c r="F63" i="1"/>
  <c r="F60" i="1" s="1"/>
  <c r="F62" i="1"/>
  <c r="F61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 s="1"/>
  <c r="F33" i="1"/>
  <c r="F32" i="1"/>
  <c r="F31" i="1"/>
  <c r="F30" i="1"/>
  <c r="F29" i="1"/>
  <c r="F28" i="1"/>
  <c r="F27" i="1"/>
  <c r="F26" i="1"/>
  <c r="F25" i="1"/>
  <c r="F24" i="1"/>
  <c r="F23" i="1"/>
  <c r="F22" i="1"/>
  <c r="F21" i="1" s="1"/>
  <c r="F20" i="1"/>
  <c r="F19" i="1"/>
  <c r="F17" i="1"/>
  <c r="F16" i="1"/>
  <c r="F15" i="1"/>
  <c r="F14" i="1"/>
  <c r="F12" i="1"/>
  <c r="F11" i="1"/>
  <c r="F10" i="1"/>
  <c r="F9" i="1"/>
  <c r="D18" i="1"/>
  <c r="D254" i="1"/>
  <c r="D253" i="1"/>
  <c r="D252" i="1"/>
  <c r="D251" i="1"/>
  <c r="D250" i="1"/>
  <c r="D249" i="1"/>
  <c r="D248" i="1"/>
  <c r="D247" i="1"/>
  <c r="D246" i="1"/>
  <c r="D245" i="1"/>
  <c r="D241" i="1"/>
  <c r="D240" i="1"/>
  <c r="D239" i="1"/>
  <c r="D238" i="1"/>
  <c r="D237" i="1"/>
  <c r="D236" i="1"/>
  <c r="D235" i="1"/>
  <c r="D234" i="1"/>
  <c r="D233" i="1"/>
  <c r="D232" i="1"/>
  <c r="D231" i="1"/>
  <c r="D228" i="1"/>
  <c r="D227" i="1"/>
  <c r="D226" i="1"/>
  <c r="D225" i="1"/>
  <c r="D224" i="1"/>
  <c r="D223" i="1"/>
  <c r="D222" i="1"/>
  <c r="D221" i="1"/>
  <c r="D220" i="1"/>
  <c r="D219" i="1"/>
  <c r="D218" i="1"/>
  <c r="D217" i="1"/>
  <c r="D215" i="1"/>
  <c r="D214" i="1"/>
  <c r="D213" i="1"/>
  <c r="D212" i="1"/>
  <c r="D211" i="1"/>
  <c r="D210" i="1"/>
  <c r="D209" i="1"/>
  <c r="D208" i="1"/>
  <c r="D207" i="1"/>
  <c r="D206" i="1"/>
  <c r="D205" i="1"/>
  <c r="D204" i="1"/>
  <c r="D202" i="1"/>
  <c r="D201" i="1"/>
  <c r="D200" i="1"/>
  <c r="D199" i="1"/>
  <c r="D198" i="1"/>
  <c r="D197" i="1"/>
  <c r="D196" i="1"/>
  <c r="D195" i="1"/>
  <c r="D194" i="1"/>
  <c r="D193" i="1"/>
  <c r="D192" i="1"/>
  <c r="D191" i="1"/>
  <c r="D189" i="1"/>
  <c r="D188" i="1"/>
  <c r="D187" i="1"/>
  <c r="D186" i="1"/>
  <c r="D185" i="1"/>
  <c r="D184" i="1"/>
  <c r="D183" i="1"/>
  <c r="D182" i="1"/>
  <c r="D181" i="1"/>
  <c r="D180" i="1"/>
  <c r="D179" i="1"/>
  <c r="D178" i="1"/>
  <c r="D176" i="1"/>
  <c r="D175" i="1"/>
  <c r="D174" i="1"/>
  <c r="D173" i="1"/>
  <c r="D172" i="1"/>
  <c r="D171" i="1"/>
  <c r="D170" i="1"/>
  <c r="D169" i="1"/>
  <c r="D168" i="1"/>
  <c r="D167" i="1"/>
  <c r="D166" i="1"/>
  <c r="D165" i="1"/>
  <c r="D163" i="1"/>
  <c r="D162" i="1"/>
  <c r="D161" i="1"/>
  <c r="D160" i="1"/>
  <c r="D159" i="1"/>
  <c r="D158" i="1"/>
  <c r="D157" i="1"/>
  <c r="D156" i="1"/>
  <c r="D155" i="1"/>
  <c r="D154" i="1"/>
  <c r="D153" i="1"/>
  <c r="D152" i="1"/>
  <c r="D150" i="1"/>
  <c r="D149" i="1"/>
  <c r="D148" i="1"/>
  <c r="D147" i="1"/>
  <c r="D146" i="1"/>
  <c r="D145" i="1"/>
  <c r="D144" i="1"/>
  <c r="D143" i="1"/>
  <c r="D142" i="1"/>
  <c r="D141" i="1"/>
  <c r="D140" i="1"/>
  <c r="D139" i="1"/>
  <c r="D137" i="1"/>
  <c r="D136" i="1"/>
  <c r="D135" i="1"/>
  <c r="D134" i="1"/>
  <c r="D133" i="1"/>
  <c r="D132" i="1"/>
  <c r="D131" i="1"/>
  <c r="D130" i="1"/>
  <c r="D129" i="1"/>
  <c r="D128" i="1"/>
  <c r="D127" i="1"/>
  <c r="D126" i="1"/>
  <c r="D124" i="1"/>
  <c r="D123" i="1"/>
  <c r="D122" i="1"/>
  <c r="D121" i="1"/>
  <c r="D120" i="1"/>
  <c r="D119" i="1"/>
  <c r="D118" i="1"/>
  <c r="D117" i="1"/>
  <c r="D116" i="1"/>
  <c r="D115" i="1"/>
  <c r="D114" i="1"/>
  <c r="D113" i="1"/>
  <c r="D111" i="1"/>
  <c r="D110" i="1"/>
  <c r="D109" i="1"/>
  <c r="D108" i="1"/>
  <c r="D107" i="1"/>
  <c r="D106" i="1"/>
  <c r="D105" i="1"/>
  <c r="D104" i="1"/>
  <c r="D103" i="1"/>
  <c r="D102" i="1"/>
  <c r="D101" i="1"/>
  <c r="D100" i="1"/>
  <c r="D98" i="1"/>
  <c r="D97" i="1"/>
  <c r="D96" i="1"/>
  <c r="D95" i="1"/>
  <c r="D94" i="1"/>
  <c r="D93" i="1"/>
  <c r="D92" i="1"/>
  <c r="D91" i="1"/>
  <c r="D90" i="1"/>
  <c r="D89" i="1"/>
  <c r="D88" i="1"/>
  <c r="D87" i="1"/>
  <c r="D85" i="1"/>
  <c r="D84" i="1"/>
  <c r="D83" i="1"/>
  <c r="D82" i="1"/>
  <c r="D81" i="1"/>
  <c r="D80" i="1"/>
  <c r="D79" i="1"/>
  <c r="D78" i="1"/>
  <c r="D77" i="1"/>
  <c r="D76" i="1"/>
  <c r="D75" i="1"/>
  <c r="D74" i="1"/>
  <c r="D73" i="1" s="1"/>
  <c r="D72" i="1"/>
  <c r="D71" i="1"/>
  <c r="D70" i="1"/>
  <c r="D69" i="1"/>
  <c r="D68" i="1"/>
  <c r="D67" i="1"/>
  <c r="D65" i="1"/>
  <c r="D64" i="1"/>
  <c r="D63" i="1"/>
  <c r="D62" i="1"/>
  <c r="D61" i="1"/>
  <c r="D59" i="1"/>
  <c r="D58" i="1"/>
  <c r="D57" i="1"/>
  <c r="D55" i="1"/>
  <c r="D54" i="1"/>
  <c r="D53" i="1"/>
  <c r="D52" i="1"/>
  <c r="D51" i="1"/>
  <c r="D50" i="1"/>
  <c r="D49" i="1"/>
  <c r="D48" i="1"/>
  <c r="D46" i="1"/>
  <c r="D45" i="1"/>
  <c r="D44" i="1"/>
  <c r="D43" i="1"/>
  <c r="D42" i="1"/>
  <c r="D41" i="1"/>
  <c r="D40" i="1"/>
  <c r="D39" i="1"/>
  <c r="D38" i="1"/>
  <c r="D37" i="1"/>
  <c r="D36" i="1"/>
  <c r="D35" i="1"/>
  <c r="D33" i="1"/>
  <c r="D32" i="1"/>
  <c r="D31" i="1"/>
  <c r="D30" i="1"/>
  <c r="D29" i="1"/>
  <c r="D28" i="1"/>
  <c r="D27" i="1"/>
  <c r="D26" i="1"/>
  <c r="D25" i="1"/>
  <c r="D24" i="1"/>
  <c r="D23" i="1"/>
  <c r="D20" i="1"/>
  <c r="D19" i="1"/>
  <c r="D17" i="1"/>
  <c r="D16" i="1"/>
  <c r="D15" i="1"/>
  <c r="D14" i="1"/>
  <c r="D13" i="1"/>
  <c r="D12" i="1"/>
  <c r="D11" i="1"/>
  <c r="D10" i="1"/>
  <c r="D229" i="1"/>
  <c r="D203" i="1"/>
  <c r="D190" i="1"/>
  <c r="D177" i="1"/>
  <c r="D164" i="1"/>
  <c r="D151" i="1"/>
  <c r="D138" i="1"/>
  <c r="D99" i="1"/>
  <c r="D47" i="1"/>
  <c r="D216" i="1" l="1"/>
  <c r="D125" i="1"/>
  <c r="D112" i="1"/>
  <c r="D86" i="1"/>
  <c r="D34" i="1"/>
  <c r="D21" i="1"/>
</calcChain>
</file>

<file path=xl/sharedStrings.xml><?xml version="1.0" encoding="utf-8"?>
<sst xmlns="http://schemas.openxmlformats.org/spreadsheetml/2006/main" count="4951" uniqueCount="135">
  <si>
    <t>CEPAL - CEPALSTAT</t>
  </si>
  <si>
    <t>ESTADÍSTICAS E INDICADORES ECONÓMICOS</t>
  </si>
  <si>
    <t>Mensual</t>
  </si>
  <si>
    <t>Indice de precios al consumidor</t>
  </si>
  <si>
    <t>(Indice)</t>
  </si>
  <si>
    <t>~</t>
  </si>
  <si>
    <t/>
  </si>
  <si>
    <t>País</t>
  </si>
  <si>
    <t>Años / Meses</t>
  </si>
  <si>
    <t>Argentina</t>
  </si>
  <si>
    <t>[A]</t>
  </si>
  <si>
    <t>Bolivia (Estado Plurinacional de)</t>
  </si>
  <si>
    <t>[B]/a,b</t>
  </si>
  <si>
    <t>Brasil</t>
  </si>
  <si>
    <t>[C]/c,d</t>
  </si>
  <si>
    <t>Chile</t>
  </si>
  <si>
    <t>[D]/e,f</t>
  </si>
  <si>
    <t>Colombia</t>
  </si>
  <si>
    <t>[E]/g,h</t>
  </si>
  <si>
    <t>Costa Rica</t>
  </si>
  <si>
    <t>[F]/i,j</t>
  </si>
  <si>
    <t>Ecuador</t>
  </si>
  <si>
    <t>[G]/k,l</t>
  </si>
  <si>
    <t>El Salvador</t>
  </si>
  <si>
    <t>[H]/m,n</t>
  </si>
  <si>
    <t>Guatemala</t>
  </si>
  <si>
    <t>[Q]/ad,ae</t>
  </si>
  <si>
    <t>Honduras</t>
  </si>
  <si>
    <t>[I]/o,p</t>
  </si>
  <si>
    <t>México</t>
  </si>
  <si>
    <t>[J]/q,r</t>
  </si>
  <si>
    <t>Nicaragua</t>
  </si>
  <si>
    <t>[R]/af,ag</t>
  </si>
  <si>
    <t>Panamá</t>
  </si>
  <si>
    <t>[K]/s,t</t>
  </si>
  <si>
    <t>Paraguay</t>
  </si>
  <si>
    <t>[L]/u,v</t>
  </si>
  <si>
    <t>Perú</t>
  </si>
  <si>
    <t>[M]/w,x</t>
  </si>
  <si>
    <t>República Dominicana</t>
  </si>
  <si>
    <t>[N]/y,z</t>
  </si>
  <si>
    <t>Uruguay</t>
  </si>
  <si>
    <t>[O]/z,aa</t>
  </si>
  <si>
    <t>Venezuela (República Bolivariana de)</t>
  </si>
  <si>
    <t>[P]/ab,ac</t>
  </si>
  <si>
    <t> </t>
  </si>
  <si>
    <t>         Enero</t>
  </si>
  <si>
    <t>         Febrero</t>
  </si>
  <si>
    <t>         Marzo</t>
  </si>
  <si>
    <t>         Abril</t>
  </si>
  <si>
    <t>         Mayo</t>
  </si>
  <si>
    <t>         Junio</t>
  </si>
  <si>
    <t>         Julio</t>
  </si>
  <si>
    <t>         Agosto</t>
  </si>
  <si>
    <t>         Septiembre</t>
  </si>
  <si>
    <t>         Octubre</t>
  </si>
  <si>
    <t>         Noviembre</t>
  </si>
  <si>
    <t>         Diciembre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</si>
  <si>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</si>
  <si>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</si>
  <si>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</si>
  <si>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</si>
  <si>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</si>
  <si>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</si>
  <si>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</si>
  <si>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</si>
  <si>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</si>
  <si>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</si>
  <si>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</si>
  <si>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</si>
  <si>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</si>
  <si>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/ah</t>
  </si>
  <si>
    <t>2014</t>
  </si>
  <si>
    <t>2015</t>
  </si>
  <si>
    <t>2016</t>
  </si>
  <si>
    <t>/ai</t>
  </si>
  <si>
    <t>2017</t>
  </si>
  <si>
    <t>2018</t>
  </si>
  <si>
    <t>Información revisada al 18/JUL/2019</t>
  </si>
  <si>
    <t>Fuentes</t>
  </si>
  <si>
    <t>[A] INDEC: Instituto Nacional de Estadísticas y Censos. Argentina - Indice de precios al consumidor de Argentina. - http://www.indec.gov.ar/</t>
  </si>
  <si>
    <t>[B] INE - Bolivia: Instituto Nacional de Estadística de Bolivia - Indice de precios al consumidor de  Bolivia. - http://www.ine.gob.bo/indice/indice.aspx?d1=0202&amp;d2=6</t>
  </si>
  <si>
    <t>[C] IBGE: Instituto Brasileiro de Geografia e Estatística - Índice nacional de preços ao consumidor do Brasil. - http://www.sidra.ibge.gov.br/bda</t>
  </si>
  <si>
    <t>[D] INE - Chile: Instituto Nacional de Estadísticas de Chile - Indice de precios al consumidor de Chile. - http://www.ine.cl/canales/chile_estadistico/estadisticas_precios/ipc/nuevo_ipc/nuevo_ipc.php</t>
  </si>
  <si>
    <t>[E] DANE: Departamento Administrativo Nacional de Estadística - Indice de precios al consumidor de Colombia. - http://www.dane.gov.co/daneweb_V09/index.php?option=com_content&amp;view=article&amp;id=103&amp;Itemid=76</t>
  </si>
  <si>
    <t>[F] INEC: Instituto Nacional de Estadística y Censos - Indice de precios al consumidor de Costa Rica. - http://www.inec.go.cr/Web/Home/GeneradorPagina.aspx</t>
  </si>
  <si>
    <t>[G] INEC: Instituto Ecuatoriano de Estadísticas y Censos - Indice de precios al consumidor de Ecuador. - http://www.inec.gob.ec/web/guest/ecu_est/est_eco/ind_eco/ipc</t>
  </si>
  <si>
    <t>[H] DIGESTYC: Dirección General de Estadísticas y Censos - Indice de precios al consumidor de El Salvador. - http://www.digestyc.gob.sv/</t>
  </si>
  <si>
    <t>[I] BCH: Banco Central de Honduras - Indice de precios al consumidor de Honduras. - http://www.bch.hn/indice_precios_pub.php</t>
  </si>
  <si>
    <t>[J] BANXICO: Banco de México - Indice de precios al consumidor de México. - http://www.banxico.org.mx/politica-monetaria-e-inflacion/estadisticas/inflacion/indices-precios.html</t>
  </si>
  <si>
    <t>[K] INEC: Instituto Nacional de Estadística y Censos - Indice de precios al consumidor de Panama. - http://www.contraloria.gob.pa/inec/</t>
  </si>
  <si>
    <t>[L] BCP: Banco Central del Paraguay - Indice de precios al consumidor de Paraguay. - http://www.bcp.gov.py/index.php?option=com_content&amp;view=article&amp;id=426:ansis-macroecono-y-coyuntural&amp;catid=54:econom&amp;Itemid=250</t>
  </si>
  <si>
    <t>[M] INEI: Instituto Nacional de Estadística e Informática. Perú - Indice de precios al consumidor de Perú. - http://www.inei.gob.pe</t>
  </si>
  <si>
    <t>[N] BCRD: Banco Central de la República Dominicana - Indice de precios al consumidor de República Dominicana. - http://www.bancentral.gov.do/estadisticas.asp?a=Precios</t>
  </si>
  <si>
    <t>[O] INE - Uruguay: Instituto Nacional de Estadísticas de Uruguay - Indice de precios al consumidor de Uruguay - http://www.ine.gub.uy/preciosysalarios/ipc2008.asp?Indicador=ipc</t>
  </si>
  <si>
    <t>[P] BCV: Banco Central de Venezuela - Indice de precios al consumidor de Venezuela. - http://www.bcv.org.ve/c2/indicadores.asp</t>
  </si>
  <si>
    <t>[Q] INE-Guatemala: Instituto Nacional de Estadísticas de Guatemala - Indice de precios al consumidor de Guatemala. - http://www.ine.gob.gt/</t>
  </si>
  <si>
    <t>[R] BCN: Banco Central de Nicaragua - Indices de precios al consumidor de Nicaragua. - http://www.bcn.gob.ni/estadisticas/trimestrales_y_mensuales/index.html?&amp;val=1</t>
  </si>
  <si>
    <t>Notas</t>
  </si>
  <si>
    <t>a/ Ciudades de Sucre, La Paz, Cochabamba, Oruro, Potosí, Tarija, Santa Cruz de la Sierra, Trinidad y Cobija</t>
  </si>
  <si>
    <t>b/ Base 2016=100</t>
  </si>
  <si>
    <t>c/ Brasil.</t>
  </si>
  <si>
    <t>d/ BaseEnero 2012 =100</t>
  </si>
  <si>
    <t>e/ Gran Santiago, Provincia de Santiago, Comuna de Puente Alto y comuna de San Bernardo hasta 2009; Nacional a partir de 2010</t>
  </si>
  <si>
    <t>f/ Base 2018 =100</t>
  </si>
  <si>
    <t>g/ Colombia.</t>
  </si>
  <si>
    <t>h/ Base Diciembre 2018=100</t>
  </si>
  <si>
    <t>i/ Ciudad de San José hasta 2005; Gran área metropolitana de Costa Rica a partir de 2006.</t>
  </si>
  <si>
    <t>j/ Base Junio 2015=100</t>
  </si>
  <si>
    <t>k/ Ecuador.</t>
  </si>
  <si>
    <t>l/ Base 2014=100</t>
  </si>
  <si>
    <t>m/ Base Diciembre 2009=100</t>
  </si>
  <si>
    <t>n/ Cubre 6 departamentos: Santa Ana, Sonsonate, La Libertad, San Salvador, La Paz y San Miguel.</t>
  </si>
  <si>
    <t>o/ Honduras</t>
  </si>
  <si>
    <t>p/ Base Diciembre 1999=100</t>
  </si>
  <si>
    <t>q/ Hasta 2012 fue calculado por el Banco de Mexico, a partir de 2013 por el INEGI. Cobertura México.</t>
  </si>
  <si>
    <t>r/ Base 2da Quincena de Julio 2018=100</t>
  </si>
  <si>
    <t>s/ Nacional Urbano</t>
  </si>
  <si>
    <t>t/ Base 2013 = 100</t>
  </si>
  <si>
    <t>u/ Asunción.</t>
  </si>
  <si>
    <t>v/ Base Diciembre 2017=100</t>
  </si>
  <si>
    <t>w/ Lima Metropolitana.</t>
  </si>
  <si>
    <t>x/ Base 2009= 100</t>
  </si>
  <si>
    <t>y/ República Dominicana.</t>
  </si>
  <si>
    <t>z/ Base Diciembre 2010=100</t>
  </si>
  <si>
    <t>aa/ Nacional.</t>
  </si>
  <si>
    <t>ab/ Área Metropolitana de Caracas hasta diciembre de 2007. A partir de enero 2008, Nacional.</t>
  </si>
  <si>
    <t>ac/ Base 2007=100</t>
  </si>
  <si>
    <t>ad/ Guatemala.</t>
  </si>
  <si>
    <t>ae/ Base Diciembre 2010=100</t>
  </si>
  <si>
    <t>af/ Área Metropolitana de Managua</t>
  </si>
  <si>
    <t>ag/ Base 2006=100</t>
  </si>
  <si>
    <t>ah/ A partir de la Base de (IV trimestre de 2013=100) se cuenta con cobertura Nacional</t>
  </si>
  <si>
    <t>ai/ A partir de Junio de 2016, se tiene base abril 2016=100, con cobertura en el Gran Buenos Aires</t>
  </si>
  <si>
    <t>Process time ~26.3457 seg.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</si>
</sst>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5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4"/>
      <color indexed="8"/>
      <name val="Calibri"/>
      <family val="2"/>
    </font>
    <font>
      <b/>
      <sz val="10"/>
      <color indexed="8"/>
      <name val="Calibri"/>
      <family val="2"/>
    </font>
    <font>
      <sz val="10"/>
      <color indexed="8"/>
      <name val="Calibri"/>
      <family val="2"/>
    </font>
    <font>
      <b/>
      <i/>
      <sz val="10"/>
      <color indexed="8"/>
      <name val="Calibri"/>
      <family val="2"/>
    </font>
    <font>
      <b/>
      <i/>
      <sz val="10"/>
      <color indexed="54"/>
      <name val="Calibri"/>
      <family val="2"/>
    </font>
    <font>
      <sz val="10"/>
      <color indexed="10"/>
      <name val="Calibri"/>
      <family val="2"/>
    </font>
    <font>
      <sz val="10"/>
      <color indexed="63"/>
      <name val="Calibri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EFDFD2"/>
        <bgColor indexed="64"/>
      </patternFill>
    </fill>
    <fill>
      <patternFill patternType="solid">
        <fgColor rgb="FFDCE7E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18" fillId="0" borderId="0" xfId="0" applyNumberFormat="1" applyFont="1" applyFill="1" applyBorder="1" applyAlignment="1" applyProtection="1">
      <alignment horizontal="left"/>
    </xf>
    <xf numFmtId="0" fontId="19" fillId="0" borderId="0" xfId="0" applyNumberFormat="1" applyFont="1" applyFill="1" applyBorder="1" applyAlignment="1" applyProtection="1">
      <alignment horizontal="left"/>
    </xf>
    <xf numFmtId="0" fontId="21" fillId="0" borderId="0" xfId="0" applyNumberFormat="1" applyFont="1" applyFill="1" applyBorder="1" applyAlignment="1" applyProtection="1">
      <alignment horizontal="left"/>
    </xf>
    <xf numFmtId="0" fontId="22" fillId="0" borderId="0" xfId="0" applyNumberFormat="1" applyFont="1" applyFill="1" applyBorder="1" applyAlignment="1" applyProtection="1"/>
    <xf numFmtId="0" fontId="19" fillId="33" borderId="0" xfId="0" applyNumberFormat="1" applyFont="1" applyFill="1" applyBorder="1" applyAlignment="1" applyProtection="1">
      <alignment horizontal="right"/>
    </xf>
    <xf numFmtId="0" fontId="23" fillId="0" borderId="0" xfId="0" applyNumberFormat="1" applyFont="1" applyFill="1" applyBorder="1" applyAlignment="1" applyProtection="1">
      <alignment horizontal="left"/>
    </xf>
    <xf numFmtId="0" fontId="19" fillId="33" borderId="0" xfId="0" applyNumberFormat="1" applyFont="1" applyFill="1" applyBorder="1" applyAlignment="1" applyProtection="1">
      <alignment horizontal="left"/>
    </xf>
    <xf numFmtId="164" fontId="24" fillId="34" borderId="0" xfId="0" applyNumberFormat="1" applyFont="1" applyFill="1" applyBorder="1" applyAlignment="1" applyProtection="1">
      <alignment horizontal="right" vertical="top"/>
    </xf>
    <xf numFmtId="0" fontId="20" fillId="0" borderId="0" xfId="0" applyNumberFormat="1" applyFont="1" applyFill="1" applyBorder="1" applyAlignment="1" applyProtection="1">
      <alignment horizontal="left"/>
    </xf>
    <xf numFmtId="164" fontId="0" fillId="0" borderId="0" xfId="0" applyNumberFormat="1"/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311"/>
  <sheetViews>
    <sheetView tabSelected="1" topLeftCell="W1" workbookViewId="0">
      <selection activeCell="D10" sqref="D10"/>
    </sheetView>
  </sheetViews>
  <sheetFormatPr baseColWidth="10" defaultRowHeight="16" x14ac:dyDescent="0.2"/>
  <cols>
    <col min="1" max="1" width="50" customWidth="1"/>
    <col min="2" max="2" width="2.5" customWidth="1"/>
    <col min="4" max="4" width="5.6640625" bestFit="1" customWidth="1"/>
    <col min="6" max="6" width="5.6640625" bestFit="1" customWidth="1"/>
    <col min="8" max="8" width="2.5" customWidth="1"/>
    <col min="10" max="10" width="2.5" customWidth="1"/>
    <col min="12" max="12" width="2.5" customWidth="1"/>
    <col min="14" max="14" width="2.5" customWidth="1"/>
    <col min="16" max="16" width="2.5" customWidth="1"/>
    <col min="18" max="18" width="2.5" customWidth="1"/>
    <col min="20" max="20" width="2.5" customWidth="1"/>
    <col min="22" max="22" width="2.5" customWidth="1"/>
    <col min="24" max="24" width="2.5" customWidth="1"/>
    <col min="26" max="26" width="2.5" customWidth="1"/>
    <col min="28" max="28" width="2.5" customWidth="1"/>
    <col min="30" max="30" width="2.5" customWidth="1"/>
    <col min="32" max="32" width="2.5" customWidth="1"/>
    <col min="34" max="34" width="2.5" customWidth="1"/>
    <col min="36" max="36" width="2.5" customWidth="1"/>
    <col min="38" max="38" width="2.5" customWidth="1"/>
    <col min="40" max="40" width="2.5" customWidth="1"/>
    <col min="42" max="42" width="2.5" customWidth="1"/>
    <col min="44" max="44" width="2.5" customWidth="1"/>
    <col min="46" max="46" width="2.5" customWidth="1"/>
    <col min="48" max="48" width="2.5" customWidth="1"/>
    <col min="50" max="50" width="2.5" customWidth="1"/>
    <col min="52" max="52" width="2.5" customWidth="1"/>
    <col min="54" max="54" width="2.5" customWidth="1"/>
    <col min="56" max="56" width="2.5" customWidth="1"/>
    <col min="58" max="58" width="2.5" customWidth="1"/>
    <col min="60" max="60" width="2.5" customWidth="1"/>
    <col min="62" max="62" width="2.5" customWidth="1"/>
    <col min="64" max="64" width="2.5" customWidth="1"/>
    <col min="66" max="66" width="2.5" customWidth="1"/>
    <col min="68" max="68" width="2.5" customWidth="1"/>
    <col min="70" max="70" width="2.5" customWidth="1"/>
    <col min="72" max="72" width="2.5" customWidth="1"/>
    <col min="74" max="74" width="2.5" customWidth="1"/>
    <col min="76" max="76" width="2.5" customWidth="1"/>
    <col min="78" max="78" width="2.5" customWidth="1"/>
    <col min="80" max="80" width="2.5" customWidth="1"/>
    <col min="82" max="82" width="2.5" customWidth="1"/>
    <col min="84" max="84" width="2.5" customWidth="1"/>
    <col min="86" max="86" width="2.5" customWidth="1"/>
    <col min="88" max="88" width="2.5" customWidth="1"/>
    <col min="90" max="90" width="2.5" customWidth="1"/>
    <col min="92" max="92" width="2.5" customWidth="1"/>
    <col min="94" max="94" width="2.5" customWidth="1"/>
    <col min="96" max="96" width="2.5" customWidth="1"/>
    <col min="98" max="98" width="2.5" customWidth="1"/>
    <col min="100" max="100" width="2.5" customWidth="1"/>
    <col min="102" max="102" width="2.5" customWidth="1"/>
    <col min="104" max="104" width="2.5" customWidth="1"/>
    <col min="106" max="106" width="2.5" customWidth="1"/>
    <col min="108" max="108" width="2.5" customWidth="1"/>
    <col min="110" max="110" width="2.5" customWidth="1"/>
    <col min="112" max="112" width="2.5" customWidth="1"/>
    <col min="114" max="114" width="2.5" customWidth="1"/>
    <col min="116" max="116" width="2.5" customWidth="1"/>
    <col min="118" max="118" width="2.5" customWidth="1"/>
    <col min="120" max="120" width="2.5" customWidth="1"/>
    <col min="122" max="122" width="2.5" customWidth="1"/>
    <col min="124" max="124" width="2.5" customWidth="1"/>
    <col min="126" max="126" width="2.5" customWidth="1"/>
    <col min="128" max="128" width="2.5" customWidth="1"/>
    <col min="130" max="130" width="2.5" customWidth="1"/>
    <col min="132" max="132" width="2.5" customWidth="1"/>
    <col min="134" max="134" width="2.5" customWidth="1"/>
    <col min="136" max="136" width="2.5" customWidth="1"/>
    <col min="138" max="138" width="2.5" customWidth="1"/>
    <col min="140" max="140" width="2.5" customWidth="1"/>
    <col min="142" max="142" width="2.5" customWidth="1"/>
    <col min="144" max="144" width="2.5" customWidth="1"/>
    <col min="146" max="146" width="2.5" customWidth="1"/>
    <col min="148" max="148" width="2.5" customWidth="1"/>
    <col min="150" max="150" width="2.5" customWidth="1"/>
    <col min="152" max="152" width="2.5" customWidth="1"/>
    <col min="154" max="154" width="2.5" customWidth="1"/>
    <col min="156" max="156" width="2.5" customWidth="1"/>
    <col min="158" max="158" width="2.5" customWidth="1"/>
    <col min="160" max="160" width="2.5" customWidth="1"/>
    <col min="162" max="162" width="2.5" customWidth="1"/>
    <col min="164" max="164" width="2.5" customWidth="1"/>
    <col min="166" max="166" width="2.5" customWidth="1"/>
    <col min="168" max="168" width="2.5" customWidth="1"/>
    <col min="170" max="170" width="2.5" customWidth="1"/>
    <col min="172" max="172" width="2.5" customWidth="1"/>
    <col min="174" max="174" width="2.5" customWidth="1"/>
    <col min="176" max="176" width="2.5" customWidth="1"/>
    <col min="178" max="178" width="2.5" customWidth="1"/>
    <col min="180" max="180" width="2.5" customWidth="1"/>
    <col min="182" max="182" width="2.5" customWidth="1"/>
    <col min="184" max="184" width="2.5" customWidth="1"/>
    <col min="186" max="186" width="2.5" customWidth="1"/>
    <col min="188" max="188" width="2.5" customWidth="1"/>
    <col min="190" max="190" width="2.5" customWidth="1"/>
    <col min="192" max="192" width="2.5" customWidth="1"/>
    <col min="194" max="194" width="2.5" customWidth="1"/>
    <col min="196" max="196" width="2.5" customWidth="1"/>
    <col min="198" max="198" width="2.5" customWidth="1"/>
    <col min="200" max="200" width="2.5" customWidth="1"/>
    <col min="202" max="202" width="2.5" customWidth="1"/>
    <col min="204" max="204" width="2.5" customWidth="1"/>
    <col min="206" max="206" width="2.5" customWidth="1"/>
    <col min="208" max="208" width="2.5" customWidth="1"/>
    <col min="210" max="210" width="2.5" customWidth="1"/>
    <col min="212" max="212" width="2.5" customWidth="1"/>
    <col min="214" max="214" width="2.5" customWidth="1"/>
    <col min="216" max="216" width="2.5" customWidth="1"/>
    <col min="218" max="218" width="2.5" customWidth="1"/>
    <col min="220" max="220" width="2.5" customWidth="1"/>
    <col min="222" max="222" width="2.5" customWidth="1"/>
    <col min="224" max="224" width="2.5" customWidth="1"/>
    <col min="226" max="226" width="2.5" customWidth="1"/>
    <col min="228" max="228" width="2.5" customWidth="1"/>
    <col min="230" max="230" width="2.5" customWidth="1"/>
    <col min="232" max="232" width="2.5" customWidth="1"/>
    <col min="234" max="234" width="2.5" customWidth="1"/>
    <col min="236" max="236" width="2.5" customWidth="1"/>
    <col min="238" max="238" width="2.5" customWidth="1"/>
    <col min="240" max="240" width="2.5" customWidth="1"/>
    <col min="242" max="242" width="2.5" customWidth="1"/>
    <col min="244" max="244" width="2.5" customWidth="1"/>
    <col min="246" max="246" width="2.5" customWidth="1"/>
    <col min="248" max="248" width="2.5" customWidth="1"/>
    <col min="250" max="250" width="2.5" customWidth="1"/>
  </cols>
  <sheetData>
    <row r="1" spans="1:40" ht="19" x14ac:dyDescent="0.25">
      <c r="A1" s="1" t="s">
        <v>0</v>
      </c>
    </row>
    <row r="2" spans="1:40" x14ac:dyDescent="0.2">
      <c r="A2" s="2" t="s">
        <v>1</v>
      </c>
    </row>
    <row r="3" spans="1:40" x14ac:dyDescent="0.2">
      <c r="A3" s="2" t="s">
        <v>2</v>
      </c>
    </row>
    <row r="4" spans="1:40" x14ac:dyDescent="0.2">
      <c r="A4" s="2" t="s">
        <v>3</v>
      </c>
    </row>
    <row r="5" spans="1:40" x14ac:dyDescent="0.2">
      <c r="A5" s="3" t="s">
        <v>4</v>
      </c>
    </row>
    <row r="6" spans="1:40" x14ac:dyDescent="0.2">
      <c r="A6" t="s">
        <v>5</v>
      </c>
      <c r="B6" t="s">
        <v>6</v>
      </c>
      <c r="C6" s="4" t="s">
        <v>7</v>
      </c>
      <c r="D6" t="s">
        <v>6</v>
      </c>
      <c r="E6" t="s">
        <v>6</v>
      </c>
      <c r="F6" t="s">
        <v>6</v>
      </c>
      <c r="G6" t="s">
        <v>6</v>
      </c>
      <c r="H6" t="s">
        <v>6</v>
      </c>
      <c r="I6" t="s">
        <v>6</v>
      </c>
      <c r="J6" t="s">
        <v>6</v>
      </c>
      <c r="K6" t="s">
        <v>6</v>
      </c>
      <c r="L6" t="s">
        <v>6</v>
      </c>
      <c r="M6" t="s">
        <v>6</v>
      </c>
      <c r="N6" t="s">
        <v>6</v>
      </c>
      <c r="O6" t="s">
        <v>6</v>
      </c>
      <c r="P6" t="s">
        <v>6</v>
      </c>
      <c r="Q6" t="s">
        <v>6</v>
      </c>
      <c r="R6" t="s">
        <v>6</v>
      </c>
      <c r="S6" t="s">
        <v>6</v>
      </c>
      <c r="T6" t="s">
        <v>6</v>
      </c>
      <c r="U6" t="s">
        <v>6</v>
      </c>
      <c r="V6" t="s">
        <v>6</v>
      </c>
      <c r="W6" t="s">
        <v>6</v>
      </c>
      <c r="X6" t="s">
        <v>6</v>
      </c>
      <c r="Y6" t="s">
        <v>6</v>
      </c>
      <c r="Z6" t="s">
        <v>6</v>
      </c>
      <c r="AA6" t="s">
        <v>6</v>
      </c>
      <c r="AB6" t="s">
        <v>6</v>
      </c>
      <c r="AC6" t="s">
        <v>6</v>
      </c>
      <c r="AD6" t="s">
        <v>6</v>
      </c>
      <c r="AE6" t="s">
        <v>6</v>
      </c>
      <c r="AF6" t="s">
        <v>6</v>
      </c>
      <c r="AG6" t="s">
        <v>6</v>
      </c>
      <c r="AH6" t="s">
        <v>6</v>
      </c>
      <c r="AI6" t="s">
        <v>6</v>
      </c>
      <c r="AJ6" t="s">
        <v>6</v>
      </c>
      <c r="AK6" t="s">
        <v>6</v>
      </c>
      <c r="AL6" t="s">
        <v>6</v>
      </c>
    </row>
    <row r="7" spans="1:40" x14ac:dyDescent="0.2">
      <c r="A7" s="4" t="s">
        <v>8</v>
      </c>
      <c r="B7" t="s">
        <v>6</v>
      </c>
      <c r="C7" s="5" t="s">
        <v>9</v>
      </c>
      <c r="D7" s="6" t="s">
        <v>10</v>
      </c>
      <c r="E7" s="5" t="s">
        <v>11</v>
      </c>
      <c r="F7" s="6" t="s">
        <v>12</v>
      </c>
      <c r="G7" s="5" t="s">
        <v>13</v>
      </c>
      <c r="H7" s="6" t="s">
        <v>14</v>
      </c>
      <c r="I7" s="5" t="s">
        <v>15</v>
      </c>
      <c r="J7" s="6" t="s">
        <v>16</v>
      </c>
      <c r="K7" s="5" t="s">
        <v>17</v>
      </c>
      <c r="L7" s="6" t="s">
        <v>18</v>
      </c>
      <c r="M7" s="5" t="s">
        <v>19</v>
      </c>
      <c r="N7" s="6" t="s">
        <v>20</v>
      </c>
      <c r="O7" s="5" t="s">
        <v>21</v>
      </c>
      <c r="P7" s="6" t="s">
        <v>22</v>
      </c>
      <c r="Q7" s="5" t="s">
        <v>23</v>
      </c>
      <c r="R7" s="6" t="s">
        <v>24</v>
      </c>
      <c r="S7" s="5" t="s">
        <v>25</v>
      </c>
      <c r="T7" s="6" t="s">
        <v>26</v>
      </c>
      <c r="U7" s="5" t="s">
        <v>27</v>
      </c>
      <c r="V7" s="6" t="s">
        <v>28</v>
      </c>
      <c r="W7" s="5" t="s">
        <v>29</v>
      </c>
      <c r="X7" s="6" t="s">
        <v>30</v>
      </c>
      <c r="Y7" s="5" t="s">
        <v>31</v>
      </c>
      <c r="Z7" s="6" t="s">
        <v>32</v>
      </c>
      <c r="AA7" s="5" t="s">
        <v>33</v>
      </c>
      <c r="AB7" s="6" t="s">
        <v>34</v>
      </c>
      <c r="AC7" s="5" t="s">
        <v>35</v>
      </c>
      <c r="AD7" s="6" t="s">
        <v>36</v>
      </c>
      <c r="AE7" s="5" t="s">
        <v>37</v>
      </c>
      <c r="AF7" s="6" t="s">
        <v>38</v>
      </c>
      <c r="AG7" s="5" t="s">
        <v>39</v>
      </c>
      <c r="AH7" s="6" t="s">
        <v>40</v>
      </c>
      <c r="AI7" s="5" t="s">
        <v>41</v>
      </c>
      <c r="AJ7" s="6" t="s">
        <v>42</v>
      </c>
      <c r="AK7" s="5" t="s">
        <v>43</v>
      </c>
      <c r="AL7" s="6" t="s">
        <v>44</v>
      </c>
    </row>
    <row r="8" spans="1:40" x14ac:dyDescent="0.2">
      <c r="A8" s="7">
        <v>2000</v>
      </c>
      <c r="B8" t="s">
        <v>6</v>
      </c>
      <c r="C8" t="s">
        <v>45</v>
      </c>
      <c r="D8" s="11">
        <f>SUM(D9:D20)</f>
        <v>12.012524591426928</v>
      </c>
      <c r="E8" t="s">
        <v>45</v>
      </c>
      <c r="F8" s="11">
        <f>SUM(F9:F20)</f>
        <v>11.617244779431958</v>
      </c>
      <c r="G8" t="s">
        <v>45</v>
      </c>
      <c r="H8" t="s">
        <v>6</v>
      </c>
      <c r="I8" t="s">
        <v>45</v>
      </c>
      <c r="J8" t="s">
        <v>6</v>
      </c>
      <c r="K8" t="s">
        <v>45</v>
      </c>
      <c r="L8" t="s">
        <v>6</v>
      </c>
      <c r="M8" t="s">
        <v>45</v>
      </c>
      <c r="N8" t="s">
        <v>6</v>
      </c>
      <c r="O8" t="s">
        <v>45</v>
      </c>
      <c r="P8" t="s">
        <v>6</v>
      </c>
      <c r="Q8" t="s">
        <v>45</v>
      </c>
      <c r="R8" t="s">
        <v>6</v>
      </c>
      <c r="S8" t="s">
        <v>45</v>
      </c>
      <c r="T8" t="s">
        <v>6</v>
      </c>
      <c r="U8" t="s">
        <v>45</v>
      </c>
      <c r="V8" t="s">
        <v>6</v>
      </c>
      <c r="W8" t="s">
        <v>45</v>
      </c>
      <c r="X8" t="s">
        <v>6</v>
      </c>
      <c r="Y8" t="s">
        <v>45</v>
      </c>
      <c r="Z8" t="s">
        <v>6</v>
      </c>
      <c r="AA8" t="s">
        <v>45</v>
      </c>
      <c r="AB8" t="s">
        <v>6</v>
      </c>
      <c r="AC8" t="s">
        <v>45</v>
      </c>
      <c r="AD8" t="s">
        <v>6</v>
      </c>
      <c r="AE8" t="s">
        <v>45</v>
      </c>
      <c r="AF8" t="s">
        <v>6</v>
      </c>
      <c r="AG8" t="s">
        <v>45</v>
      </c>
      <c r="AH8" t="s">
        <v>6</v>
      </c>
      <c r="AI8" t="s">
        <v>45</v>
      </c>
      <c r="AJ8" t="s">
        <v>6</v>
      </c>
      <c r="AK8" t="s">
        <v>45</v>
      </c>
      <c r="AL8" t="s">
        <v>6</v>
      </c>
      <c r="AM8" t="s">
        <v>45</v>
      </c>
      <c r="AN8" t="s">
        <v>6</v>
      </c>
    </row>
    <row r="9" spans="1:40" x14ac:dyDescent="0.2">
      <c r="A9" s="7" t="s">
        <v>46</v>
      </c>
      <c r="B9">
        <v>1</v>
      </c>
      <c r="C9" s="8">
        <v>13.169238139999999</v>
      </c>
      <c r="D9" s="10">
        <f>C9/C$18</f>
        <v>1.0097049181804989</v>
      </c>
      <c r="E9" s="8">
        <v>42.838529999999999</v>
      </c>
      <c r="F9" s="10">
        <f t="shared" ref="F9:F20" si="0">E9/E$18</f>
        <v>0.9494336115021047</v>
      </c>
      <c r="G9" s="8">
        <v>46.698869999999999</v>
      </c>
      <c r="H9" t="s">
        <v>6</v>
      </c>
      <c r="I9" s="8">
        <v>54.564399999999999</v>
      </c>
      <c r="J9" t="s">
        <v>6</v>
      </c>
      <c r="K9" s="8">
        <v>40.301000000000002</v>
      </c>
      <c r="L9" t="s">
        <v>6</v>
      </c>
      <c r="M9" s="8">
        <v>29.454999999999998</v>
      </c>
      <c r="N9" t="s">
        <v>6</v>
      </c>
      <c r="O9" s="8">
        <v>27.6844</v>
      </c>
      <c r="P9" t="s">
        <v>6</v>
      </c>
      <c r="Q9" s="8">
        <v>70.996499999999997</v>
      </c>
      <c r="R9" t="s">
        <v>6</v>
      </c>
      <c r="S9" s="8">
        <v>49.715829999999997</v>
      </c>
      <c r="T9" t="s">
        <v>6</v>
      </c>
      <c r="U9" s="8">
        <v>100.4963813</v>
      </c>
      <c r="V9" t="s">
        <v>6</v>
      </c>
      <c r="W9" s="8">
        <v>59.808326579999999</v>
      </c>
      <c r="X9" t="s">
        <v>6</v>
      </c>
      <c r="Y9" s="8">
        <v>62.329805999999998</v>
      </c>
      <c r="Z9" t="s">
        <v>6</v>
      </c>
      <c r="AA9" s="8">
        <v>65.951999999999998</v>
      </c>
      <c r="AB9" t="s">
        <v>6</v>
      </c>
      <c r="AC9" s="8">
        <v>32.863</v>
      </c>
      <c r="AD9" t="s">
        <v>6</v>
      </c>
      <c r="AE9" s="8">
        <v>78.747799999999998</v>
      </c>
      <c r="AF9" t="s">
        <v>6</v>
      </c>
      <c r="AG9" s="8">
        <v>30.3940229</v>
      </c>
      <c r="AH9" t="s">
        <v>6</v>
      </c>
      <c r="AI9" s="8">
        <v>41.263534319999998</v>
      </c>
      <c r="AJ9" t="s">
        <v>6</v>
      </c>
      <c r="AK9" s="8">
        <v>24.525539999999999</v>
      </c>
      <c r="AL9" t="s">
        <v>6</v>
      </c>
    </row>
    <row r="10" spans="1:40" x14ac:dyDescent="0.2">
      <c r="A10" s="7" t="s">
        <v>47</v>
      </c>
      <c r="B10">
        <v>1</v>
      </c>
      <c r="C10" s="8">
        <v>13.169238139999999</v>
      </c>
      <c r="D10" s="10">
        <f t="shared" ref="D9:D20" si="1">C10/C$18</f>
        <v>1.0097049181804989</v>
      </c>
      <c r="E10" s="8">
        <v>43.015560000000001</v>
      </c>
      <c r="F10" s="10">
        <f t="shared" si="0"/>
        <v>0.95335714090995838</v>
      </c>
      <c r="G10" s="8">
        <v>46.759639999999997</v>
      </c>
      <c r="H10" t="s">
        <v>6</v>
      </c>
      <c r="I10" s="8">
        <v>54.867699999999999</v>
      </c>
      <c r="J10" t="s">
        <v>6</v>
      </c>
      <c r="K10" s="8">
        <v>41.228999999999999</v>
      </c>
      <c r="L10" t="s">
        <v>6</v>
      </c>
      <c r="M10" s="8">
        <v>29.882000000000001</v>
      </c>
      <c r="N10" t="s">
        <v>6</v>
      </c>
      <c r="O10" s="8">
        <v>30.462499999999999</v>
      </c>
      <c r="P10" t="s">
        <v>6</v>
      </c>
      <c r="Q10" s="8">
        <v>71.350399999999993</v>
      </c>
      <c r="R10" t="s">
        <v>6</v>
      </c>
      <c r="S10" s="8">
        <v>50.10407</v>
      </c>
      <c r="T10" t="s">
        <v>6</v>
      </c>
      <c r="U10" s="8">
        <v>102.01443209999999</v>
      </c>
      <c r="V10" t="s">
        <v>6</v>
      </c>
      <c r="W10" s="8">
        <v>60.338844719999997</v>
      </c>
      <c r="X10" t="s">
        <v>6</v>
      </c>
      <c r="Y10" s="8">
        <v>63.674821000000001</v>
      </c>
      <c r="Z10" t="s">
        <v>6</v>
      </c>
      <c r="AA10" s="8">
        <v>65.834999999999994</v>
      </c>
      <c r="AB10" t="s">
        <v>6</v>
      </c>
      <c r="AC10" s="8">
        <v>33.33</v>
      </c>
      <c r="AD10" t="s">
        <v>6</v>
      </c>
      <c r="AE10" s="8">
        <v>79.125900000000001</v>
      </c>
      <c r="AF10" t="s">
        <v>6</v>
      </c>
      <c r="AG10" s="8">
        <v>30.1241442</v>
      </c>
      <c r="AH10" t="s">
        <v>6</v>
      </c>
      <c r="AI10" s="8">
        <v>41.402602559999998</v>
      </c>
      <c r="AJ10" t="s">
        <v>6</v>
      </c>
      <c r="AK10" s="8">
        <v>24.622900000000001</v>
      </c>
      <c r="AL10" t="s">
        <v>6</v>
      </c>
    </row>
    <row r="11" spans="1:40" x14ac:dyDescent="0.2">
      <c r="A11" s="7" t="s">
        <v>48</v>
      </c>
      <c r="B11">
        <v>1</v>
      </c>
      <c r="C11" s="8">
        <v>13.09996237</v>
      </c>
      <c r="D11" s="10">
        <f t="shared" si="1"/>
        <v>1.0043934426846399</v>
      </c>
      <c r="E11" s="8">
        <v>43.278910000000003</v>
      </c>
      <c r="F11" s="10">
        <f t="shared" si="0"/>
        <v>0.9591937870691305</v>
      </c>
      <c r="G11" s="8">
        <v>46.862479999999998</v>
      </c>
      <c r="H11" t="s">
        <v>6</v>
      </c>
      <c r="I11" s="8">
        <v>55.267099999999999</v>
      </c>
      <c r="J11" t="s">
        <v>6</v>
      </c>
      <c r="K11" s="8">
        <v>41.933999999999997</v>
      </c>
      <c r="L11" t="s">
        <v>6</v>
      </c>
      <c r="M11" s="8">
        <v>30.084</v>
      </c>
      <c r="N11" t="s">
        <v>6</v>
      </c>
      <c r="O11" s="8">
        <v>32.7667</v>
      </c>
      <c r="P11" t="s">
        <v>6</v>
      </c>
      <c r="Q11" s="8">
        <v>71.410200000000003</v>
      </c>
      <c r="R11" t="s">
        <v>6</v>
      </c>
      <c r="S11" s="8">
        <v>50.64761</v>
      </c>
      <c r="T11" t="s">
        <v>6</v>
      </c>
      <c r="U11" s="8">
        <v>102.9791747</v>
      </c>
      <c r="V11" t="s">
        <v>6</v>
      </c>
      <c r="W11" s="8">
        <v>60.673355800000003</v>
      </c>
      <c r="X11" t="s">
        <v>6</v>
      </c>
      <c r="Y11" s="8">
        <v>64.262748000000002</v>
      </c>
      <c r="Z11" t="s">
        <v>6</v>
      </c>
      <c r="AA11" s="8">
        <v>66.301000000000002</v>
      </c>
      <c r="AB11" t="s">
        <v>6</v>
      </c>
      <c r="AC11" s="8">
        <v>34.018000000000001</v>
      </c>
      <c r="AD11" t="s">
        <v>6</v>
      </c>
      <c r="AE11" s="8">
        <v>79.554199999999994</v>
      </c>
      <c r="AF11" t="s">
        <v>6</v>
      </c>
      <c r="AG11" s="8">
        <v>30.10994006</v>
      </c>
      <c r="AH11" t="s">
        <v>6</v>
      </c>
      <c r="AI11" s="8">
        <v>41.657561010000002</v>
      </c>
      <c r="AJ11" t="s">
        <v>6</v>
      </c>
      <c r="AK11" s="8">
        <v>24.848700000000001</v>
      </c>
      <c r="AL11" t="s">
        <v>6</v>
      </c>
    </row>
    <row r="12" spans="1:40" x14ac:dyDescent="0.2">
      <c r="A12" s="7" t="s">
        <v>49</v>
      </c>
      <c r="B12">
        <v>1</v>
      </c>
      <c r="C12" s="8">
        <v>13.08542301</v>
      </c>
      <c r="D12" s="10">
        <f t="shared" si="1"/>
        <v>1.0032786885019658</v>
      </c>
      <c r="E12" s="8">
        <v>43.697159999999997</v>
      </c>
      <c r="F12" s="10">
        <f t="shared" si="0"/>
        <v>0.9684634937563289</v>
      </c>
      <c r="G12" s="8">
        <v>47.05939</v>
      </c>
      <c r="H12" t="s">
        <v>6</v>
      </c>
      <c r="I12" s="8">
        <v>55.533299999999997</v>
      </c>
      <c r="J12" t="s">
        <v>6</v>
      </c>
      <c r="K12" s="8">
        <v>42.351999999999997</v>
      </c>
      <c r="L12" t="s">
        <v>6</v>
      </c>
      <c r="M12" s="8">
        <v>29.978999999999999</v>
      </c>
      <c r="N12" t="s">
        <v>6</v>
      </c>
      <c r="O12" s="8">
        <v>36.112499999999997</v>
      </c>
      <c r="P12" t="s">
        <v>6</v>
      </c>
      <c r="Q12" s="8">
        <v>71.465299999999999</v>
      </c>
      <c r="R12" t="s">
        <v>6</v>
      </c>
      <c r="S12" s="8">
        <v>51.12903</v>
      </c>
      <c r="T12" t="s">
        <v>6</v>
      </c>
      <c r="U12" s="8">
        <v>104.25230620000001</v>
      </c>
      <c r="V12" t="s">
        <v>6</v>
      </c>
      <c r="W12" s="8">
        <v>61.018565119999998</v>
      </c>
      <c r="X12" t="s">
        <v>6</v>
      </c>
      <c r="Y12" s="8">
        <v>64.696415999999999</v>
      </c>
      <c r="Z12" t="s">
        <v>6</v>
      </c>
      <c r="AA12" s="8">
        <v>66.242000000000004</v>
      </c>
      <c r="AB12" t="s">
        <v>6</v>
      </c>
      <c r="AC12" s="8">
        <v>34.307000000000002</v>
      </c>
      <c r="AD12" t="s">
        <v>6</v>
      </c>
      <c r="AE12" s="8">
        <v>79.961200000000005</v>
      </c>
      <c r="AF12" t="s">
        <v>6</v>
      </c>
      <c r="AG12" s="8">
        <v>30.12982586</v>
      </c>
      <c r="AH12" t="s">
        <v>6</v>
      </c>
      <c r="AI12" s="8">
        <v>41.839674180000003</v>
      </c>
      <c r="AJ12" t="s">
        <v>6</v>
      </c>
      <c r="AK12" s="8">
        <v>25.231860000000001</v>
      </c>
      <c r="AL12" t="s">
        <v>6</v>
      </c>
    </row>
    <row r="13" spans="1:40" x14ac:dyDescent="0.2">
      <c r="A13" s="7" t="s">
        <v>50</v>
      </c>
      <c r="B13">
        <v>1</v>
      </c>
      <c r="C13" s="8">
        <v>13.034107629999999</v>
      </c>
      <c r="D13" s="10">
        <f t="shared" si="1"/>
        <v>0.99934426260629272</v>
      </c>
      <c r="E13" s="8">
        <v>43.152769999999997</v>
      </c>
      <c r="F13" s="10">
        <f t="shared" si="0"/>
        <v>0.95639813661719197</v>
      </c>
      <c r="G13" s="8">
        <v>47.064070000000001</v>
      </c>
      <c r="H13" t="s">
        <v>6</v>
      </c>
      <c r="I13" s="8">
        <v>55.650399999999998</v>
      </c>
      <c r="J13" t="s">
        <v>6</v>
      </c>
      <c r="K13" s="8">
        <v>42.573</v>
      </c>
      <c r="L13" t="s">
        <v>6</v>
      </c>
      <c r="M13" s="8">
        <v>29.954999999999998</v>
      </c>
      <c r="N13" t="s">
        <v>6</v>
      </c>
      <c r="O13" s="8">
        <v>37.968800000000002</v>
      </c>
      <c r="P13" t="s">
        <v>6</v>
      </c>
      <c r="Q13" s="8">
        <v>71.897400000000005</v>
      </c>
      <c r="R13" t="s">
        <v>6</v>
      </c>
      <c r="S13" s="8">
        <v>50.7149</v>
      </c>
      <c r="T13" t="s">
        <v>6</v>
      </c>
      <c r="U13" s="8">
        <v>105.28786479999999</v>
      </c>
      <c r="V13" t="s">
        <v>6</v>
      </c>
      <c r="W13" s="8">
        <v>61.246666910000002</v>
      </c>
      <c r="X13" t="s">
        <v>6</v>
      </c>
      <c r="Y13" s="8">
        <v>65.212737000000004</v>
      </c>
      <c r="Z13" t="s">
        <v>6</v>
      </c>
      <c r="AA13" s="8">
        <v>66.242000000000004</v>
      </c>
      <c r="AB13" t="s">
        <v>6</v>
      </c>
      <c r="AC13" s="8">
        <v>34.444000000000003</v>
      </c>
      <c r="AD13" t="s">
        <v>6</v>
      </c>
      <c r="AE13" s="8">
        <v>79.974599999999995</v>
      </c>
      <c r="AF13" t="s">
        <v>6</v>
      </c>
      <c r="AG13" s="8">
        <v>30.152552480000001</v>
      </c>
      <c r="AH13" t="s">
        <v>6</v>
      </c>
      <c r="AI13" s="8">
        <v>42.031720800000002</v>
      </c>
      <c r="AJ13" t="s">
        <v>6</v>
      </c>
      <c r="AK13" s="8">
        <v>25.48443</v>
      </c>
      <c r="AL13" t="s">
        <v>6</v>
      </c>
    </row>
    <row r="14" spans="1:40" x14ac:dyDescent="0.2">
      <c r="A14" s="7" t="s">
        <v>51</v>
      </c>
      <c r="B14">
        <v>1</v>
      </c>
      <c r="C14" s="8">
        <v>13.010160450000001</v>
      </c>
      <c r="D14" s="10">
        <f t="shared" si="1"/>
        <v>0.99750819698385484</v>
      </c>
      <c r="E14" s="8">
        <v>43.23686</v>
      </c>
      <c r="F14" s="10">
        <f t="shared" si="0"/>
        <v>0.95826182970822982</v>
      </c>
      <c r="G14" s="8">
        <v>47.172460000000001</v>
      </c>
      <c r="H14" t="s">
        <v>6</v>
      </c>
      <c r="I14" s="8">
        <v>55.778500000000001</v>
      </c>
      <c r="J14" t="s">
        <v>6</v>
      </c>
      <c r="K14" s="8">
        <v>42.564999999999998</v>
      </c>
      <c r="L14" t="s">
        <v>6</v>
      </c>
      <c r="M14" s="8">
        <v>30.36</v>
      </c>
      <c r="N14" t="s">
        <v>6</v>
      </c>
      <c r="O14" s="8">
        <v>39.987000000000002</v>
      </c>
      <c r="P14" t="s">
        <v>6</v>
      </c>
      <c r="Q14" s="8">
        <v>72.701800000000006</v>
      </c>
      <c r="R14" t="s">
        <v>6</v>
      </c>
      <c r="S14" s="8">
        <v>50.968559999999997</v>
      </c>
      <c r="T14" t="s">
        <v>6</v>
      </c>
      <c r="U14" s="8">
        <v>106.3344422</v>
      </c>
      <c r="V14" t="s">
        <v>6</v>
      </c>
      <c r="W14" s="8">
        <v>61.609451909999997</v>
      </c>
      <c r="X14" t="s">
        <v>6</v>
      </c>
      <c r="Y14" s="8">
        <v>65.597887</v>
      </c>
      <c r="Z14" t="s">
        <v>6</v>
      </c>
      <c r="AA14" s="8">
        <v>66.417000000000002</v>
      </c>
      <c r="AB14" t="s">
        <v>6</v>
      </c>
      <c r="AC14" s="8">
        <v>34.238</v>
      </c>
      <c r="AD14" t="s">
        <v>6</v>
      </c>
      <c r="AE14" s="8">
        <v>80.025999999999996</v>
      </c>
      <c r="AF14" t="s">
        <v>6</v>
      </c>
      <c r="AG14" s="8">
        <v>30.447998640000002</v>
      </c>
      <c r="AH14" t="s">
        <v>6</v>
      </c>
      <c r="AI14" s="8">
        <v>42.240323170000003</v>
      </c>
      <c r="AJ14" t="s">
        <v>6</v>
      </c>
      <c r="AK14" s="8">
        <v>25.763999999999999</v>
      </c>
      <c r="AL14" t="s">
        <v>6</v>
      </c>
    </row>
    <row r="15" spans="1:40" x14ac:dyDescent="0.2">
      <c r="A15" s="7" t="s">
        <v>52</v>
      </c>
      <c r="B15">
        <v>1</v>
      </c>
      <c r="C15" s="8">
        <v>13.06660737</v>
      </c>
      <c r="D15" s="10">
        <f t="shared" si="1"/>
        <v>1.0018360656224381</v>
      </c>
      <c r="E15" s="8">
        <v>43.546669999999999</v>
      </c>
      <c r="F15" s="10">
        <f t="shared" si="0"/>
        <v>0.96512817239504622</v>
      </c>
      <c r="G15" s="8">
        <v>47.932070000000003</v>
      </c>
      <c r="H15" t="s">
        <v>6</v>
      </c>
      <c r="I15" s="8">
        <v>55.852600000000002</v>
      </c>
      <c r="J15" t="s">
        <v>6</v>
      </c>
      <c r="K15" s="8">
        <v>42.548000000000002</v>
      </c>
      <c r="L15" t="s">
        <v>6</v>
      </c>
      <c r="M15" s="8">
        <v>30.760999999999999</v>
      </c>
      <c r="N15" t="s">
        <v>6</v>
      </c>
      <c r="O15" s="8">
        <v>40.935699999999997</v>
      </c>
      <c r="P15" t="s">
        <v>6</v>
      </c>
      <c r="Q15" s="8">
        <v>72.609899999999996</v>
      </c>
      <c r="R15" t="s">
        <v>6</v>
      </c>
      <c r="S15" s="8">
        <v>51.087620000000001</v>
      </c>
      <c r="T15" t="s">
        <v>6</v>
      </c>
      <c r="U15" s="8">
        <v>107.02605029999999</v>
      </c>
      <c r="V15" t="s">
        <v>6</v>
      </c>
      <c r="W15" s="8">
        <v>61.849780260000003</v>
      </c>
      <c r="X15" t="s">
        <v>6</v>
      </c>
      <c r="Y15" s="8">
        <v>65.279458000000005</v>
      </c>
      <c r="Z15" t="s">
        <v>6</v>
      </c>
      <c r="AA15" s="8">
        <v>66.417000000000002</v>
      </c>
      <c r="AB15" t="s">
        <v>6</v>
      </c>
      <c r="AC15" s="8">
        <v>34.32</v>
      </c>
      <c r="AD15" t="s">
        <v>6</v>
      </c>
      <c r="AE15" s="8">
        <v>80.437100000000001</v>
      </c>
      <c r="AF15" t="s">
        <v>6</v>
      </c>
      <c r="AG15" s="8">
        <v>30.58719923</v>
      </c>
      <c r="AH15" t="s">
        <v>6</v>
      </c>
      <c r="AI15" s="8">
        <v>42.3992583</v>
      </c>
      <c r="AJ15" t="s">
        <v>6</v>
      </c>
      <c r="AK15" s="8">
        <v>26.029620000000001</v>
      </c>
      <c r="AL15" t="s">
        <v>6</v>
      </c>
    </row>
    <row r="16" spans="1:40" x14ac:dyDescent="0.2">
      <c r="A16" s="7" t="s">
        <v>53</v>
      </c>
      <c r="B16">
        <v>1</v>
      </c>
      <c r="C16" s="8">
        <v>13.03838391</v>
      </c>
      <c r="D16" s="10">
        <f t="shared" si="1"/>
        <v>0.99967213130314647</v>
      </c>
      <c r="E16" s="8">
        <v>43.719290000000001</v>
      </c>
      <c r="F16" s="10">
        <f t="shared" si="0"/>
        <v>0.96895396263615619</v>
      </c>
      <c r="G16" s="8">
        <v>48.559919999999998</v>
      </c>
      <c r="H16" t="s">
        <v>6</v>
      </c>
      <c r="I16" s="8">
        <v>55.996699999999997</v>
      </c>
      <c r="J16" t="s">
        <v>6</v>
      </c>
      <c r="K16" s="8">
        <v>42.682000000000002</v>
      </c>
      <c r="L16" t="s">
        <v>6</v>
      </c>
      <c r="M16" s="8">
        <v>30.963000000000001</v>
      </c>
      <c r="N16" t="s">
        <v>6</v>
      </c>
      <c r="O16" s="8">
        <v>41.492600000000003</v>
      </c>
      <c r="P16" t="s">
        <v>6</v>
      </c>
      <c r="Q16" s="8">
        <v>72.922399999999996</v>
      </c>
      <c r="R16" t="s">
        <v>6</v>
      </c>
      <c r="S16" s="8">
        <v>50.859850000000002</v>
      </c>
      <c r="T16" t="s">
        <v>6</v>
      </c>
      <c r="U16" s="8">
        <v>107.5102584</v>
      </c>
      <c r="V16" t="s">
        <v>6</v>
      </c>
      <c r="W16" s="8">
        <v>62.18964046</v>
      </c>
      <c r="X16" t="s">
        <v>6</v>
      </c>
      <c r="Y16" s="8">
        <v>65.360699999999994</v>
      </c>
      <c r="Z16" t="s">
        <v>6</v>
      </c>
      <c r="AA16" s="8">
        <v>66.358999999999995</v>
      </c>
      <c r="AB16" t="s">
        <v>6</v>
      </c>
      <c r="AC16" s="8">
        <v>34.54</v>
      </c>
      <c r="AD16" t="s">
        <v>6</v>
      </c>
      <c r="AE16" s="8">
        <v>80.813599999999994</v>
      </c>
      <c r="AF16" t="s">
        <v>6</v>
      </c>
      <c r="AG16" s="8">
        <v>30.936621120000002</v>
      </c>
      <c r="AH16" t="s">
        <v>6</v>
      </c>
      <c r="AI16" s="8">
        <v>42.62110526</v>
      </c>
      <c r="AJ16" t="s">
        <v>6</v>
      </c>
      <c r="AK16" s="8">
        <v>26.228750000000002</v>
      </c>
      <c r="AL16" t="s">
        <v>6</v>
      </c>
    </row>
    <row r="17" spans="1:40" x14ac:dyDescent="0.2">
      <c r="A17" s="7" t="s">
        <v>54</v>
      </c>
      <c r="B17">
        <v>1</v>
      </c>
      <c r="C17" s="8">
        <v>13.018713010000001</v>
      </c>
      <c r="D17" s="10">
        <f t="shared" si="1"/>
        <v>0.99816393437756212</v>
      </c>
      <c r="E17" s="8">
        <v>44.524799999999999</v>
      </c>
      <c r="F17" s="10">
        <f t="shared" si="0"/>
        <v>0.9868065422741843</v>
      </c>
      <c r="G17" s="8">
        <v>48.671520000000001</v>
      </c>
      <c r="H17" t="s">
        <v>6</v>
      </c>
      <c r="I17" s="8">
        <v>56.3371</v>
      </c>
      <c r="J17" t="s">
        <v>6</v>
      </c>
      <c r="K17" s="8">
        <v>42.863999999999997</v>
      </c>
      <c r="L17" t="s">
        <v>6</v>
      </c>
      <c r="M17" s="8">
        <v>31.081</v>
      </c>
      <c r="N17" t="s">
        <v>6</v>
      </c>
      <c r="O17" s="8">
        <v>43.019799999999996</v>
      </c>
      <c r="P17" t="s">
        <v>6</v>
      </c>
      <c r="Q17" s="8">
        <v>73.055700000000002</v>
      </c>
      <c r="R17" t="s">
        <v>6</v>
      </c>
      <c r="S17" s="8">
        <v>50.932319999999997</v>
      </c>
      <c r="T17" t="s">
        <v>6</v>
      </c>
      <c r="U17" s="8">
        <v>107.7414466</v>
      </c>
      <c r="V17" t="s">
        <v>6</v>
      </c>
      <c r="W17" s="8">
        <v>62.643933629999999</v>
      </c>
      <c r="X17" t="s">
        <v>6</v>
      </c>
      <c r="Y17" s="8">
        <v>65.689864999999998</v>
      </c>
      <c r="Z17" t="s">
        <v>6</v>
      </c>
      <c r="AA17" s="8">
        <v>66.650000000000006</v>
      </c>
      <c r="AB17" t="s">
        <v>6</v>
      </c>
      <c r="AC17" s="8">
        <v>35.048999999999999</v>
      </c>
      <c r="AD17" t="s">
        <v>6</v>
      </c>
      <c r="AE17" s="8">
        <v>81.263000000000005</v>
      </c>
      <c r="AF17" t="s">
        <v>6</v>
      </c>
      <c r="AG17" s="8">
        <v>32.126928210000003</v>
      </c>
      <c r="AH17" t="s">
        <v>6</v>
      </c>
      <c r="AI17" s="8">
        <v>42.78666269</v>
      </c>
      <c r="AJ17" t="s">
        <v>6</v>
      </c>
      <c r="AK17" s="8">
        <v>26.680409999999998</v>
      </c>
      <c r="AL17" t="s">
        <v>6</v>
      </c>
    </row>
    <row r="18" spans="1:40" x14ac:dyDescent="0.2">
      <c r="A18" s="7" t="s">
        <v>55</v>
      </c>
      <c r="B18">
        <v>1</v>
      </c>
      <c r="C18" s="8">
        <v>13.042660189999999</v>
      </c>
      <c r="D18" s="10">
        <f t="shared" si="1"/>
        <v>1</v>
      </c>
      <c r="E18" s="8">
        <v>45.120089999999998</v>
      </c>
      <c r="F18" s="10">
        <f t="shared" si="0"/>
        <v>1</v>
      </c>
      <c r="G18" s="8">
        <v>48.739600000000003</v>
      </c>
      <c r="H18" t="s">
        <v>6</v>
      </c>
      <c r="I18" s="8">
        <v>56.6783</v>
      </c>
      <c r="J18" t="s">
        <v>6</v>
      </c>
      <c r="K18" s="8">
        <v>42.93</v>
      </c>
      <c r="L18" t="s">
        <v>6</v>
      </c>
      <c r="M18" s="8">
        <v>31.277000000000001</v>
      </c>
      <c r="N18" t="s">
        <v>6</v>
      </c>
      <c r="O18" s="8">
        <v>44.18</v>
      </c>
      <c r="P18" t="s">
        <v>6</v>
      </c>
      <c r="Q18" s="8">
        <v>73.051100000000005</v>
      </c>
      <c r="R18" t="s">
        <v>6</v>
      </c>
      <c r="S18" s="8">
        <v>51.087620000000001</v>
      </c>
      <c r="T18" t="s">
        <v>6</v>
      </c>
      <c r="U18" s="8">
        <v>108.3</v>
      </c>
      <c r="V18" t="s">
        <v>6</v>
      </c>
      <c r="W18" s="8">
        <v>63.075302000000001</v>
      </c>
      <c r="X18" t="s">
        <v>6</v>
      </c>
      <c r="Y18" s="8">
        <v>66.410650000000004</v>
      </c>
      <c r="Z18" t="s">
        <v>6</v>
      </c>
      <c r="AA18" s="8">
        <v>66.417000000000002</v>
      </c>
      <c r="AB18" t="s">
        <v>6</v>
      </c>
      <c r="AC18" s="8">
        <v>35.255000000000003</v>
      </c>
      <c r="AD18" t="s">
        <v>6</v>
      </c>
      <c r="AE18" s="8">
        <v>81.451999999999998</v>
      </c>
      <c r="AF18" t="s">
        <v>6</v>
      </c>
      <c r="AG18" s="8">
        <v>32.212153059999999</v>
      </c>
      <c r="AH18" t="s">
        <v>6</v>
      </c>
      <c r="AI18" s="8">
        <v>43.081354920000003</v>
      </c>
      <c r="AJ18" t="s">
        <v>6</v>
      </c>
      <c r="AK18" s="8">
        <v>26.906130000000001</v>
      </c>
      <c r="AL18" t="s">
        <v>6</v>
      </c>
    </row>
    <row r="19" spans="1:40" x14ac:dyDescent="0.2">
      <c r="A19" s="7" t="s">
        <v>56</v>
      </c>
      <c r="B19">
        <v>1</v>
      </c>
      <c r="C19" s="8">
        <v>12.978515959999999</v>
      </c>
      <c r="D19" s="10">
        <f t="shared" si="1"/>
        <v>0.99508196724705134</v>
      </c>
      <c r="E19" s="8">
        <v>43.971559999999997</v>
      </c>
      <c r="F19" s="10">
        <f t="shared" si="0"/>
        <v>0.97454504190926927</v>
      </c>
      <c r="G19" s="8">
        <v>48.895609999999998</v>
      </c>
      <c r="H19" t="s">
        <v>6</v>
      </c>
      <c r="I19" s="8">
        <v>56.869500000000002</v>
      </c>
      <c r="J19" t="s">
        <v>6</v>
      </c>
      <c r="K19" s="8">
        <v>43.070999999999998</v>
      </c>
      <c r="L19" t="s">
        <v>6</v>
      </c>
      <c r="M19" s="8">
        <v>31.536000000000001</v>
      </c>
      <c r="N19" t="s">
        <v>6</v>
      </c>
      <c r="O19" s="8">
        <v>45.135199999999998</v>
      </c>
      <c r="P19" t="s">
        <v>6</v>
      </c>
      <c r="Q19" s="8">
        <v>73.212000000000003</v>
      </c>
      <c r="R19" t="s">
        <v>6</v>
      </c>
      <c r="S19" s="8">
        <v>51.424100000000003</v>
      </c>
      <c r="T19" t="s">
        <v>6</v>
      </c>
      <c r="U19" s="8">
        <v>109.4588303</v>
      </c>
      <c r="V19" t="s">
        <v>6</v>
      </c>
      <c r="W19" s="8">
        <v>63.614607980000002</v>
      </c>
      <c r="X19" t="s">
        <v>6</v>
      </c>
      <c r="Y19" s="8">
        <v>66.927313999999996</v>
      </c>
      <c r="Z19" t="s">
        <v>6</v>
      </c>
      <c r="AA19" s="8">
        <v>66.284000000000006</v>
      </c>
      <c r="AB19" t="s">
        <v>6</v>
      </c>
      <c r="AC19" s="8">
        <v>35.393000000000001</v>
      </c>
      <c r="AD19" t="s">
        <v>6</v>
      </c>
      <c r="AE19" s="8">
        <v>81.504099999999994</v>
      </c>
      <c r="AF19" t="s">
        <v>6</v>
      </c>
      <c r="AG19" s="8">
        <v>32.365557799999998</v>
      </c>
      <c r="AH19" t="s">
        <v>6</v>
      </c>
      <c r="AI19" s="8">
        <v>43.101221809999998</v>
      </c>
      <c r="AJ19" t="s">
        <v>6</v>
      </c>
      <c r="AK19" s="8">
        <v>27.078859999999999</v>
      </c>
      <c r="AL19" t="s">
        <v>6</v>
      </c>
    </row>
    <row r="20" spans="1:40" x14ac:dyDescent="0.2">
      <c r="A20" s="7" t="s">
        <v>57</v>
      </c>
      <c r="B20">
        <v>1</v>
      </c>
      <c r="C20" s="8">
        <v>12.96226609</v>
      </c>
      <c r="D20" s="10">
        <f t="shared" si="1"/>
        <v>0.99383606573897876</v>
      </c>
      <c r="E20" s="8">
        <v>44.068930000000002</v>
      </c>
      <c r="F20" s="10">
        <f t="shared" si="0"/>
        <v>0.97670306065435608</v>
      </c>
      <c r="G20" s="8">
        <v>49.183970000000002</v>
      </c>
      <c r="H20" t="s">
        <v>6</v>
      </c>
      <c r="I20" s="8">
        <v>56.933599999999998</v>
      </c>
      <c r="J20" t="s">
        <v>6</v>
      </c>
      <c r="K20" s="8">
        <v>43.268999999999998</v>
      </c>
      <c r="L20" t="s">
        <v>6</v>
      </c>
      <c r="M20" s="8">
        <v>31.905000000000001</v>
      </c>
      <c r="N20" t="s">
        <v>6</v>
      </c>
      <c r="O20" s="8">
        <v>46.2468</v>
      </c>
      <c r="P20" t="s">
        <v>6</v>
      </c>
      <c r="Q20" s="8">
        <v>73.556700000000006</v>
      </c>
      <c r="R20" t="s">
        <v>6</v>
      </c>
      <c r="S20" s="8">
        <v>52.007489999999997</v>
      </c>
      <c r="T20" t="s">
        <v>6</v>
      </c>
      <c r="U20" s="8">
        <v>110.1</v>
      </c>
      <c r="V20" t="s">
        <v>6</v>
      </c>
      <c r="W20" s="8">
        <v>64.303307259999997</v>
      </c>
      <c r="X20" t="s">
        <v>6</v>
      </c>
      <c r="Y20" s="8">
        <v>67.707181000000006</v>
      </c>
      <c r="Z20" t="s">
        <v>6</v>
      </c>
      <c r="AA20" s="8">
        <v>66.358999999999995</v>
      </c>
      <c r="AB20" t="s">
        <v>6</v>
      </c>
      <c r="AC20" s="8">
        <v>35.250999999999998</v>
      </c>
      <c r="AD20" t="s">
        <v>6</v>
      </c>
      <c r="AE20" s="8">
        <v>81.629800000000003</v>
      </c>
      <c r="AF20" t="s">
        <v>6</v>
      </c>
      <c r="AG20" s="8">
        <v>32.723502170000003</v>
      </c>
      <c r="AH20" t="s">
        <v>6</v>
      </c>
      <c r="AI20" s="8">
        <v>43.184000529999999</v>
      </c>
      <c r="AJ20" t="s">
        <v>6</v>
      </c>
      <c r="AK20" s="8">
        <v>27.357780000000002</v>
      </c>
      <c r="AL20" t="s">
        <v>6</v>
      </c>
    </row>
    <row r="21" spans="1:40" x14ac:dyDescent="0.2">
      <c r="A21" s="7" t="s">
        <v>58</v>
      </c>
      <c r="B21" t="s">
        <v>6</v>
      </c>
      <c r="C21" t="s">
        <v>45</v>
      </c>
      <c r="D21" s="11">
        <f>SUM(D22:D33)</f>
        <v>12.095501864194539</v>
      </c>
      <c r="E21" t="s">
        <v>45</v>
      </c>
      <c r="F21" s="11">
        <f>SUM(F22:F33)</f>
        <v>11.954494517468541</v>
      </c>
      <c r="G21" t="s">
        <v>45</v>
      </c>
      <c r="H21" t="s">
        <v>6</v>
      </c>
      <c r="I21" t="s">
        <v>45</v>
      </c>
      <c r="J21" t="s">
        <v>6</v>
      </c>
      <c r="K21" t="s">
        <v>45</v>
      </c>
      <c r="L21" t="s">
        <v>6</v>
      </c>
      <c r="M21" t="s">
        <v>45</v>
      </c>
      <c r="N21" t="s">
        <v>6</v>
      </c>
      <c r="O21" t="s">
        <v>45</v>
      </c>
      <c r="P21" t="s">
        <v>6</v>
      </c>
      <c r="Q21" t="s">
        <v>45</v>
      </c>
      <c r="R21" t="s">
        <v>6</v>
      </c>
      <c r="S21" t="s">
        <v>45</v>
      </c>
      <c r="T21" t="s">
        <v>6</v>
      </c>
      <c r="U21" t="s">
        <v>45</v>
      </c>
      <c r="V21" t="s">
        <v>6</v>
      </c>
      <c r="W21" t="s">
        <v>45</v>
      </c>
      <c r="X21" t="s">
        <v>6</v>
      </c>
      <c r="Y21" t="s">
        <v>45</v>
      </c>
      <c r="Z21" t="s">
        <v>6</v>
      </c>
      <c r="AA21" t="s">
        <v>45</v>
      </c>
      <c r="AB21" t="s">
        <v>6</v>
      </c>
      <c r="AC21" t="s">
        <v>45</v>
      </c>
      <c r="AD21" t="s">
        <v>6</v>
      </c>
      <c r="AE21" t="s">
        <v>45</v>
      </c>
      <c r="AF21" t="s">
        <v>6</v>
      </c>
      <c r="AG21" t="s">
        <v>45</v>
      </c>
      <c r="AH21" t="s">
        <v>6</v>
      </c>
      <c r="AI21" t="s">
        <v>45</v>
      </c>
      <c r="AJ21" t="s">
        <v>6</v>
      </c>
      <c r="AK21" t="s">
        <v>45</v>
      </c>
      <c r="AL21" t="s">
        <v>6</v>
      </c>
      <c r="AM21" t="s">
        <v>45</v>
      </c>
      <c r="AN21" t="s">
        <v>6</v>
      </c>
    </row>
    <row r="22" spans="1:40" x14ac:dyDescent="0.2">
      <c r="A22" s="7" t="s">
        <v>46</v>
      </c>
      <c r="B22" t="s">
        <v>6</v>
      </c>
      <c r="C22" s="8">
        <v>12.97338442</v>
      </c>
      <c r="D22" s="10">
        <f>C22/C$31</f>
        <v>1.0123465025353144</v>
      </c>
      <c r="E22" s="8">
        <v>44.168520000000001</v>
      </c>
      <c r="F22" s="10">
        <f t="shared" ref="F22:F33" si="2">E22/E$31</f>
        <v>0.99150514042041948</v>
      </c>
      <c r="G22" s="8">
        <v>49.464440000000003</v>
      </c>
      <c r="H22" t="s">
        <v>6</v>
      </c>
      <c r="I22" s="8">
        <v>57.125700000000002</v>
      </c>
      <c r="J22" t="s">
        <v>6</v>
      </c>
      <c r="K22" s="8">
        <v>43.723999999999997</v>
      </c>
      <c r="L22" t="s">
        <v>6</v>
      </c>
      <c r="M22" s="8">
        <v>32.347999999999999</v>
      </c>
      <c r="N22" t="s">
        <v>6</v>
      </c>
      <c r="O22" s="8">
        <v>49.468400000000003</v>
      </c>
      <c r="P22" t="s">
        <v>6</v>
      </c>
      <c r="Q22" s="8">
        <v>74.885099999999994</v>
      </c>
      <c r="R22" t="s">
        <v>6</v>
      </c>
      <c r="S22" s="8">
        <v>52.719990000000003</v>
      </c>
      <c r="T22" t="s">
        <v>6</v>
      </c>
      <c r="U22" s="8">
        <v>111.0940366</v>
      </c>
      <c r="V22" t="s">
        <v>6</v>
      </c>
      <c r="W22" s="8">
        <v>64.659787940000001</v>
      </c>
      <c r="X22" t="s">
        <v>6</v>
      </c>
      <c r="Y22" s="8">
        <v>68.369643999999994</v>
      </c>
      <c r="Z22" t="s">
        <v>6</v>
      </c>
      <c r="AA22" s="8">
        <v>66.358999999999995</v>
      </c>
      <c r="AB22" t="s">
        <v>6</v>
      </c>
      <c r="AC22" s="8">
        <v>35.78</v>
      </c>
      <c r="AD22" t="s">
        <v>6</v>
      </c>
      <c r="AE22" s="8">
        <v>81.7851</v>
      </c>
      <c r="AF22" t="s">
        <v>6</v>
      </c>
      <c r="AG22" s="8">
        <v>33.541660749999998</v>
      </c>
      <c r="AH22" t="s">
        <v>6</v>
      </c>
      <c r="AI22" s="8">
        <v>43.326379920000001</v>
      </c>
      <c r="AJ22" t="s">
        <v>6</v>
      </c>
      <c r="AK22" s="8">
        <v>27.610009999999999</v>
      </c>
      <c r="AL22" t="s">
        <v>6</v>
      </c>
    </row>
    <row r="23" spans="1:40" x14ac:dyDescent="0.2">
      <c r="A23" s="7" t="s">
        <v>47</v>
      </c>
      <c r="B23" t="s">
        <v>6</v>
      </c>
      <c r="C23" s="8">
        <v>12.944305699999999</v>
      </c>
      <c r="D23" s="10">
        <f t="shared" ref="D22:D33" si="3">C23/C$31</f>
        <v>1.0100774153382355</v>
      </c>
      <c r="E23" s="8">
        <v>44.155239999999999</v>
      </c>
      <c r="F23" s="10">
        <f t="shared" si="2"/>
        <v>0.99120702791257942</v>
      </c>
      <c r="G23" s="8">
        <v>49.692030000000003</v>
      </c>
      <c r="H23" t="s">
        <v>6</v>
      </c>
      <c r="I23" s="8">
        <v>56.949599999999997</v>
      </c>
      <c r="J23" t="s">
        <v>6</v>
      </c>
      <c r="K23" s="8">
        <v>44.551000000000002</v>
      </c>
      <c r="L23" t="s">
        <v>6</v>
      </c>
      <c r="M23" s="8">
        <v>32.722000000000001</v>
      </c>
      <c r="N23" t="s">
        <v>6</v>
      </c>
      <c r="O23" s="8">
        <v>50.909300000000002</v>
      </c>
      <c r="P23" t="s">
        <v>6</v>
      </c>
      <c r="Q23" s="8">
        <v>74.751800000000003</v>
      </c>
      <c r="R23" t="s">
        <v>6</v>
      </c>
      <c r="S23" s="8">
        <v>53.104849999999999</v>
      </c>
      <c r="T23" t="s">
        <v>6</v>
      </c>
      <c r="U23" s="8">
        <v>112.53698079999999</v>
      </c>
      <c r="V23" t="s">
        <v>6</v>
      </c>
      <c r="W23" s="8">
        <v>64.616994980000001</v>
      </c>
      <c r="X23" t="s">
        <v>6</v>
      </c>
      <c r="Y23" s="8">
        <v>69.212801999999996</v>
      </c>
      <c r="Z23" t="s">
        <v>6</v>
      </c>
      <c r="AA23" s="8">
        <v>66.358999999999995</v>
      </c>
      <c r="AB23" t="s">
        <v>6</v>
      </c>
      <c r="AC23" s="8">
        <v>36.030999999999999</v>
      </c>
      <c r="AD23" t="s">
        <v>6</v>
      </c>
      <c r="AE23" s="8">
        <v>81.985799999999998</v>
      </c>
      <c r="AF23" t="s">
        <v>6</v>
      </c>
      <c r="AG23" s="8">
        <v>33.587114</v>
      </c>
      <c r="AH23" t="s">
        <v>6</v>
      </c>
      <c r="AI23" s="8">
        <v>43.452203570000002</v>
      </c>
      <c r="AJ23" t="s">
        <v>6</v>
      </c>
      <c r="AK23" s="8">
        <v>27.742819999999998</v>
      </c>
      <c r="AL23" t="s">
        <v>6</v>
      </c>
    </row>
    <row r="24" spans="1:40" x14ac:dyDescent="0.2">
      <c r="A24" s="7" t="s">
        <v>48</v>
      </c>
      <c r="B24" t="s">
        <v>6</v>
      </c>
      <c r="C24" s="8">
        <v>12.969108139999999</v>
      </c>
      <c r="D24" s="10">
        <f t="shared" si="3"/>
        <v>1.0120128134252324</v>
      </c>
      <c r="E24" s="8">
        <v>44.055660000000003</v>
      </c>
      <c r="F24" s="10">
        <f t="shared" si="2"/>
        <v>0.98897163306839941</v>
      </c>
      <c r="G24" s="8">
        <v>49.880769999999998</v>
      </c>
      <c r="H24" t="s">
        <v>6</v>
      </c>
      <c r="I24" s="8">
        <v>57.2209</v>
      </c>
      <c r="J24" t="s">
        <v>6</v>
      </c>
      <c r="K24" s="8">
        <v>45.210999999999999</v>
      </c>
      <c r="L24" t="s">
        <v>6</v>
      </c>
      <c r="M24" s="8">
        <v>33.280999999999999</v>
      </c>
      <c r="N24" t="s">
        <v>6</v>
      </c>
      <c r="O24" s="8">
        <v>52.026299999999999</v>
      </c>
      <c r="P24" t="s">
        <v>6</v>
      </c>
      <c r="Q24" s="8">
        <v>74.903499999999994</v>
      </c>
      <c r="R24" t="s">
        <v>6</v>
      </c>
      <c r="S24" s="8">
        <v>53.390889999999999</v>
      </c>
      <c r="T24" t="s">
        <v>6</v>
      </c>
      <c r="U24" s="8">
        <v>113.5025136</v>
      </c>
      <c r="V24" t="s">
        <v>6</v>
      </c>
      <c r="W24" s="8">
        <v>65.026393740000003</v>
      </c>
      <c r="X24" t="s">
        <v>6</v>
      </c>
      <c r="Y24" s="8">
        <v>69.188184000000007</v>
      </c>
      <c r="Z24" t="s">
        <v>6</v>
      </c>
      <c r="AA24" s="8">
        <v>66.474999999999994</v>
      </c>
      <c r="AB24" t="s">
        <v>6</v>
      </c>
      <c r="AC24" s="8">
        <v>36.679000000000002</v>
      </c>
      <c r="AD24" t="s">
        <v>6</v>
      </c>
      <c r="AE24" s="8">
        <v>82.4</v>
      </c>
      <c r="AF24" t="s">
        <v>6</v>
      </c>
      <c r="AG24" s="8">
        <v>33.445072580000001</v>
      </c>
      <c r="AH24" t="s">
        <v>6</v>
      </c>
      <c r="AI24" s="8">
        <v>43.61444985</v>
      </c>
      <c r="AJ24" t="s">
        <v>6</v>
      </c>
      <c r="AK24" s="8">
        <v>27.95533</v>
      </c>
      <c r="AL24" t="s">
        <v>6</v>
      </c>
    </row>
    <row r="25" spans="1:40" x14ac:dyDescent="0.2">
      <c r="A25" s="7" t="s">
        <v>49</v>
      </c>
      <c r="B25" t="s">
        <v>6</v>
      </c>
      <c r="C25" s="8">
        <v>13.055489039999999</v>
      </c>
      <c r="D25" s="10">
        <f t="shared" si="3"/>
        <v>1.0187533368823221</v>
      </c>
      <c r="E25" s="8">
        <v>44.150820000000003</v>
      </c>
      <c r="F25" s="10">
        <f t="shared" si="2"/>
        <v>0.99110780673150622</v>
      </c>
      <c r="G25" s="8">
        <v>50.17</v>
      </c>
      <c r="H25" t="s">
        <v>6</v>
      </c>
      <c r="I25" s="8">
        <v>57.481999999999999</v>
      </c>
      <c r="J25" t="s">
        <v>6</v>
      </c>
      <c r="K25" s="8">
        <v>45.73</v>
      </c>
      <c r="L25" t="s">
        <v>6</v>
      </c>
      <c r="M25" s="8">
        <v>33.698</v>
      </c>
      <c r="N25" t="s">
        <v>6</v>
      </c>
      <c r="O25" s="8">
        <v>52.9221</v>
      </c>
      <c r="P25" t="s">
        <v>6</v>
      </c>
      <c r="Q25" s="8">
        <v>75.004599999999996</v>
      </c>
      <c r="R25" t="s">
        <v>6</v>
      </c>
      <c r="S25" s="8">
        <v>53.619720000000001</v>
      </c>
      <c r="T25" t="s">
        <v>6</v>
      </c>
      <c r="U25" s="8">
        <v>114.1994436</v>
      </c>
      <c r="V25" t="s">
        <v>6</v>
      </c>
      <c r="W25" s="8">
        <v>65.354409469999993</v>
      </c>
      <c r="X25" t="s">
        <v>6</v>
      </c>
      <c r="Y25" s="8">
        <v>69.711312000000007</v>
      </c>
      <c r="Z25" t="s">
        <v>6</v>
      </c>
      <c r="AA25" s="8">
        <v>66.590999999999994</v>
      </c>
      <c r="AB25" t="s">
        <v>6</v>
      </c>
      <c r="AC25" s="8">
        <v>37.009</v>
      </c>
      <c r="AD25" t="s">
        <v>6</v>
      </c>
      <c r="AE25" s="8">
        <v>82.056399999999996</v>
      </c>
      <c r="AF25" t="s">
        <v>6</v>
      </c>
      <c r="AG25" s="8">
        <v>33.652453059999999</v>
      </c>
      <c r="AH25" t="s">
        <v>6</v>
      </c>
      <c r="AI25" s="8">
        <v>43.968742759999998</v>
      </c>
      <c r="AJ25" t="s">
        <v>6</v>
      </c>
      <c r="AK25" s="8">
        <v>28.27402</v>
      </c>
      <c r="AL25" t="s">
        <v>6</v>
      </c>
    </row>
    <row r="26" spans="1:40" x14ac:dyDescent="0.2">
      <c r="A26" s="7" t="s">
        <v>50</v>
      </c>
      <c r="B26" t="s">
        <v>6</v>
      </c>
      <c r="C26" s="8">
        <v>13.06318634</v>
      </c>
      <c r="D26" s="10">
        <f t="shared" si="3"/>
        <v>1.0193539769683395</v>
      </c>
      <c r="E26" s="8">
        <v>44.071150000000003</v>
      </c>
      <c r="F26" s="10">
        <f t="shared" si="2"/>
        <v>0.98931935616677602</v>
      </c>
      <c r="G26" s="8">
        <v>50.375680000000003</v>
      </c>
      <c r="H26" t="s">
        <v>6</v>
      </c>
      <c r="I26" s="8">
        <v>57.732300000000002</v>
      </c>
      <c r="J26" t="s">
        <v>6</v>
      </c>
      <c r="K26" s="8">
        <v>45.921999999999997</v>
      </c>
      <c r="L26" t="s">
        <v>6</v>
      </c>
      <c r="M26" s="8">
        <v>33.929000000000002</v>
      </c>
      <c r="N26" t="s">
        <v>6</v>
      </c>
      <c r="O26" s="8">
        <v>53.008499999999998</v>
      </c>
      <c r="P26" t="s">
        <v>6</v>
      </c>
      <c r="Q26" s="8">
        <v>75.124099999999999</v>
      </c>
      <c r="R26" t="s">
        <v>6</v>
      </c>
      <c r="S26" s="8">
        <v>53.780940000000001</v>
      </c>
      <c r="T26" t="s">
        <v>6</v>
      </c>
      <c r="U26" s="8">
        <v>115.5578749</v>
      </c>
      <c r="V26" t="s">
        <v>6</v>
      </c>
      <c r="W26" s="8">
        <v>65.504375879999998</v>
      </c>
      <c r="X26" t="s">
        <v>6</v>
      </c>
      <c r="Y26" s="8">
        <v>70.240593000000004</v>
      </c>
      <c r="Z26" t="s">
        <v>6</v>
      </c>
      <c r="AA26" s="8">
        <v>66.650000000000006</v>
      </c>
      <c r="AB26" t="s">
        <v>6</v>
      </c>
      <c r="AC26" s="8">
        <v>36.74</v>
      </c>
      <c r="AD26" t="s">
        <v>6</v>
      </c>
      <c r="AE26" s="8">
        <v>82.078999999999994</v>
      </c>
      <c r="AF26" t="s">
        <v>6</v>
      </c>
      <c r="AG26" s="8">
        <v>33.740518739999999</v>
      </c>
      <c r="AH26" t="s">
        <v>6</v>
      </c>
      <c r="AI26" s="8">
        <v>44.246879239999998</v>
      </c>
      <c r="AJ26" t="s">
        <v>6</v>
      </c>
      <c r="AK26" s="8">
        <v>28.698979999999999</v>
      </c>
      <c r="AL26" t="s">
        <v>6</v>
      </c>
    </row>
    <row r="27" spans="1:40" x14ac:dyDescent="0.2">
      <c r="A27" s="7" t="s">
        <v>51</v>
      </c>
      <c r="B27" t="s">
        <v>6</v>
      </c>
      <c r="C27" s="8">
        <v>12.969108139999999</v>
      </c>
      <c r="D27" s="10">
        <f t="shared" si="3"/>
        <v>1.0120128134252324</v>
      </c>
      <c r="E27" s="8">
        <v>44.394240000000003</v>
      </c>
      <c r="F27" s="10">
        <f t="shared" si="2"/>
        <v>0.99657215512445985</v>
      </c>
      <c r="G27" s="8">
        <v>50.637749999999997</v>
      </c>
      <c r="H27" t="s">
        <v>6</v>
      </c>
      <c r="I27" s="8">
        <v>57.764299999999999</v>
      </c>
      <c r="J27" t="s">
        <v>6</v>
      </c>
      <c r="K27" s="8">
        <v>45.94</v>
      </c>
      <c r="L27" t="s">
        <v>6</v>
      </c>
      <c r="M27" s="8">
        <v>34.023000000000003</v>
      </c>
      <c r="N27" t="s">
        <v>6</v>
      </c>
      <c r="O27" s="8">
        <v>53.262099999999997</v>
      </c>
      <c r="P27" t="s">
        <v>6</v>
      </c>
      <c r="Q27" s="8">
        <v>75.225200000000001</v>
      </c>
      <c r="R27" t="s">
        <v>6</v>
      </c>
      <c r="S27" s="8">
        <v>54.176200000000001</v>
      </c>
      <c r="T27" t="s">
        <v>6</v>
      </c>
      <c r="U27" s="8">
        <v>116.3046799</v>
      </c>
      <c r="V27" t="s">
        <v>6</v>
      </c>
      <c r="W27" s="8">
        <v>65.659309339999993</v>
      </c>
      <c r="X27" t="s">
        <v>6</v>
      </c>
      <c r="Y27" s="8">
        <v>70.640631999999997</v>
      </c>
      <c r="Z27" t="s">
        <v>6</v>
      </c>
      <c r="AA27" s="8">
        <v>66.183999999999997</v>
      </c>
      <c r="AB27" t="s">
        <v>6</v>
      </c>
      <c r="AC27" s="8">
        <v>36.520000000000003</v>
      </c>
      <c r="AD27" t="s">
        <v>6</v>
      </c>
      <c r="AE27" s="8">
        <v>82.031899999999993</v>
      </c>
      <c r="AF27" t="s">
        <v>6</v>
      </c>
      <c r="AG27" s="8">
        <v>33.550183230000002</v>
      </c>
      <c r="AH27" t="s">
        <v>6</v>
      </c>
      <c r="AI27" s="8">
        <v>44.051521469999997</v>
      </c>
      <c r="AJ27" t="s">
        <v>6</v>
      </c>
      <c r="AK27" s="8">
        <v>28.977930000000001</v>
      </c>
      <c r="AL27" t="s">
        <v>6</v>
      </c>
    </row>
    <row r="28" spans="1:40" x14ac:dyDescent="0.2">
      <c r="A28" s="7" t="s">
        <v>52</v>
      </c>
      <c r="B28" t="s">
        <v>6</v>
      </c>
      <c r="C28" s="8">
        <v>12.92720057</v>
      </c>
      <c r="D28" s="10">
        <f t="shared" si="3"/>
        <v>1.0087426581175818</v>
      </c>
      <c r="E28" s="8">
        <v>44.925350000000002</v>
      </c>
      <c r="F28" s="10">
        <f t="shared" si="2"/>
        <v>1.0084946350972706</v>
      </c>
      <c r="G28" s="8">
        <v>51.311169999999997</v>
      </c>
      <c r="H28" t="s">
        <v>6</v>
      </c>
      <c r="I28" s="8">
        <v>57.652200000000001</v>
      </c>
      <c r="J28" t="s">
        <v>6</v>
      </c>
      <c r="K28" s="8">
        <v>45.99</v>
      </c>
      <c r="L28" t="s">
        <v>6</v>
      </c>
      <c r="M28" s="8">
        <v>34.229999999999997</v>
      </c>
      <c r="N28" t="s">
        <v>6</v>
      </c>
      <c r="O28" s="8">
        <v>53.391599999999997</v>
      </c>
      <c r="P28" t="s">
        <v>6</v>
      </c>
      <c r="Q28" s="8">
        <v>75.202200000000005</v>
      </c>
      <c r="R28" t="s">
        <v>6</v>
      </c>
      <c r="S28" s="8">
        <v>54.649470000000001</v>
      </c>
      <c r="T28" t="s">
        <v>6</v>
      </c>
      <c r="U28" s="8">
        <v>116.9291456</v>
      </c>
      <c r="V28" t="s">
        <v>6</v>
      </c>
      <c r="W28" s="8">
        <v>65.488710600000005</v>
      </c>
      <c r="X28" t="s">
        <v>6</v>
      </c>
      <c r="Y28" s="8">
        <v>70.234438999999995</v>
      </c>
      <c r="Z28" t="s">
        <v>6</v>
      </c>
      <c r="AA28" s="8">
        <v>66.242000000000004</v>
      </c>
      <c r="AB28" t="s">
        <v>6</v>
      </c>
      <c r="AC28" s="8">
        <v>36.671999999999997</v>
      </c>
      <c r="AD28" t="s">
        <v>6</v>
      </c>
      <c r="AE28" s="8">
        <v>82.171499999999995</v>
      </c>
      <c r="AF28" t="s">
        <v>6</v>
      </c>
      <c r="AG28" s="8">
        <v>33.470640039999999</v>
      </c>
      <c r="AH28" t="s">
        <v>6</v>
      </c>
      <c r="AI28" s="8">
        <v>44.438925859999998</v>
      </c>
      <c r="AJ28" t="s">
        <v>6</v>
      </c>
      <c r="AK28" s="8">
        <v>29.416080000000001</v>
      </c>
      <c r="AL28" t="s">
        <v>6</v>
      </c>
    </row>
    <row r="29" spans="1:40" x14ac:dyDescent="0.2">
      <c r="A29" s="7" t="s">
        <v>53</v>
      </c>
      <c r="B29" t="s">
        <v>6</v>
      </c>
      <c r="C29" s="8">
        <v>12.88187199</v>
      </c>
      <c r="D29" s="10">
        <f t="shared" si="3"/>
        <v>1.0052055526143218</v>
      </c>
      <c r="E29" s="8">
        <v>44.631019999999999</v>
      </c>
      <c r="F29" s="10">
        <f t="shared" si="2"/>
        <v>1.0018874472634933</v>
      </c>
      <c r="G29" s="8">
        <v>51.67024</v>
      </c>
      <c r="H29" t="s">
        <v>6</v>
      </c>
      <c r="I29" s="8">
        <v>58.115600000000001</v>
      </c>
      <c r="J29" t="s">
        <v>6</v>
      </c>
      <c r="K29" s="8">
        <v>46.11</v>
      </c>
      <c r="L29" t="s">
        <v>6</v>
      </c>
      <c r="M29" s="8">
        <v>34.502000000000002</v>
      </c>
      <c r="N29" t="s">
        <v>6</v>
      </c>
      <c r="O29" s="8">
        <v>53.623600000000003</v>
      </c>
      <c r="P29" t="s">
        <v>6</v>
      </c>
      <c r="Q29" s="8">
        <v>75.454999999999998</v>
      </c>
      <c r="R29" t="s">
        <v>6</v>
      </c>
      <c r="S29" s="8">
        <v>55.330770000000001</v>
      </c>
      <c r="T29" t="s">
        <v>6</v>
      </c>
      <c r="U29" s="8">
        <v>117.74772710000001</v>
      </c>
      <c r="V29" t="s">
        <v>6</v>
      </c>
      <c r="W29" s="8">
        <v>65.876712889999993</v>
      </c>
      <c r="X29" t="s">
        <v>6</v>
      </c>
      <c r="Y29" s="8">
        <v>70.388300000000001</v>
      </c>
      <c r="Z29" t="s">
        <v>6</v>
      </c>
      <c r="AA29" s="8">
        <v>66.301000000000002</v>
      </c>
      <c r="AB29" t="s">
        <v>6</v>
      </c>
      <c r="AC29" s="8">
        <v>37.029000000000003</v>
      </c>
      <c r="AD29" t="s">
        <v>6</v>
      </c>
      <c r="AE29" s="8">
        <v>81.925299999999993</v>
      </c>
      <c r="AF29" t="s">
        <v>6</v>
      </c>
      <c r="AG29" s="8">
        <v>33.717792109999998</v>
      </c>
      <c r="AH29" t="s">
        <v>6</v>
      </c>
      <c r="AI29" s="8">
        <v>44.313102219999998</v>
      </c>
      <c r="AJ29" t="s">
        <v>6</v>
      </c>
      <c r="AK29" s="8">
        <v>29.601990000000001</v>
      </c>
      <c r="AL29" t="s">
        <v>6</v>
      </c>
    </row>
    <row r="30" spans="1:40" x14ac:dyDescent="0.2">
      <c r="A30" s="7" t="s">
        <v>54</v>
      </c>
      <c r="B30" t="s">
        <v>6</v>
      </c>
      <c r="C30" s="8">
        <v>12.870753649999999</v>
      </c>
      <c r="D30" s="10">
        <f t="shared" si="3"/>
        <v>1.0043379599917175</v>
      </c>
      <c r="E30" s="8">
        <v>44.513739999999999</v>
      </c>
      <c r="F30" s="10">
        <f t="shared" si="2"/>
        <v>0.99925471873039984</v>
      </c>
      <c r="G30" s="8">
        <v>51.81485</v>
      </c>
      <c r="H30" t="s">
        <v>6</v>
      </c>
      <c r="I30" s="8">
        <v>58.541899999999998</v>
      </c>
      <c r="J30" t="s">
        <v>6</v>
      </c>
      <c r="K30" s="8">
        <v>46.280999999999999</v>
      </c>
      <c r="L30" t="s">
        <v>6</v>
      </c>
      <c r="M30" s="8">
        <v>34.712000000000003</v>
      </c>
      <c r="N30" t="s">
        <v>6</v>
      </c>
      <c r="O30" s="8">
        <v>54.719099999999997</v>
      </c>
      <c r="P30" t="s">
        <v>6</v>
      </c>
      <c r="Q30" s="8">
        <v>75.454999999999998</v>
      </c>
      <c r="R30" t="s">
        <v>6</v>
      </c>
      <c r="S30" s="8">
        <v>55.50759</v>
      </c>
      <c r="T30" t="s">
        <v>6</v>
      </c>
      <c r="U30" s="8">
        <v>118.6320092</v>
      </c>
      <c r="V30" t="s">
        <v>6</v>
      </c>
      <c r="W30" s="8">
        <v>66.489951360000006</v>
      </c>
      <c r="X30" t="s">
        <v>6</v>
      </c>
      <c r="Y30" s="8">
        <v>70.492925</v>
      </c>
      <c r="Z30" t="s">
        <v>6</v>
      </c>
      <c r="AA30" s="8">
        <v>66.882000000000005</v>
      </c>
      <c r="AB30" t="s">
        <v>6</v>
      </c>
      <c r="AC30" s="8">
        <v>37.29</v>
      </c>
      <c r="AD30" t="s">
        <v>6</v>
      </c>
      <c r="AE30" s="8">
        <v>81.977099999999993</v>
      </c>
      <c r="AF30" t="s">
        <v>6</v>
      </c>
      <c r="AG30" s="8">
        <v>34.024601570000002</v>
      </c>
      <c r="AH30" t="s">
        <v>6</v>
      </c>
      <c r="AI30" s="8">
        <v>44.448859310000003</v>
      </c>
      <c r="AJ30" t="s">
        <v>6</v>
      </c>
      <c r="AK30" s="8">
        <v>29.960470000000001</v>
      </c>
      <c r="AL30" t="s">
        <v>6</v>
      </c>
    </row>
    <row r="31" spans="1:40" x14ac:dyDescent="0.2">
      <c r="A31" s="7" t="s">
        <v>55</v>
      </c>
      <c r="B31" t="s">
        <v>6</v>
      </c>
      <c r="C31" s="8">
        <v>12.81516199</v>
      </c>
      <c r="D31" s="10">
        <f t="shared" si="3"/>
        <v>1</v>
      </c>
      <c r="E31" s="8">
        <v>44.546939999999999</v>
      </c>
      <c r="F31" s="10">
        <f t="shared" si="2"/>
        <v>1</v>
      </c>
      <c r="G31" s="8">
        <v>52.244909999999997</v>
      </c>
      <c r="H31" t="s">
        <v>6</v>
      </c>
      <c r="I31" s="8">
        <v>58.621099999999998</v>
      </c>
      <c r="J31" t="s">
        <v>6</v>
      </c>
      <c r="K31" s="8">
        <v>46.366999999999997</v>
      </c>
      <c r="L31" t="s">
        <v>6</v>
      </c>
      <c r="M31" s="8">
        <v>34.709000000000003</v>
      </c>
      <c r="N31" t="s">
        <v>6</v>
      </c>
      <c r="O31" s="8">
        <v>55.3613</v>
      </c>
      <c r="P31" t="s">
        <v>6</v>
      </c>
      <c r="Q31" s="8">
        <v>74.760999999999996</v>
      </c>
      <c r="R31" t="s">
        <v>6</v>
      </c>
      <c r="S31" s="8">
        <v>55.923650000000002</v>
      </c>
      <c r="T31" t="s">
        <v>6</v>
      </c>
      <c r="U31" s="8">
        <v>118.80377850000001</v>
      </c>
      <c r="V31" t="s">
        <v>6</v>
      </c>
      <c r="W31" s="8">
        <v>66.790457309999994</v>
      </c>
      <c r="X31" t="s">
        <v>6</v>
      </c>
      <c r="Y31" s="8">
        <v>70.609859</v>
      </c>
      <c r="Z31" t="s">
        <v>6</v>
      </c>
      <c r="AA31" s="8">
        <v>66.474999999999994</v>
      </c>
      <c r="AB31" t="s">
        <v>6</v>
      </c>
      <c r="AC31" s="8">
        <v>37.454999999999998</v>
      </c>
      <c r="AD31" t="s">
        <v>6</v>
      </c>
      <c r="AE31" s="8">
        <v>82.008300000000006</v>
      </c>
      <c r="AF31" t="s">
        <v>6</v>
      </c>
      <c r="AG31" s="8">
        <v>34.109826429999998</v>
      </c>
      <c r="AH31" t="s">
        <v>6</v>
      </c>
      <c r="AI31" s="8">
        <v>44.56806066</v>
      </c>
      <c r="AJ31" t="s">
        <v>6</v>
      </c>
      <c r="AK31" s="8">
        <v>30.226220000000001</v>
      </c>
      <c r="AL31" t="s">
        <v>6</v>
      </c>
    </row>
    <row r="32" spans="1:40" x14ac:dyDescent="0.2">
      <c r="A32" s="7" t="s">
        <v>56</v>
      </c>
      <c r="B32" t="s">
        <v>6</v>
      </c>
      <c r="C32" s="8">
        <v>12.773254420000001</v>
      </c>
      <c r="D32" s="10">
        <f t="shared" si="3"/>
        <v>0.99672984469234949</v>
      </c>
      <c r="E32" s="8">
        <v>44.44735</v>
      </c>
      <c r="F32" s="10">
        <f t="shared" si="2"/>
        <v>0.99776438067350981</v>
      </c>
      <c r="G32" s="8">
        <v>52.615949999999998</v>
      </c>
      <c r="H32" t="s">
        <v>6</v>
      </c>
      <c r="I32" s="8">
        <v>58.616100000000003</v>
      </c>
      <c r="J32" t="s">
        <v>6</v>
      </c>
      <c r="K32" s="8">
        <v>46.420999999999999</v>
      </c>
      <c r="L32" t="s">
        <v>6</v>
      </c>
      <c r="M32" s="8">
        <v>35.018000000000001</v>
      </c>
      <c r="N32" t="s">
        <v>6</v>
      </c>
      <c r="O32" s="8">
        <v>56.246299999999998</v>
      </c>
      <c r="P32" t="s">
        <v>6</v>
      </c>
      <c r="Q32" s="8">
        <v>75.422899999999998</v>
      </c>
      <c r="R32" t="s">
        <v>6</v>
      </c>
      <c r="S32" s="8">
        <v>56.31371</v>
      </c>
      <c r="T32" t="s">
        <v>6</v>
      </c>
      <c r="U32" s="8">
        <v>119.4</v>
      </c>
      <c r="V32" t="s">
        <v>6</v>
      </c>
      <c r="W32" s="8">
        <v>67.042057020000001</v>
      </c>
      <c r="X32" t="s">
        <v>6</v>
      </c>
      <c r="Y32" s="8">
        <v>70.782184000000001</v>
      </c>
      <c r="Z32" t="s">
        <v>6</v>
      </c>
      <c r="AA32" s="8">
        <v>66.590999999999994</v>
      </c>
      <c r="AB32" t="s">
        <v>6</v>
      </c>
      <c r="AC32" s="8">
        <v>37.661999999999999</v>
      </c>
      <c r="AD32" t="s">
        <v>6</v>
      </c>
      <c r="AE32" s="8">
        <v>81.6036</v>
      </c>
      <c r="AF32" t="s">
        <v>6</v>
      </c>
      <c r="AG32" s="8">
        <v>34.075736480000003</v>
      </c>
      <c r="AH32" t="s">
        <v>6</v>
      </c>
      <c r="AI32" s="8">
        <v>44.604483299999998</v>
      </c>
      <c r="AJ32" t="s">
        <v>6</v>
      </c>
      <c r="AK32" s="8">
        <v>30.518509999999999</v>
      </c>
      <c r="AL32" t="s">
        <v>6</v>
      </c>
    </row>
    <row r="33" spans="1:40" x14ac:dyDescent="0.2">
      <c r="A33" s="7" t="s">
        <v>57</v>
      </c>
      <c r="B33" t="s">
        <v>6</v>
      </c>
      <c r="C33" s="8">
        <v>12.762991339999999</v>
      </c>
      <c r="D33" s="10">
        <f t="shared" si="3"/>
        <v>0.99592899020389203</v>
      </c>
      <c r="E33" s="8">
        <v>44.476120000000002</v>
      </c>
      <c r="F33" s="10">
        <f t="shared" si="2"/>
        <v>0.99841021627972659</v>
      </c>
      <c r="G33" s="8">
        <v>52.958069999999999</v>
      </c>
      <c r="H33" t="s">
        <v>6</v>
      </c>
      <c r="I33" s="8">
        <v>58.434899999999999</v>
      </c>
      <c r="J33" t="s">
        <v>6</v>
      </c>
      <c r="K33" s="8">
        <v>46.578000000000003</v>
      </c>
      <c r="L33" t="s">
        <v>6</v>
      </c>
      <c r="M33" s="8">
        <v>35.401000000000003</v>
      </c>
      <c r="N33" t="s">
        <v>6</v>
      </c>
      <c r="O33" s="8">
        <v>56.624000000000002</v>
      </c>
      <c r="P33" t="s">
        <v>6</v>
      </c>
      <c r="Q33" s="8">
        <v>74.604699999999994</v>
      </c>
      <c r="R33" t="s">
        <v>6</v>
      </c>
      <c r="S33" s="8">
        <v>56.641359999999999</v>
      </c>
      <c r="T33" t="s">
        <v>6</v>
      </c>
      <c r="U33" s="8">
        <v>119.8</v>
      </c>
      <c r="V33" t="s">
        <v>6</v>
      </c>
      <c r="W33" s="8">
        <v>67.13490247</v>
      </c>
      <c r="X33" t="s">
        <v>6</v>
      </c>
      <c r="Y33" s="8">
        <v>70.856037000000001</v>
      </c>
      <c r="Z33" t="s">
        <v>6</v>
      </c>
      <c r="AA33" s="8">
        <v>66.358999999999995</v>
      </c>
      <c r="AB33" t="s">
        <v>6</v>
      </c>
      <c r="AC33" s="8">
        <v>38.212000000000003</v>
      </c>
      <c r="AD33" t="s">
        <v>6</v>
      </c>
      <c r="AE33" s="8">
        <v>81.525800000000004</v>
      </c>
      <c r="AF33" t="s">
        <v>6</v>
      </c>
      <c r="AG33" s="8">
        <v>34.158120510000003</v>
      </c>
      <c r="AH33" t="s">
        <v>6</v>
      </c>
      <c r="AI33" s="8">
        <v>44.73361809</v>
      </c>
      <c r="AJ33" t="s">
        <v>6</v>
      </c>
      <c r="AK33" s="8">
        <v>30.717790000000001</v>
      </c>
      <c r="AL33" t="s">
        <v>6</v>
      </c>
    </row>
    <row r="34" spans="1:40" x14ac:dyDescent="0.2">
      <c r="A34" s="7" t="s">
        <v>59</v>
      </c>
      <c r="B34" t="s">
        <v>6</v>
      </c>
      <c r="C34" t="s">
        <v>45</v>
      </c>
      <c r="D34" s="11">
        <f>SUM(D35:D46)</f>
        <v>10.921721643566974</v>
      </c>
      <c r="E34" t="s">
        <v>45</v>
      </c>
      <c r="F34" s="11">
        <f>SUM(F35:F46)</f>
        <v>11.886501125173474</v>
      </c>
      <c r="G34" t="s">
        <v>45</v>
      </c>
      <c r="H34" t="s">
        <v>6</v>
      </c>
      <c r="I34" t="s">
        <v>45</v>
      </c>
      <c r="J34" t="s">
        <v>6</v>
      </c>
      <c r="K34" t="s">
        <v>45</v>
      </c>
      <c r="L34" t="s">
        <v>6</v>
      </c>
      <c r="M34" t="s">
        <v>45</v>
      </c>
      <c r="N34" t="s">
        <v>6</v>
      </c>
      <c r="O34" t="s">
        <v>45</v>
      </c>
      <c r="P34" t="s">
        <v>6</v>
      </c>
      <c r="Q34" t="s">
        <v>45</v>
      </c>
      <c r="R34" t="s">
        <v>6</v>
      </c>
      <c r="S34" t="s">
        <v>45</v>
      </c>
      <c r="T34" t="s">
        <v>6</v>
      </c>
      <c r="U34" t="s">
        <v>45</v>
      </c>
      <c r="V34" t="s">
        <v>6</v>
      </c>
      <c r="W34" t="s">
        <v>45</v>
      </c>
      <c r="X34" t="s">
        <v>6</v>
      </c>
      <c r="Y34" t="s">
        <v>45</v>
      </c>
      <c r="Z34" t="s">
        <v>6</v>
      </c>
      <c r="AA34" t="s">
        <v>45</v>
      </c>
      <c r="AB34" t="s">
        <v>6</v>
      </c>
      <c r="AC34" t="s">
        <v>45</v>
      </c>
      <c r="AD34" t="s">
        <v>6</v>
      </c>
      <c r="AE34" t="s">
        <v>45</v>
      </c>
      <c r="AF34" t="s">
        <v>6</v>
      </c>
      <c r="AG34" t="s">
        <v>45</v>
      </c>
      <c r="AH34" t="s">
        <v>6</v>
      </c>
      <c r="AI34" t="s">
        <v>45</v>
      </c>
      <c r="AJ34" t="s">
        <v>6</v>
      </c>
      <c r="AK34" t="s">
        <v>45</v>
      </c>
      <c r="AL34" t="s">
        <v>6</v>
      </c>
      <c r="AM34" t="s">
        <v>45</v>
      </c>
      <c r="AN34" t="s">
        <v>6</v>
      </c>
    </row>
    <row r="35" spans="1:40" x14ac:dyDescent="0.2">
      <c r="A35" s="7" t="s">
        <v>46</v>
      </c>
      <c r="B35" t="s">
        <v>6</v>
      </c>
      <c r="C35" s="8">
        <v>13.055489039999999</v>
      </c>
      <c r="D35" s="10">
        <f t="shared" ref="D35:D46" si="4">C35/C$44</f>
        <v>0.73083736317475789</v>
      </c>
      <c r="E35" s="8">
        <v>44.4739</v>
      </c>
      <c r="F35" s="10">
        <f t="shared" ref="F35:F46" si="5">E35/E$44</f>
        <v>0.98360398316939535</v>
      </c>
      <c r="G35" s="8">
        <v>53.23357</v>
      </c>
      <c r="H35" t="s">
        <v>6</v>
      </c>
      <c r="I35" s="8">
        <v>58.386899999999997</v>
      </c>
      <c r="J35" t="s">
        <v>6</v>
      </c>
      <c r="K35" s="8">
        <v>46.948</v>
      </c>
      <c r="L35" t="s">
        <v>6</v>
      </c>
      <c r="M35" s="8">
        <v>35.796999999999997</v>
      </c>
      <c r="N35" t="s">
        <v>6</v>
      </c>
      <c r="O35" s="8">
        <v>57.646099999999997</v>
      </c>
      <c r="P35" t="s">
        <v>6</v>
      </c>
      <c r="Q35" s="8">
        <v>75.524000000000001</v>
      </c>
      <c r="R35" t="s">
        <v>6</v>
      </c>
      <c r="S35" s="8">
        <v>57.385060000000003</v>
      </c>
      <c r="T35" t="s">
        <v>6</v>
      </c>
      <c r="U35" s="8">
        <v>120.2</v>
      </c>
      <c r="V35" t="s">
        <v>6</v>
      </c>
      <c r="W35" s="8">
        <v>67.754636300000001</v>
      </c>
      <c r="X35" t="s">
        <v>6</v>
      </c>
      <c r="Y35" s="8">
        <v>71.108368999999996</v>
      </c>
      <c r="Z35" t="s">
        <v>6</v>
      </c>
      <c r="AA35" s="8">
        <v>66.882000000000005</v>
      </c>
      <c r="AB35" t="s">
        <v>6</v>
      </c>
      <c r="AC35" s="8">
        <v>38.542000000000002</v>
      </c>
      <c r="AD35" t="s">
        <v>6</v>
      </c>
      <c r="AE35" s="8">
        <v>81.102000000000004</v>
      </c>
      <c r="AF35" t="s">
        <v>6</v>
      </c>
      <c r="AG35" s="8">
        <v>34.351296840000003</v>
      </c>
      <c r="AH35" t="s">
        <v>6</v>
      </c>
      <c r="AI35" s="8">
        <v>45.124333630000002</v>
      </c>
      <c r="AJ35" t="s">
        <v>6</v>
      </c>
      <c r="AK35" s="8">
        <v>30.99671</v>
      </c>
      <c r="AL35" t="s">
        <v>6</v>
      </c>
    </row>
    <row r="36" spans="1:40" x14ac:dyDescent="0.2">
      <c r="A36" s="7" t="s">
        <v>47</v>
      </c>
      <c r="B36" t="s">
        <v>6</v>
      </c>
      <c r="C36" s="8">
        <v>13.46515685</v>
      </c>
      <c r="D36" s="10">
        <f t="shared" si="4"/>
        <v>0.75377028748886532</v>
      </c>
      <c r="E36" s="8">
        <v>44.566850000000002</v>
      </c>
      <c r="F36" s="10">
        <f t="shared" si="5"/>
        <v>0.98565970551970861</v>
      </c>
      <c r="G36" s="8">
        <v>53.425229999999999</v>
      </c>
      <c r="H36" t="s">
        <v>6</v>
      </c>
      <c r="I36" s="8">
        <v>58.392800000000001</v>
      </c>
      <c r="J36" t="s">
        <v>6</v>
      </c>
      <c r="K36" s="8">
        <v>47.537999999999997</v>
      </c>
      <c r="L36" t="s">
        <v>6</v>
      </c>
      <c r="M36" s="8">
        <v>35.957000000000001</v>
      </c>
      <c r="N36" t="s">
        <v>6</v>
      </c>
      <c r="O36" s="8">
        <v>58.261299999999999</v>
      </c>
      <c r="P36" t="s">
        <v>6</v>
      </c>
      <c r="Q36" s="8">
        <v>75.763000000000005</v>
      </c>
      <c r="R36" t="s">
        <v>6</v>
      </c>
      <c r="S36" s="8">
        <v>57.889539999999997</v>
      </c>
      <c r="T36" t="s">
        <v>6</v>
      </c>
      <c r="U36" s="8">
        <v>121.4636276</v>
      </c>
      <c r="V36" t="s">
        <v>6</v>
      </c>
      <c r="W36" s="8">
        <v>67.711079179999999</v>
      </c>
      <c r="X36" t="s">
        <v>6</v>
      </c>
      <c r="Y36" s="8">
        <v>71.831299999999999</v>
      </c>
      <c r="Z36" t="s">
        <v>6</v>
      </c>
      <c r="AA36" s="8">
        <v>66.823999999999998</v>
      </c>
      <c r="AB36" t="s">
        <v>6</v>
      </c>
      <c r="AC36" s="8">
        <v>38.555</v>
      </c>
      <c r="AD36" t="s">
        <v>6</v>
      </c>
      <c r="AE36" s="8">
        <v>81.070099999999996</v>
      </c>
      <c r="AF36" t="s">
        <v>6</v>
      </c>
      <c r="AG36" s="8">
        <v>34.36550098</v>
      </c>
      <c r="AH36" t="s">
        <v>6</v>
      </c>
      <c r="AI36" s="8">
        <v>45.425648160000001</v>
      </c>
      <c r="AJ36" t="s">
        <v>6</v>
      </c>
      <c r="AK36" s="8">
        <v>31.55434</v>
      </c>
      <c r="AL36" t="s">
        <v>6</v>
      </c>
    </row>
    <row r="37" spans="1:40" x14ac:dyDescent="0.2">
      <c r="A37" s="7" t="s">
        <v>48</v>
      </c>
      <c r="B37" t="s">
        <v>6</v>
      </c>
      <c r="C37" s="8">
        <v>13.99798159</v>
      </c>
      <c r="D37" s="10">
        <f t="shared" si="4"/>
        <v>0.78359745266228698</v>
      </c>
      <c r="E37" s="8">
        <v>44.43186</v>
      </c>
      <c r="F37" s="10">
        <f t="shared" si="5"/>
        <v>0.98267420836996378</v>
      </c>
      <c r="G37" s="8">
        <v>53.745730000000002</v>
      </c>
      <c r="H37" t="s">
        <v>6</v>
      </c>
      <c r="I37" s="8">
        <v>58.7012</v>
      </c>
      <c r="J37" t="s">
        <v>6</v>
      </c>
      <c r="K37" s="8">
        <v>47.875</v>
      </c>
      <c r="L37" t="s">
        <v>6</v>
      </c>
      <c r="M37" s="8">
        <v>36.238</v>
      </c>
      <c r="N37" t="s">
        <v>6</v>
      </c>
      <c r="O37" s="8">
        <v>58.915300000000002</v>
      </c>
      <c r="P37" t="s">
        <v>6</v>
      </c>
      <c r="Q37" s="8">
        <v>76.195099999999996</v>
      </c>
      <c r="R37" t="s">
        <v>6</v>
      </c>
      <c r="S37" s="8">
        <v>58.265549999999998</v>
      </c>
      <c r="T37" t="s">
        <v>6</v>
      </c>
      <c r="U37" s="8">
        <v>122.1966334</v>
      </c>
      <c r="V37" t="s">
        <v>6</v>
      </c>
      <c r="W37" s="8">
        <v>68.057434729999997</v>
      </c>
      <c r="X37" t="s">
        <v>6</v>
      </c>
      <c r="Y37" s="8">
        <v>72.098167000000004</v>
      </c>
      <c r="Z37" t="s">
        <v>6</v>
      </c>
      <c r="AA37" s="8">
        <v>67.057000000000002</v>
      </c>
      <c r="AB37" t="s">
        <v>6</v>
      </c>
      <c r="AC37" s="8">
        <v>39.049999999999997</v>
      </c>
      <c r="AD37" t="s">
        <v>6</v>
      </c>
      <c r="AE37" s="8">
        <v>81.506500000000003</v>
      </c>
      <c r="AF37" t="s">
        <v>6</v>
      </c>
      <c r="AG37" s="8">
        <v>34.757535300000001</v>
      </c>
      <c r="AH37" t="s">
        <v>6</v>
      </c>
      <c r="AI37" s="8">
        <v>45.826297140000001</v>
      </c>
      <c r="AJ37" t="s">
        <v>6</v>
      </c>
      <c r="AK37" s="8">
        <v>32.882460000000002</v>
      </c>
      <c r="AL37" t="s">
        <v>6</v>
      </c>
    </row>
    <row r="38" spans="1:40" x14ac:dyDescent="0.2">
      <c r="A38" s="7" t="s">
        <v>49</v>
      </c>
      <c r="B38" t="s">
        <v>6</v>
      </c>
      <c r="C38" s="8">
        <v>15.45277274</v>
      </c>
      <c r="D38" s="10">
        <f t="shared" si="4"/>
        <v>0.86503566801970833</v>
      </c>
      <c r="E38" s="8">
        <v>44.416370000000001</v>
      </c>
      <c r="F38" s="10">
        <f t="shared" si="5"/>
        <v>0.98233162483896475</v>
      </c>
      <c r="G38" s="8">
        <v>54.175780000000003</v>
      </c>
      <c r="H38" t="s">
        <v>6</v>
      </c>
      <c r="I38" s="8">
        <v>58.919400000000003</v>
      </c>
      <c r="J38" t="s">
        <v>6</v>
      </c>
      <c r="K38" s="8">
        <v>48.313000000000002</v>
      </c>
      <c r="L38" t="s">
        <v>6</v>
      </c>
      <c r="M38" s="8">
        <v>36.301000000000002</v>
      </c>
      <c r="N38" t="s">
        <v>6</v>
      </c>
      <c r="O38" s="8">
        <v>59.796500000000002</v>
      </c>
      <c r="P38" t="s">
        <v>6</v>
      </c>
      <c r="Q38" s="8">
        <v>76.475499999999997</v>
      </c>
      <c r="R38" t="s">
        <v>6</v>
      </c>
      <c r="S38" s="8">
        <v>58.579549999999998</v>
      </c>
      <c r="T38" t="s">
        <v>6</v>
      </c>
      <c r="U38" s="8">
        <v>123.1</v>
      </c>
      <c r="V38" t="s">
        <v>6</v>
      </c>
      <c r="W38" s="8">
        <v>68.429198619999994</v>
      </c>
      <c r="X38" t="s">
        <v>6</v>
      </c>
      <c r="Y38" s="8">
        <v>72.606791999999999</v>
      </c>
      <c r="Z38" t="s">
        <v>6</v>
      </c>
      <c r="AA38" s="8">
        <v>67.057000000000002</v>
      </c>
      <c r="AB38" t="s">
        <v>6</v>
      </c>
      <c r="AC38" s="8">
        <v>39.256999999999998</v>
      </c>
      <c r="AD38" t="s">
        <v>6</v>
      </c>
      <c r="AE38" s="8">
        <v>82.104699999999994</v>
      </c>
      <c r="AF38" t="s">
        <v>6</v>
      </c>
      <c r="AG38" s="8">
        <v>34.993324049999998</v>
      </c>
      <c r="AH38" t="s">
        <v>6</v>
      </c>
      <c r="AI38" s="8">
        <v>46.564683289999998</v>
      </c>
      <c r="AJ38" t="s">
        <v>6</v>
      </c>
      <c r="AK38" s="8">
        <v>33.572989999999997</v>
      </c>
      <c r="AL38" t="s">
        <v>6</v>
      </c>
    </row>
    <row r="39" spans="1:40" x14ac:dyDescent="0.2">
      <c r="A39" s="7" t="s">
        <v>50</v>
      </c>
      <c r="B39" t="s">
        <v>6</v>
      </c>
      <c r="C39" s="8">
        <v>16.071978380000001</v>
      </c>
      <c r="D39" s="10">
        <f t="shared" si="4"/>
        <v>0.89969837700089084</v>
      </c>
      <c r="E39" s="8">
        <v>44.436279999999996</v>
      </c>
      <c r="F39" s="10">
        <f t="shared" si="5"/>
        <v>0.98277196299920933</v>
      </c>
      <c r="G39" s="8">
        <v>54.289430000000003</v>
      </c>
      <c r="H39" t="s">
        <v>6</v>
      </c>
      <c r="I39" s="8">
        <v>58.972499999999997</v>
      </c>
      <c r="J39" t="s">
        <v>6</v>
      </c>
      <c r="K39" s="8">
        <v>48.601999999999997</v>
      </c>
      <c r="L39" t="s">
        <v>6</v>
      </c>
      <c r="M39" s="8">
        <v>36.529000000000003</v>
      </c>
      <c r="N39" t="s">
        <v>6</v>
      </c>
      <c r="O39" s="8">
        <v>60.088999999999999</v>
      </c>
      <c r="P39" t="s">
        <v>6</v>
      </c>
      <c r="Q39" s="8">
        <v>76.461699999999993</v>
      </c>
      <c r="R39" t="s">
        <v>6</v>
      </c>
      <c r="S39" s="8">
        <v>58.789270000000002</v>
      </c>
      <c r="T39" t="s">
        <v>6</v>
      </c>
      <c r="U39" s="8">
        <v>123.7</v>
      </c>
      <c r="V39" t="s">
        <v>6</v>
      </c>
      <c r="W39" s="8">
        <v>68.567893679999997</v>
      </c>
      <c r="X39" t="s">
        <v>6</v>
      </c>
      <c r="Y39" s="8">
        <v>72.832115000000002</v>
      </c>
      <c r="Z39" t="s">
        <v>6</v>
      </c>
      <c r="AA39" s="8">
        <v>66.94</v>
      </c>
      <c r="AB39" t="s">
        <v>6</v>
      </c>
      <c r="AC39" s="8">
        <v>39.228999999999999</v>
      </c>
      <c r="AD39" t="s">
        <v>6</v>
      </c>
      <c r="AE39" s="8">
        <v>82.218800000000002</v>
      </c>
      <c r="AF39" t="s">
        <v>6</v>
      </c>
      <c r="AG39" s="8">
        <v>34.868327600000001</v>
      </c>
      <c r="AH39" t="s">
        <v>6</v>
      </c>
      <c r="AI39" s="8">
        <v>47.117645109999998</v>
      </c>
      <c r="AJ39" t="s">
        <v>6</v>
      </c>
      <c r="AK39" s="8">
        <v>33.958069999999999</v>
      </c>
      <c r="AL39" t="s">
        <v>6</v>
      </c>
    </row>
    <row r="40" spans="1:40" x14ac:dyDescent="0.2">
      <c r="A40" s="7" t="s">
        <v>51</v>
      </c>
      <c r="B40" t="s">
        <v>6</v>
      </c>
      <c r="C40" s="8">
        <v>16.654407989999999</v>
      </c>
      <c r="D40" s="10">
        <f t="shared" si="4"/>
        <v>0.93230238893051998</v>
      </c>
      <c r="E40" s="8">
        <v>44.484969999999997</v>
      </c>
      <c r="F40" s="10">
        <f t="shared" si="5"/>
        <v>0.9838488120711486</v>
      </c>
      <c r="G40" s="8">
        <v>54.517319999999998</v>
      </c>
      <c r="H40" t="s">
        <v>6</v>
      </c>
      <c r="I40" s="8">
        <v>58.898299999999999</v>
      </c>
      <c r="J40" t="s">
        <v>6</v>
      </c>
      <c r="K40" s="8">
        <v>48.811</v>
      </c>
      <c r="L40" t="s">
        <v>6</v>
      </c>
      <c r="M40" s="8">
        <v>36.762999999999998</v>
      </c>
      <c r="N40" t="s">
        <v>6</v>
      </c>
      <c r="O40" s="8">
        <v>60.318399999999997</v>
      </c>
      <c r="P40" t="s">
        <v>6</v>
      </c>
      <c r="Q40" s="8">
        <v>76.958100000000002</v>
      </c>
      <c r="R40" t="s">
        <v>6</v>
      </c>
      <c r="S40" s="8">
        <v>59.12791</v>
      </c>
      <c r="T40" t="s">
        <v>6</v>
      </c>
      <c r="U40" s="8">
        <v>125.1</v>
      </c>
      <c r="V40" t="s">
        <v>6</v>
      </c>
      <c r="W40" s="8">
        <v>68.902213709999998</v>
      </c>
      <c r="X40" t="s">
        <v>6</v>
      </c>
      <c r="Y40" s="8">
        <v>73.071901999999994</v>
      </c>
      <c r="Z40" t="s">
        <v>6</v>
      </c>
      <c r="AA40" s="8">
        <v>66.998999999999995</v>
      </c>
      <c r="AB40" t="s">
        <v>6</v>
      </c>
      <c r="AC40" s="8">
        <v>39.944000000000003</v>
      </c>
      <c r="AD40" t="s">
        <v>6</v>
      </c>
      <c r="AE40" s="8">
        <v>82.031300000000002</v>
      </c>
      <c r="AF40" t="s">
        <v>6</v>
      </c>
      <c r="AG40" s="8">
        <v>34.908099200000002</v>
      </c>
      <c r="AH40" t="s">
        <v>6</v>
      </c>
      <c r="AI40" s="8">
        <v>47.952054570000001</v>
      </c>
      <c r="AJ40" t="s">
        <v>6</v>
      </c>
      <c r="AK40" s="8">
        <v>34.648780000000002</v>
      </c>
      <c r="AL40" t="s">
        <v>6</v>
      </c>
    </row>
    <row r="41" spans="1:40" x14ac:dyDescent="0.2">
      <c r="A41" s="7" t="s">
        <v>52</v>
      </c>
      <c r="B41" t="s">
        <v>6</v>
      </c>
      <c r="C41" s="8">
        <v>17.184666960000001</v>
      </c>
      <c r="D41" s="10">
        <f t="shared" si="4"/>
        <v>0.96198592405105221</v>
      </c>
      <c r="E41" s="8">
        <v>44.666429999999998</v>
      </c>
      <c r="F41" s="10">
        <f t="shared" si="5"/>
        <v>0.98786205981389019</v>
      </c>
      <c r="G41" s="8">
        <v>55.166200000000003</v>
      </c>
      <c r="H41" t="s">
        <v>6</v>
      </c>
      <c r="I41" s="8">
        <v>59.158700000000003</v>
      </c>
      <c r="J41" t="s">
        <v>6</v>
      </c>
      <c r="K41" s="8">
        <v>48.822000000000003</v>
      </c>
      <c r="L41" t="s">
        <v>6</v>
      </c>
      <c r="M41" s="8">
        <v>37.301000000000002</v>
      </c>
      <c r="N41" t="s">
        <v>6</v>
      </c>
      <c r="O41" s="8">
        <v>60.278399999999998</v>
      </c>
      <c r="P41" t="s">
        <v>6</v>
      </c>
      <c r="Q41" s="8">
        <v>77.091399999999993</v>
      </c>
      <c r="R41" t="s">
        <v>6</v>
      </c>
      <c r="S41" s="8">
        <v>59.621389999999998</v>
      </c>
      <c r="T41" t="s">
        <v>6</v>
      </c>
      <c r="U41" s="8">
        <v>126.1</v>
      </c>
      <c r="V41" t="s">
        <v>6</v>
      </c>
      <c r="W41" s="8">
        <v>69.100011719999998</v>
      </c>
      <c r="X41" t="s">
        <v>6</v>
      </c>
      <c r="Y41" s="8">
        <v>73.237587000000005</v>
      </c>
      <c r="Z41" t="s">
        <v>6</v>
      </c>
      <c r="AA41" s="8">
        <v>67.114999999999995</v>
      </c>
      <c r="AB41" t="s">
        <v>6</v>
      </c>
      <c r="AC41" s="8">
        <v>41.017000000000003</v>
      </c>
      <c r="AD41" t="s">
        <v>6</v>
      </c>
      <c r="AE41" s="8">
        <v>82.056200000000004</v>
      </c>
      <c r="AF41" t="s">
        <v>6</v>
      </c>
      <c r="AG41" s="8">
        <v>35.047299789999997</v>
      </c>
      <c r="AH41" t="s">
        <v>6</v>
      </c>
      <c r="AI41" s="8">
        <v>50.28310321</v>
      </c>
      <c r="AJ41" t="s">
        <v>6</v>
      </c>
      <c r="AK41" s="8">
        <v>35.897179999999999</v>
      </c>
      <c r="AL41" t="s">
        <v>6</v>
      </c>
    </row>
    <row r="42" spans="1:40" x14ac:dyDescent="0.2">
      <c r="A42" s="7" t="s">
        <v>53</v>
      </c>
      <c r="B42" t="s">
        <v>6</v>
      </c>
      <c r="C42" s="8">
        <v>17.587492730000001</v>
      </c>
      <c r="D42" s="10">
        <f t="shared" si="4"/>
        <v>0.98453583563717861</v>
      </c>
      <c r="E42" s="8">
        <v>44.766019999999997</v>
      </c>
      <c r="F42" s="10">
        <f t="shared" si="5"/>
        <v>0.99006463527239152</v>
      </c>
      <c r="G42" s="8">
        <v>55.524679999999996</v>
      </c>
      <c r="H42" t="s">
        <v>6</v>
      </c>
      <c r="I42" s="8">
        <v>59.382800000000003</v>
      </c>
      <c r="J42" t="s">
        <v>6</v>
      </c>
      <c r="K42" s="8">
        <v>48.868000000000002</v>
      </c>
      <c r="L42" t="s">
        <v>6</v>
      </c>
      <c r="M42" s="8">
        <v>37.744</v>
      </c>
      <c r="N42" t="s">
        <v>6</v>
      </c>
      <c r="O42" s="8">
        <v>60.541800000000002</v>
      </c>
      <c r="P42" t="s">
        <v>6</v>
      </c>
      <c r="Q42" s="8">
        <v>76.8018</v>
      </c>
      <c r="R42" t="s">
        <v>6</v>
      </c>
      <c r="S42" s="8">
        <v>59.607860000000002</v>
      </c>
      <c r="T42" t="s">
        <v>6</v>
      </c>
      <c r="U42" s="8">
        <v>126.9</v>
      </c>
      <c r="V42" t="s">
        <v>6</v>
      </c>
      <c r="W42" s="8">
        <v>69.362746790000003</v>
      </c>
      <c r="X42" t="s">
        <v>6</v>
      </c>
      <c r="Y42" s="8">
        <v>73.324736999999999</v>
      </c>
      <c r="Z42" t="s">
        <v>6</v>
      </c>
      <c r="AA42" s="8">
        <v>67.346999999999994</v>
      </c>
      <c r="AB42" t="s">
        <v>6</v>
      </c>
      <c r="AC42" s="8">
        <v>41.966000000000001</v>
      </c>
      <c r="AD42" t="s">
        <v>6</v>
      </c>
      <c r="AE42" s="8">
        <v>82.137299999999996</v>
      </c>
      <c r="AF42" t="s">
        <v>6</v>
      </c>
      <c r="AG42" s="8">
        <v>35.359790920000002</v>
      </c>
      <c r="AH42" t="s">
        <v>6</v>
      </c>
      <c r="AI42" s="8">
        <v>53.213469750000002</v>
      </c>
      <c r="AJ42" t="s">
        <v>6</v>
      </c>
      <c r="AK42" s="8">
        <v>36.760509999999996</v>
      </c>
      <c r="AL42" t="s">
        <v>6</v>
      </c>
    </row>
    <row r="43" spans="1:40" x14ac:dyDescent="0.2">
      <c r="A43" s="7" t="s">
        <v>54</v>
      </c>
      <c r="B43" t="s">
        <v>6</v>
      </c>
      <c r="C43" s="8">
        <v>17.82439875</v>
      </c>
      <c r="D43" s="10">
        <f t="shared" si="4"/>
        <v>0.99779767289555721</v>
      </c>
      <c r="E43" s="8">
        <v>44.971829999999997</v>
      </c>
      <c r="F43" s="10">
        <f t="shared" si="5"/>
        <v>0.99461641813326251</v>
      </c>
      <c r="G43" s="8">
        <v>55.924349999999997</v>
      </c>
      <c r="H43" t="s">
        <v>6</v>
      </c>
      <c r="I43" s="8">
        <v>59.883200000000002</v>
      </c>
      <c r="J43" t="s">
        <v>6</v>
      </c>
      <c r="K43" s="8">
        <v>49.043999999999997</v>
      </c>
      <c r="L43" t="s">
        <v>6</v>
      </c>
      <c r="M43" s="8">
        <v>37.893000000000001</v>
      </c>
      <c r="N43" t="s">
        <v>6</v>
      </c>
      <c r="O43" s="8">
        <v>60.890900000000002</v>
      </c>
      <c r="P43" t="s">
        <v>6</v>
      </c>
      <c r="Q43" s="8">
        <v>76.530600000000007</v>
      </c>
      <c r="R43" t="s">
        <v>6</v>
      </c>
      <c r="S43" s="8">
        <v>59.45288</v>
      </c>
      <c r="T43" t="s">
        <v>6</v>
      </c>
      <c r="U43" s="8">
        <v>127.1</v>
      </c>
      <c r="V43" t="s">
        <v>6</v>
      </c>
      <c r="W43" s="8">
        <v>69.779950760000006</v>
      </c>
      <c r="X43" t="s">
        <v>6</v>
      </c>
      <c r="Y43" s="8">
        <v>73.632964999999999</v>
      </c>
      <c r="Z43" t="s">
        <v>6</v>
      </c>
      <c r="AA43" s="8">
        <v>67.346999999999994</v>
      </c>
      <c r="AB43" t="s">
        <v>6</v>
      </c>
      <c r="AC43" s="8">
        <v>42.447000000000003</v>
      </c>
      <c r="AD43" t="s">
        <v>6</v>
      </c>
      <c r="AE43" s="8">
        <v>82.528599999999997</v>
      </c>
      <c r="AF43" t="s">
        <v>6</v>
      </c>
      <c r="AG43" s="8">
        <v>35.856935880000002</v>
      </c>
      <c r="AH43" t="s">
        <v>6</v>
      </c>
      <c r="AI43" s="8">
        <v>54.872355220000003</v>
      </c>
      <c r="AJ43" t="s">
        <v>6</v>
      </c>
      <c r="AK43" s="8">
        <v>38.407380000000003</v>
      </c>
      <c r="AL43" t="s">
        <v>6</v>
      </c>
    </row>
    <row r="44" spans="1:40" x14ac:dyDescent="0.2">
      <c r="A44" s="7" t="s">
        <v>55</v>
      </c>
      <c r="B44" t="s">
        <v>6</v>
      </c>
      <c r="C44" s="8">
        <v>17.863740549999999</v>
      </c>
      <c r="D44" s="10">
        <f t="shared" si="4"/>
        <v>1</v>
      </c>
      <c r="E44" s="8">
        <v>45.215249999999997</v>
      </c>
      <c r="F44" s="10">
        <f t="shared" si="5"/>
        <v>1</v>
      </c>
      <c r="G44" s="8">
        <v>56.656959999999998</v>
      </c>
      <c r="H44" t="s">
        <v>6</v>
      </c>
      <c r="I44" s="8">
        <v>60.404800000000002</v>
      </c>
      <c r="J44" t="s">
        <v>6</v>
      </c>
      <c r="K44" s="8">
        <v>49.317999999999998</v>
      </c>
      <c r="L44" t="s">
        <v>6</v>
      </c>
      <c r="M44" s="8">
        <v>38.143000000000001</v>
      </c>
      <c r="N44" t="s">
        <v>6</v>
      </c>
      <c r="O44" s="8">
        <v>61.283799999999999</v>
      </c>
      <c r="P44" t="s">
        <v>6</v>
      </c>
      <c r="Q44" s="8">
        <v>76.631699999999995</v>
      </c>
      <c r="R44" t="s">
        <v>6</v>
      </c>
      <c r="S44" s="8">
        <v>59.619349999999997</v>
      </c>
      <c r="T44" t="s">
        <v>6</v>
      </c>
      <c r="U44" s="8">
        <v>127.8</v>
      </c>
      <c r="V44" t="s">
        <v>6</v>
      </c>
      <c r="W44" s="8">
        <v>70.087509400000002</v>
      </c>
      <c r="X44" t="s">
        <v>6</v>
      </c>
      <c r="Y44" s="8">
        <v>73.604406999999995</v>
      </c>
      <c r="Z44" t="s">
        <v>6</v>
      </c>
      <c r="AA44" s="8">
        <v>67.522000000000006</v>
      </c>
      <c r="AB44" t="s">
        <v>6</v>
      </c>
      <c r="AC44" s="8">
        <v>42.625999999999998</v>
      </c>
      <c r="AD44" t="s">
        <v>6</v>
      </c>
      <c r="AE44" s="8">
        <v>83.123699999999999</v>
      </c>
      <c r="AF44" t="s">
        <v>6</v>
      </c>
      <c r="AG44" s="8">
        <v>36.899519900000001</v>
      </c>
      <c r="AH44" t="s">
        <v>6</v>
      </c>
      <c r="AI44" s="8">
        <v>55.402138999999998</v>
      </c>
      <c r="AJ44" t="s">
        <v>6</v>
      </c>
      <c r="AK44" s="8">
        <v>39.270769999999999</v>
      </c>
      <c r="AL44" t="s">
        <v>6</v>
      </c>
    </row>
    <row r="45" spans="1:40" x14ac:dyDescent="0.2">
      <c r="A45" s="7" t="s">
        <v>56</v>
      </c>
      <c r="B45" t="s">
        <v>6</v>
      </c>
      <c r="C45" s="8">
        <v>17.955252980000001</v>
      </c>
      <c r="D45" s="10">
        <f t="shared" si="4"/>
        <v>1.0051228033537467</v>
      </c>
      <c r="E45" s="8">
        <v>45.45646</v>
      </c>
      <c r="F45" s="10">
        <f t="shared" si="5"/>
        <v>1.0053347045521146</v>
      </c>
      <c r="G45" s="8">
        <v>58.368000000000002</v>
      </c>
      <c r="H45" t="s">
        <v>6</v>
      </c>
      <c r="I45" s="8">
        <v>60.351700000000001</v>
      </c>
      <c r="J45" t="s">
        <v>6</v>
      </c>
      <c r="K45" s="8">
        <v>49.701999999999998</v>
      </c>
      <c r="L45" t="s">
        <v>6</v>
      </c>
      <c r="M45" s="8">
        <v>38.536999999999999</v>
      </c>
      <c r="N45" t="s">
        <v>6</v>
      </c>
      <c r="O45" s="8">
        <v>61.709600000000002</v>
      </c>
      <c r="P45" t="s">
        <v>6</v>
      </c>
      <c r="Q45" s="8">
        <v>76.480099999999993</v>
      </c>
      <c r="R45" t="s">
        <v>6</v>
      </c>
      <c r="S45" s="8">
        <v>59.887639999999998</v>
      </c>
      <c r="T45" t="s">
        <v>6</v>
      </c>
      <c r="U45" s="8">
        <v>128.6</v>
      </c>
      <c r="V45" t="s">
        <v>6</v>
      </c>
      <c r="W45" s="8">
        <v>70.654355129999999</v>
      </c>
      <c r="X45" t="s">
        <v>6</v>
      </c>
      <c r="Y45" s="8">
        <v>73.300241999999997</v>
      </c>
      <c r="Z45" t="s">
        <v>6</v>
      </c>
      <c r="AA45" s="8">
        <v>67.522000000000006</v>
      </c>
      <c r="AB45" t="s">
        <v>6</v>
      </c>
      <c r="AC45" s="8">
        <v>43.161999999999999</v>
      </c>
      <c r="AD45" t="s">
        <v>6</v>
      </c>
      <c r="AE45" s="8">
        <v>82.789500000000004</v>
      </c>
      <c r="AF45" t="s">
        <v>6</v>
      </c>
      <c r="AG45" s="8">
        <v>37.075651260000001</v>
      </c>
      <c r="AH45" t="s">
        <v>6</v>
      </c>
      <c r="AI45" s="8">
        <v>55.6405417</v>
      </c>
      <c r="AJ45" t="s">
        <v>6</v>
      </c>
      <c r="AK45" s="8">
        <v>39.89479</v>
      </c>
      <c r="AL45" t="s">
        <v>6</v>
      </c>
    </row>
    <row r="46" spans="1:40" x14ac:dyDescent="0.2">
      <c r="A46" s="7" t="s">
        <v>57</v>
      </c>
      <c r="B46" t="s">
        <v>6</v>
      </c>
      <c r="C46" s="8">
        <v>17.989463239999999</v>
      </c>
      <c r="D46" s="10">
        <f t="shared" si="4"/>
        <v>1.0070378703524105</v>
      </c>
      <c r="E46" s="8">
        <v>45.564900000000002</v>
      </c>
      <c r="F46" s="10">
        <f t="shared" si="5"/>
        <v>1.0077330104334268</v>
      </c>
      <c r="G46" s="8">
        <v>59.593730000000001</v>
      </c>
      <c r="H46" t="s">
        <v>6</v>
      </c>
      <c r="I46" s="8">
        <v>60.0854</v>
      </c>
      <c r="J46" t="s">
        <v>6</v>
      </c>
      <c r="K46" s="8">
        <v>49.835000000000001</v>
      </c>
      <c r="L46" t="s">
        <v>6</v>
      </c>
      <c r="M46" s="8">
        <v>38.829000000000001</v>
      </c>
      <c r="N46" t="s">
        <v>6</v>
      </c>
      <c r="O46" s="8">
        <v>61.921599999999998</v>
      </c>
      <c r="P46" t="s">
        <v>6</v>
      </c>
      <c r="Q46" s="8">
        <v>76.686899999999994</v>
      </c>
      <c r="R46" t="s">
        <v>6</v>
      </c>
      <c r="S46" s="8">
        <v>60.228999999999999</v>
      </c>
      <c r="T46" t="s">
        <v>6</v>
      </c>
      <c r="U46" s="8">
        <v>129.5</v>
      </c>
      <c r="V46" t="s">
        <v>6</v>
      </c>
      <c r="W46" s="8">
        <v>70.961913760000002</v>
      </c>
      <c r="X46" t="s">
        <v>6</v>
      </c>
      <c r="Y46" s="8">
        <v>73.684478999999996</v>
      </c>
      <c r="Z46" t="s">
        <v>6</v>
      </c>
      <c r="AA46" s="8">
        <v>67.638000000000005</v>
      </c>
      <c r="AB46" t="s">
        <v>6</v>
      </c>
      <c r="AC46" s="8">
        <v>43.808</v>
      </c>
      <c r="AD46" t="s">
        <v>6</v>
      </c>
      <c r="AE46" s="8">
        <v>82.765000000000001</v>
      </c>
      <c r="AF46" t="s">
        <v>6</v>
      </c>
      <c r="AG46" s="8">
        <v>37.748927590000001</v>
      </c>
      <c r="AH46" t="s">
        <v>6</v>
      </c>
      <c r="AI46" s="8">
        <v>56.339194069999998</v>
      </c>
      <c r="AJ46" t="s">
        <v>6</v>
      </c>
      <c r="AK46" s="8">
        <v>40.3065</v>
      </c>
      <c r="AL46" t="s">
        <v>6</v>
      </c>
    </row>
    <row r="47" spans="1:40" x14ac:dyDescent="0.2">
      <c r="A47" s="7" t="s">
        <v>60</v>
      </c>
      <c r="B47" t="s">
        <v>6</v>
      </c>
      <c r="C47" t="s">
        <v>45</v>
      </c>
      <c r="D47" s="11">
        <f>SUM(D48:D59)</f>
        <v>11.894470747068885</v>
      </c>
      <c r="E47" t="s">
        <v>45</v>
      </c>
      <c r="F47" s="11">
        <f>SUM(F48:F59)</f>
        <v>11.832161639058226</v>
      </c>
      <c r="G47" t="s">
        <v>45</v>
      </c>
      <c r="H47" t="s">
        <v>6</v>
      </c>
      <c r="I47" t="s">
        <v>45</v>
      </c>
      <c r="J47" t="s">
        <v>6</v>
      </c>
      <c r="K47" t="s">
        <v>45</v>
      </c>
      <c r="L47" t="s">
        <v>6</v>
      </c>
      <c r="M47" t="s">
        <v>45</v>
      </c>
      <c r="N47" t="s">
        <v>6</v>
      </c>
      <c r="O47" t="s">
        <v>45</v>
      </c>
      <c r="P47" t="s">
        <v>6</v>
      </c>
      <c r="Q47" t="s">
        <v>45</v>
      </c>
      <c r="R47" t="s">
        <v>6</v>
      </c>
      <c r="S47" t="s">
        <v>45</v>
      </c>
      <c r="T47" t="s">
        <v>6</v>
      </c>
      <c r="U47" t="s">
        <v>45</v>
      </c>
      <c r="V47" t="s">
        <v>6</v>
      </c>
      <c r="W47" t="s">
        <v>45</v>
      </c>
      <c r="X47" t="s">
        <v>6</v>
      </c>
      <c r="Y47" t="s">
        <v>45</v>
      </c>
      <c r="Z47" t="s">
        <v>6</v>
      </c>
      <c r="AA47" t="s">
        <v>45</v>
      </c>
      <c r="AB47" t="s">
        <v>6</v>
      </c>
      <c r="AC47" t="s">
        <v>45</v>
      </c>
      <c r="AD47" t="s">
        <v>6</v>
      </c>
      <c r="AE47" t="s">
        <v>45</v>
      </c>
      <c r="AF47" t="s">
        <v>6</v>
      </c>
      <c r="AG47" t="s">
        <v>45</v>
      </c>
      <c r="AH47" t="s">
        <v>6</v>
      </c>
      <c r="AI47" t="s">
        <v>45</v>
      </c>
      <c r="AJ47" t="s">
        <v>6</v>
      </c>
      <c r="AK47" t="s">
        <v>45</v>
      </c>
      <c r="AL47" t="s">
        <v>6</v>
      </c>
      <c r="AM47" t="s">
        <v>45</v>
      </c>
      <c r="AN47" t="s">
        <v>6</v>
      </c>
    </row>
    <row r="48" spans="1:40" x14ac:dyDescent="0.2">
      <c r="A48" s="7" t="s">
        <v>46</v>
      </c>
      <c r="B48" t="s">
        <v>6</v>
      </c>
      <c r="C48" s="8">
        <v>18.225514010000001</v>
      </c>
      <c r="D48" s="10">
        <f t="shared" ref="D48:D59" si="6">C48/C$58</f>
        <v>0.97945488826322413</v>
      </c>
      <c r="E48" s="8">
        <v>45.744140000000002</v>
      </c>
      <c r="F48" s="10">
        <f t="shared" ref="F48:F59" si="7">E48/E$58</f>
        <v>0.97454129442054238</v>
      </c>
      <c r="G48" s="8">
        <v>60.93459</v>
      </c>
      <c r="H48" t="s">
        <v>6</v>
      </c>
      <c r="I48" s="8">
        <v>60.144399999999997</v>
      </c>
      <c r="J48" t="s">
        <v>6</v>
      </c>
      <c r="K48" s="8">
        <v>50.42</v>
      </c>
      <c r="L48" t="s">
        <v>6</v>
      </c>
      <c r="M48" s="8">
        <v>39.08</v>
      </c>
      <c r="N48" t="s">
        <v>6</v>
      </c>
      <c r="O48" s="8">
        <v>63.461199999999998</v>
      </c>
      <c r="P48" t="s">
        <v>6</v>
      </c>
      <c r="Q48" s="8">
        <v>77.601600000000005</v>
      </c>
      <c r="R48" t="s">
        <v>6</v>
      </c>
      <c r="S48" s="8">
        <v>60.945720000000001</v>
      </c>
      <c r="T48" t="s">
        <v>6</v>
      </c>
      <c r="U48" s="8">
        <v>130.6</v>
      </c>
      <c r="V48" t="s">
        <v>6</v>
      </c>
      <c r="W48" s="8">
        <v>71.24878459</v>
      </c>
      <c r="X48" t="s">
        <v>6</v>
      </c>
      <c r="Y48" s="8">
        <v>74.452400999999995</v>
      </c>
      <c r="Z48" t="s">
        <v>6</v>
      </c>
      <c r="AA48" s="8">
        <v>67.695999999999998</v>
      </c>
      <c r="AB48" t="s">
        <v>6</v>
      </c>
      <c r="AC48" s="8">
        <v>45.540999999999997</v>
      </c>
      <c r="AD48" t="s">
        <v>6</v>
      </c>
      <c r="AE48" s="8">
        <v>82.952500000000001</v>
      </c>
      <c r="AF48" t="s">
        <v>6</v>
      </c>
      <c r="AG48" s="8">
        <v>38.99036959</v>
      </c>
      <c r="AH48" t="s">
        <v>6</v>
      </c>
      <c r="AI48" s="8">
        <v>57.392139329999999</v>
      </c>
      <c r="AJ48" t="s">
        <v>6</v>
      </c>
      <c r="AK48" s="8">
        <v>41.474980000000002</v>
      </c>
      <c r="AL48" t="s">
        <v>6</v>
      </c>
    </row>
    <row r="49" spans="1:40" x14ac:dyDescent="0.2">
      <c r="A49" s="7" t="s">
        <v>47</v>
      </c>
      <c r="B49" t="s">
        <v>6</v>
      </c>
      <c r="C49" s="8">
        <v>18.32900003</v>
      </c>
      <c r="D49" s="10">
        <f t="shared" si="6"/>
        <v>0.98501631649511323</v>
      </c>
      <c r="E49" s="8">
        <v>45.646769999999997</v>
      </c>
      <c r="F49" s="10">
        <f t="shared" si="7"/>
        <v>0.97246690662272317</v>
      </c>
      <c r="G49" s="8">
        <v>61.891680000000001</v>
      </c>
      <c r="H49" t="s">
        <v>6</v>
      </c>
      <c r="I49" s="8">
        <v>60.628</v>
      </c>
      <c r="J49" t="s">
        <v>6</v>
      </c>
      <c r="K49" s="8">
        <v>50.98</v>
      </c>
      <c r="L49" t="s">
        <v>6</v>
      </c>
      <c r="M49" s="8">
        <v>39.398000000000003</v>
      </c>
      <c r="N49" t="s">
        <v>6</v>
      </c>
      <c r="O49" s="8">
        <v>63.946300000000001</v>
      </c>
      <c r="P49" t="s">
        <v>6</v>
      </c>
      <c r="Q49" s="8">
        <v>77.794600000000003</v>
      </c>
      <c r="R49" t="s">
        <v>6</v>
      </c>
      <c r="S49" s="8">
        <v>61.366250000000001</v>
      </c>
      <c r="T49" t="s">
        <v>6</v>
      </c>
      <c r="U49" s="8">
        <v>132.30000000000001</v>
      </c>
      <c r="V49" t="s">
        <v>6</v>
      </c>
      <c r="W49" s="8">
        <v>71.446697880000002</v>
      </c>
      <c r="X49" t="s">
        <v>6</v>
      </c>
      <c r="Y49" s="8">
        <v>75.793633</v>
      </c>
      <c r="Z49" t="s">
        <v>6</v>
      </c>
      <c r="AA49" s="8">
        <v>67.813000000000002</v>
      </c>
      <c r="AB49" t="s">
        <v>6</v>
      </c>
      <c r="AC49" s="8">
        <v>46.351999999999997</v>
      </c>
      <c r="AD49" t="s">
        <v>6</v>
      </c>
      <c r="AE49" s="8">
        <v>83.343800000000002</v>
      </c>
      <c r="AF49" t="s">
        <v>6</v>
      </c>
      <c r="AG49" s="8">
        <v>40.541461890000001</v>
      </c>
      <c r="AH49" t="s">
        <v>6</v>
      </c>
      <c r="AI49" s="8">
        <v>58.170259260000002</v>
      </c>
      <c r="AJ49" t="s">
        <v>6</v>
      </c>
      <c r="AK49" s="8">
        <v>43.759430000000002</v>
      </c>
      <c r="AL49" t="s">
        <v>6</v>
      </c>
    </row>
    <row r="50" spans="1:40" x14ac:dyDescent="0.2">
      <c r="A50" s="7" t="s">
        <v>48</v>
      </c>
      <c r="B50" t="s">
        <v>6</v>
      </c>
      <c r="C50" s="8">
        <v>18.436762340000001</v>
      </c>
      <c r="D50" s="10">
        <f t="shared" si="6"/>
        <v>0.99080755625066286</v>
      </c>
      <c r="E50" s="8">
        <v>45.675539999999998</v>
      </c>
      <c r="F50" s="10">
        <f t="shared" si="7"/>
        <v>0.97307982781963454</v>
      </c>
      <c r="G50" s="8">
        <v>62.65305</v>
      </c>
      <c r="H50" t="s">
        <v>6</v>
      </c>
      <c r="I50" s="8">
        <v>61.336599999999997</v>
      </c>
      <c r="J50" t="s">
        <v>6</v>
      </c>
      <c r="K50" s="8">
        <v>51.514000000000003</v>
      </c>
      <c r="L50" t="s">
        <v>6</v>
      </c>
      <c r="M50" s="8">
        <v>39.652999999999999</v>
      </c>
      <c r="N50" t="s">
        <v>6</v>
      </c>
      <c r="O50" s="8">
        <v>64.306799999999996</v>
      </c>
      <c r="P50" t="s">
        <v>6</v>
      </c>
      <c r="Q50" s="8">
        <v>78.019900000000007</v>
      </c>
      <c r="R50" t="s">
        <v>6</v>
      </c>
      <c r="S50" s="8">
        <v>61.628869999999999</v>
      </c>
      <c r="T50" t="s">
        <v>6</v>
      </c>
      <c r="U50" s="8">
        <v>132.80000000000001</v>
      </c>
      <c r="V50" t="s">
        <v>6</v>
      </c>
      <c r="W50" s="8">
        <v>71.897691929999993</v>
      </c>
      <c r="X50" t="s">
        <v>6</v>
      </c>
      <c r="Y50" s="8">
        <v>75.769383000000005</v>
      </c>
      <c r="Z50" t="s">
        <v>6</v>
      </c>
      <c r="AA50" s="8">
        <v>68.103999999999999</v>
      </c>
      <c r="AB50" t="s">
        <v>6</v>
      </c>
      <c r="AC50" s="8">
        <v>46.929000000000002</v>
      </c>
      <c r="AD50" t="s">
        <v>6</v>
      </c>
      <c r="AE50" s="8">
        <v>84.273200000000003</v>
      </c>
      <c r="AF50" t="s">
        <v>6</v>
      </c>
      <c r="AG50" s="8">
        <v>41.260191470000002</v>
      </c>
      <c r="AH50" t="s">
        <v>6</v>
      </c>
      <c r="AI50" s="8">
        <v>58.892089669999997</v>
      </c>
      <c r="AJ50" t="s">
        <v>6</v>
      </c>
      <c r="AK50" s="8">
        <v>44.091560000000001</v>
      </c>
      <c r="AL50" t="s">
        <v>6</v>
      </c>
    </row>
    <row r="51" spans="1:40" x14ac:dyDescent="0.2">
      <c r="A51" s="7" t="s">
        <v>49</v>
      </c>
      <c r="B51" t="s">
        <v>6</v>
      </c>
      <c r="C51" s="8">
        <v>18.447025419999999</v>
      </c>
      <c r="D51" s="10">
        <f t="shared" si="6"/>
        <v>0.99135910304759367</v>
      </c>
      <c r="E51" s="8">
        <v>45.819389999999999</v>
      </c>
      <c r="F51" s="10">
        <f t="shared" si="7"/>
        <v>0.97614443380419114</v>
      </c>
      <c r="G51" s="8">
        <v>63.260739999999998</v>
      </c>
      <c r="H51" t="s">
        <v>6</v>
      </c>
      <c r="I51" s="8">
        <v>61.2776</v>
      </c>
      <c r="J51" t="s">
        <v>6</v>
      </c>
      <c r="K51" s="8">
        <v>52.104999999999997</v>
      </c>
      <c r="L51" t="s">
        <v>6</v>
      </c>
      <c r="M51" s="8">
        <v>40.033999999999999</v>
      </c>
      <c r="N51" t="s">
        <v>6</v>
      </c>
      <c r="O51" s="8">
        <v>64.932299999999998</v>
      </c>
      <c r="P51" t="s">
        <v>6</v>
      </c>
      <c r="Q51" s="8">
        <v>77.987700000000004</v>
      </c>
      <c r="R51" t="s">
        <v>6</v>
      </c>
      <c r="S51" s="8">
        <v>61.904510000000002</v>
      </c>
      <c r="T51" t="s">
        <v>6</v>
      </c>
      <c r="U51" s="8">
        <v>133.5</v>
      </c>
      <c r="V51" t="s">
        <v>6</v>
      </c>
      <c r="W51" s="8">
        <v>72.020439550000006</v>
      </c>
      <c r="X51" t="s">
        <v>6</v>
      </c>
      <c r="Y51" s="8">
        <v>75.584064999999995</v>
      </c>
      <c r="Z51" t="s">
        <v>6</v>
      </c>
      <c r="AA51" s="8">
        <v>68.045000000000002</v>
      </c>
      <c r="AB51" t="s">
        <v>6</v>
      </c>
      <c r="AC51" s="8">
        <v>47.478999999999999</v>
      </c>
      <c r="AD51" t="s">
        <v>6</v>
      </c>
      <c r="AE51" s="8">
        <v>84.232500000000002</v>
      </c>
      <c r="AF51" t="s">
        <v>6</v>
      </c>
      <c r="AG51" s="8">
        <v>41.379506259999999</v>
      </c>
      <c r="AH51" t="s">
        <v>6</v>
      </c>
      <c r="AI51" s="8">
        <v>59.451673790000001</v>
      </c>
      <c r="AJ51" t="s">
        <v>6</v>
      </c>
      <c r="AK51" s="8">
        <v>44.822159999999997</v>
      </c>
      <c r="AL51" t="s">
        <v>6</v>
      </c>
    </row>
    <row r="52" spans="1:40" x14ac:dyDescent="0.2">
      <c r="A52" s="7" t="s">
        <v>50</v>
      </c>
      <c r="B52" t="s">
        <v>6</v>
      </c>
      <c r="C52" s="8">
        <v>18.375183880000002</v>
      </c>
      <c r="D52" s="10">
        <f t="shared" si="6"/>
        <v>0.9874982765438941</v>
      </c>
      <c r="E52" s="8">
        <v>45.826030000000003</v>
      </c>
      <c r="F52" s="10">
        <f t="shared" si="7"/>
        <v>0.97628589354515383</v>
      </c>
      <c r="G52" s="8">
        <v>63.646680000000003</v>
      </c>
      <c r="H52" t="s">
        <v>6</v>
      </c>
      <c r="I52" s="8">
        <v>61.043399999999998</v>
      </c>
      <c r="J52" t="s">
        <v>6</v>
      </c>
      <c r="K52" s="8">
        <v>52.36</v>
      </c>
      <c r="L52" t="s">
        <v>6</v>
      </c>
      <c r="M52" s="8">
        <v>40.244999999999997</v>
      </c>
      <c r="N52" t="s">
        <v>6</v>
      </c>
      <c r="O52" s="8">
        <v>65.047200000000004</v>
      </c>
      <c r="P52" t="s">
        <v>6</v>
      </c>
      <c r="Q52" s="8">
        <v>77.886099999999999</v>
      </c>
      <c r="R52" t="s">
        <v>6</v>
      </c>
      <c r="S52" s="8">
        <v>62.060540000000003</v>
      </c>
      <c r="T52" t="s">
        <v>6</v>
      </c>
      <c r="U52" s="8">
        <v>133.69999999999999</v>
      </c>
      <c r="V52" t="s">
        <v>6</v>
      </c>
      <c r="W52" s="8">
        <v>71.788046589999993</v>
      </c>
      <c r="X52" t="s">
        <v>6</v>
      </c>
      <c r="Y52" s="8">
        <v>76.127217999999999</v>
      </c>
      <c r="Z52" t="s">
        <v>6</v>
      </c>
      <c r="AA52" s="8">
        <v>68.162000000000006</v>
      </c>
      <c r="AB52" t="s">
        <v>6</v>
      </c>
      <c r="AC52" s="8">
        <v>46.915999999999997</v>
      </c>
      <c r="AD52" t="s">
        <v>6</v>
      </c>
      <c r="AE52" s="8">
        <v>84.1999</v>
      </c>
      <c r="AF52" t="s">
        <v>6</v>
      </c>
      <c r="AG52" s="8">
        <v>41.873810400000004</v>
      </c>
      <c r="AH52" t="s">
        <v>6</v>
      </c>
      <c r="AI52" s="8">
        <v>59.673520740000001</v>
      </c>
      <c r="AJ52" t="s">
        <v>6</v>
      </c>
      <c r="AK52" s="8">
        <v>45.857999999999997</v>
      </c>
      <c r="AL52" t="s">
        <v>6</v>
      </c>
    </row>
    <row r="53" spans="1:40" x14ac:dyDescent="0.2">
      <c r="A53" s="7" t="s">
        <v>51</v>
      </c>
      <c r="B53" t="s">
        <v>6</v>
      </c>
      <c r="C53" s="8">
        <v>18.358934009999999</v>
      </c>
      <c r="D53" s="10">
        <f t="shared" si="6"/>
        <v>0.98662499447369234</v>
      </c>
      <c r="E53" s="8">
        <v>45.918970000000002</v>
      </c>
      <c r="F53" s="10">
        <f t="shared" si="7"/>
        <v>0.97826590383507162</v>
      </c>
      <c r="G53" s="8">
        <v>63.551139999999997</v>
      </c>
      <c r="H53" t="s">
        <v>6</v>
      </c>
      <c r="I53" s="8">
        <v>61.043399999999998</v>
      </c>
      <c r="J53" t="s">
        <v>6</v>
      </c>
      <c r="K53" s="8">
        <v>52.331000000000003</v>
      </c>
      <c r="L53" t="s">
        <v>6</v>
      </c>
      <c r="M53" s="8">
        <v>40.515000000000001</v>
      </c>
      <c r="N53" t="s">
        <v>6</v>
      </c>
      <c r="O53" s="8">
        <v>64.911799999999999</v>
      </c>
      <c r="P53" t="s">
        <v>6</v>
      </c>
      <c r="Q53" s="8">
        <v>78.189499999999995</v>
      </c>
      <c r="R53" t="s">
        <v>6</v>
      </c>
      <c r="S53" s="8">
        <v>62.226959999999998</v>
      </c>
      <c r="T53" t="s">
        <v>6</v>
      </c>
      <c r="U53" s="8">
        <v>134.1</v>
      </c>
      <c r="V53" t="s">
        <v>6</v>
      </c>
      <c r="W53" s="8">
        <v>71.847351619999998</v>
      </c>
      <c r="X53" t="s">
        <v>6</v>
      </c>
      <c r="Y53" s="8">
        <v>76.922404999999998</v>
      </c>
      <c r="Z53" t="s">
        <v>6</v>
      </c>
      <c r="AA53" s="8">
        <v>67.986999999999995</v>
      </c>
      <c r="AB53" t="s">
        <v>6</v>
      </c>
      <c r="AC53" s="8">
        <v>46.228000000000002</v>
      </c>
      <c r="AD53" t="s">
        <v>6</v>
      </c>
      <c r="AE53" s="8">
        <v>83.808499999999995</v>
      </c>
      <c r="AF53" t="s">
        <v>6</v>
      </c>
      <c r="AG53" s="8">
        <v>44.024317490000001</v>
      </c>
      <c r="AH53" t="s">
        <v>6</v>
      </c>
      <c r="AI53" s="8">
        <v>59.76954405</v>
      </c>
      <c r="AJ53" t="s">
        <v>6</v>
      </c>
      <c r="AK53" s="8">
        <v>46.495420000000003</v>
      </c>
      <c r="AL53" t="s">
        <v>6</v>
      </c>
    </row>
    <row r="54" spans="1:40" x14ac:dyDescent="0.2">
      <c r="A54" s="7" t="s">
        <v>52</v>
      </c>
      <c r="B54" t="s">
        <v>6</v>
      </c>
      <c r="C54" s="8">
        <v>18.441893879999999</v>
      </c>
      <c r="D54" s="10">
        <f t="shared" si="6"/>
        <v>0.99108332964912815</v>
      </c>
      <c r="E54" s="8">
        <v>46.193379999999998</v>
      </c>
      <c r="F54" s="10">
        <f t="shared" si="7"/>
        <v>0.98411198328048122</v>
      </c>
      <c r="G54" s="8">
        <v>63.678229999999999</v>
      </c>
      <c r="H54" t="s">
        <v>6</v>
      </c>
      <c r="I54" s="8">
        <v>60.990299999999998</v>
      </c>
      <c r="J54" t="s">
        <v>6</v>
      </c>
      <c r="K54" s="8">
        <v>52.256</v>
      </c>
      <c r="L54" t="s">
        <v>6</v>
      </c>
      <c r="M54" s="8">
        <v>40.840000000000003</v>
      </c>
      <c r="N54" t="s">
        <v>6</v>
      </c>
      <c r="O54" s="8">
        <v>64.933300000000003</v>
      </c>
      <c r="P54" t="s">
        <v>6</v>
      </c>
      <c r="Q54" s="8">
        <v>77.858999999999995</v>
      </c>
      <c r="R54" t="s">
        <v>6</v>
      </c>
      <c r="S54" s="8">
        <v>62.393380000000001</v>
      </c>
      <c r="T54" t="s">
        <v>6</v>
      </c>
      <c r="U54" s="8">
        <v>134.6</v>
      </c>
      <c r="V54" t="s">
        <v>6</v>
      </c>
      <c r="W54" s="8">
        <v>71.95148021</v>
      </c>
      <c r="X54" t="s">
        <v>6</v>
      </c>
      <c r="Y54" s="8">
        <v>76.906833000000006</v>
      </c>
      <c r="Z54" t="s">
        <v>6</v>
      </c>
      <c r="AA54" s="8">
        <v>68.045000000000002</v>
      </c>
      <c r="AB54" t="s">
        <v>6</v>
      </c>
      <c r="AC54" s="8">
        <v>45.926000000000002</v>
      </c>
      <c r="AD54" t="s">
        <v>6</v>
      </c>
      <c r="AE54" s="8">
        <v>83.678100000000001</v>
      </c>
      <c r="AF54" t="s">
        <v>6</v>
      </c>
      <c r="AG54" s="8">
        <v>45.635067190000001</v>
      </c>
      <c r="AH54" t="s">
        <v>6</v>
      </c>
      <c r="AI54" s="8">
        <v>60.067547429999998</v>
      </c>
      <c r="AJ54" t="s">
        <v>6</v>
      </c>
      <c r="AK54" s="8">
        <v>47.331879999999998</v>
      </c>
      <c r="AL54" t="s">
        <v>6</v>
      </c>
    </row>
    <row r="55" spans="1:40" x14ac:dyDescent="0.2">
      <c r="A55" s="7" t="s">
        <v>53</v>
      </c>
      <c r="B55" t="s">
        <v>6</v>
      </c>
      <c r="C55" s="8">
        <v>18.44531491</v>
      </c>
      <c r="D55" s="10">
        <f t="shared" si="6"/>
        <v>0.9912671787605748</v>
      </c>
      <c r="E55" s="8">
        <v>46.489919999999998</v>
      </c>
      <c r="F55" s="10">
        <f t="shared" si="7"/>
        <v>0.99042952418183972</v>
      </c>
      <c r="G55" s="8">
        <v>63.89472</v>
      </c>
      <c r="H55" t="s">
        <v>6</v>
      </c>
      <c r="I55" s="8">
        <v>61.0914</v>
      </c>
      <c r="J55" t="s">
        <v>6</v>
      </c>
      <c r="K55" s="8">
        <v>52.417999999999999</v>
      </c>
      <c r="L55" t="s">
        <v>6</v>
      </c>
      <c r="M55" s="8">
        <v>41.009</v>
      </c>
      <c r="N55" t="s">
        <v>6</v>
      </c>
      <c r="O55" s="8">
        <v>64.973299999999995</v>
      </c>
      <c r="P55" t="s">
        <v>6</v>
      </c>
      <c r="Q55" s="8">
        <v>78.111800000000002</v>
      </c>
      <c r="R55" t="s">
        <v>6</v>
      </c>
      <c r="S55" s="8">
        <v>62.568129999999996</v>
      </c>
      <c r="T55" t="s">
        <v>6</v>
      </c>
      <c r="U55" s="8">
        <v>135.80000000000001</v>
      </c>
      <c r="V55" t="s">
        <v>6</v>
      </c>
      <c r="W55" s="8">
        <v>72.167322929999997</v>
      </c>
      <c r="X55" t="s">
        <v>6</v>
      </c>
      <c r="Y55" s="8">
        <v>76.965198999999998</v>
      </c>
      <c r="Z55" t="s">
        <v>6</v>
      </c>
      <c r="AA55" s="8">
        <v>68.162000000000006</v>
      </c>
      <c r="AB55" t="s">
        <v>6</v>
      </c>
      <c r="AC55" s="8">
        <v>45.816000000000003</v>
      </c>
      <c r="AD55" t="s">
        <v>6</v>
      </c>
      <c r="AE55" s="8">
        <v>83.694400000000002</v>
      </c>
      <c r="AF55" t="s">
        <v>6</v>
      </c>
      <c r="AG55" s="8">
        <v>47.032754750000002</v>
      </c>
      <c r="AH55" t="s">
        <v>6</v>
      </c>
      <c r="AI55" s="8">
        <v>60.766199790000002</v>
      </c>
      <c r="AJ55" t="s">
        <v>6</v>
      </c>
      <c r="AK55" s="8">
        <v>47.929679999999998</v>
      </c>
      <c r="AL55" t="s">
        <v>6</v>
      </c>
    </row>
    <row r="56" spans="1:40" x14ac:dyDescent="0.2">
      <c r="A56" s="7" t="s">
        <v>54</v>
      </c>
      <c r="B56" t="s">
        <v>6</v>
      </c>
      <c r="C56" s="8">
        <v>18.453867469999999</v>
      </c>
      <c r="D56" s="10">
        <f>C56/C$58</f>
        <v>0.99172680073307817</v>
      </c>
      <c r="E56" s="8">
        <v>46.598350000000003</v>
      </c>
      <c r="F56" s="10">
        <f t="shared" si="7"/>
        <v>0.99273953618674404</v>
      </c>
      <c r="G56" s="8">
        <v>64.393140000000002</v>
      </c>
      <c r="H56" t="s">
        <v>6</v>
      </c>
      <c r="I56" s="8">
        <v>61.208500000000001</v>
      </c>
      <c r="J56" t="s">
        <v>6</v>
      </c>
      <c r="K56" s="8">
        <v>52.533000000000001</v>
      </c>
      <c r="L56" t="s">
        <v>6</v>
      </c>
      <c r="M56" s="8">
        <v>41.063000000000002</v>
      </c>
      <c r="N56" t="s">
        <v>6</v>
      </c>
      <c r="O56" s="8">
        <v>65.486999999999995</v>
      </c>
      <c r="P56" t="s">
        <v>6</v>
      </c>
      <c r="Q56" s="8">
        <v>78.162300000000002</v>
      </c>
      <c r="R56" t="s">
        <v>6</v>
      </c>
      <c r="S56" s="8">
        <v>62.830770000000001</v>
      </c>
      <c r="T56" t="s">
        <v>6</v>
      </c>
      <c r="U56" s="8">
        <v>136.4</v>
      </c>
      <c r="V56" t="s">
        <v>6</v>
      </c>
      <c r="W56" s="8">
        <v>72.596939579999997</v>
      </c>
      <c r="X56" t="s">
        <v>6</v>
      </c>
      <c r="Y56" s="8">
        <v>77.063744999999997</v>
      </c>
      <c r="Z56" t="s">
        <v>6</v>
      </c>
      <c r="AA56" s="8">
        <v>68.22</v>
      </c>
      <c r="AB56" t="s">
        <v>6</v>
      </c>
      <c r="AC56" s="8">
        <v>45.884</v>
      </c>
      <c r="AD56" t="s">
        <v>6</v>
      </c>
      <c r="AE56" s="8">
        <v>84.159099999999995</v>
      </c>
      <c r="AF56" t="s">
        <v>6</v>
      </c>
      <c r="AG56" s="8">
        <v>47.740121019999997</v>
      </c>
      <c r="AH56" t="s">
        <v>6</v>
      </c>
      <c r="AI56" s="8">
        <v>61.252938640000004</v>
      </c>
      <c r="AJ56" t="s">
        <v>6</v>
      </c>
      <c r="AK56" s="8">
        <v>48.620350000000002</v>
      </c>
      <c r="AL56" t="s">
        <v>6</v>
      </c>
    </row>
    <row r="57" spans="1:40" x14ac:dyDescent="0.2">
      <c r="A57" s="7" t="s">
        <v>55</v>
      </c>
      <c r="B57" t="s">
        <v>6</v>
      </c>
      <c r="C57" s="8">
        <v>18.561629780000001</v>
      </c>
      <c r="D57" s="10">
        <f t="shared" si="6"/>
        <v>0.9975180404886278</v>
      </c>
      <c r="E57" s="8">
        <v>47.18036</v>
      </c>
      <c r="F57" s="10">
        <f t="shared" si="7"/>
        <v>1.0051387807405971</v>
      </c>
      <c r="G57" s="8">
        <v>64.579830000000001</v>
      </c>
      <c r="H57" t="s">
        <v>6</v>
      </c>
      <c r="I57" s="8">
        <v>61.113300000000002</v>
      </c>
      <c r="J57" t="s">
        <v>6</v>
      </c>
      <c r="K57" s="8">
        <v>52.564999999999998</v>
      </c>
      <c r="L57" t="s">
        <v>6</v>
      </c>
      <c r="M57" s="8">
        <v>41.540999999999997</v>
      </c>
      <c r="N57" t="s">
        <v>6</v>
      </c>
      <c r="O57" s="8">
        <v>65.488600000000005</v>
      </c>
      <c r="P57" t="s">
        <v>6</v>
      </c>
      <c r="Q57" s="8">
        <v>78.406000000000006</v>
      </c>
      <c r="R57" t="s">
        <v>6</v>
      </c>
      <c r="S57" s="8">
        <v>63.101210000000002</v>
      </c>
      <c r="T57" t="s">
        <v>6</v>
      </c>
      <c r="U57" s="8">
        <v>137</v>
      </c>
      <c r="V57" t="s">
        <v>6</v>
      </c>
      <c r="W57" s="8">
        <v>72.863122619999999</v>
      </c>
      <c r="X57" t="s">
        <v>6</v>
      </c>
      <c r="Y57" s="8">
        <v>77.353189999999998</v>
      </c>
      <c r="Z57" t="s">
        <v>6</v>
      </c>
      <c r="AA57" s="8">
        <v>68.22</v>
      </c>
      <c r="AB57" t="s">
        <v>6</v>
      </c>
      <c r="AC57" s="8">
        <v>46.832999999999998</v>
      </c>
      <c r="AD57" t="s">
        <v>6</v>
      </c>
      <c r="AE57" s="8">
        <v>84.1999</v>
      </c>
      <c r="AF57" t="s">
        <v>6</v>
      </c>
      <c r="AG57" s="8">
        <v>48.9787222</v>
      </c>
      <c r="AH57" t="s">
        <v>6</v>
      </c>
      <c r="AI57" s="8">
        <v>61.574120059999998</v>
      </c>
      <c r="AJ57" t="s">
        <v>6</v>
      </c>
      <c r="AK57" s="8">
        <v>49.364240000000002</v>
      </c>
      <c r="AL57" t="s">
        <v>6</v>
      </c>
    </row>
    <row r="58" spans="1:40" x14ac:dyDescent="0.2">
      <c r="A58" s="7" t="s">
        <v>56</v>
      </c>
      <c r="B58" t="s">
        <v>6</v>
      </c>
      <c r="C58" s="8">
        <v>18.607813620000002</v>
      </c>
      <c r="D58" s="10">
        <f t="shared" si="6"/>
        <v>1</v>
      </c>
      <c r="E58" s="8">
        <v>46.939149999999998</v>
      </c>
      <c r="F58" s="10">
        <f t="shared" si="7"/>
        <v>1</v>
      </c>
      <c r="G58" s="8">
        <v>64.799539999999993</v>
      </c>
      <c r="H58" t="s">
        <v>6</v>
      </c>
      <c r="I58" s="8">
        <v>60.926299999999998</v>
      </c>
      <c r="J58" t="s">
        <v>6</v>
      </c>
      <c r="K58" s="8">
        <v>52.747999999999998</v>
      </c>
      <c r="L58" t="s">
        <v>6</v>
      </c>
      <c r="M58" s="8">
        <v>42.131999999999998</v>
      </c>
      <c r="N58" t="s">
        <v>6</v>
      </c>
      <c r="O58" s="8">
        <v>65.7072</v>
      </c>
      <c r="P58" t="s">
        <v>6</v>
      </c>
      <c r="Q58" s="8">
        <v>78.461100000000002</v>
      </c>
      <c r="R58" t="s">
        <v>6</v>
      </c>
      <c r="S58" s="8">
        <v>63.385170000000002</v>
      </c>
      <c r="T58" t="s">
        <v>6</v>
      </c>
      <c r="U58" s="8">
        <v>137.9</v>
      </c>
      <c r="V58" t="s">
        <v>6</v>
      </c>
      <c r="W58" s="8">
        <v>73.467895979999994</v>
      </c>
      <c r="X58" t="s">
        <v>6</v>
      </c>
      <c r="Y58" s="8">
        <v>77.898131000000006</v>
      </c>
      <c r="Z58" t="s">
        <v>6</v>
      </c>
      <c r="AA58" s="8">
        <v>68.278000000000006</v>
      </c>
      <c r="AB58" t="s">
        <v>6</v>
      </c>
      <c r="AC58" s="8">
        <v>47.451999999999998</v>
      </c>
      <c r="AD58" t="s">
        <v>6</v>
      </c>
      <c r="AE58" s="8">
        <v>84.3416</v>
      </c>
      <c r="AF58" t="s">
        <v>6</v>
      </c>
      <c r="AG58" s="8">
        <v>51.924661229999998</v>
      </c>
      <c r="AH58" t="s">
        <v>6</v>
      </c>
      <c r="AI58" s="8">
        <v>61.67345452</v>
      </c>
      <c r="AJ58" t="s">
        <v>6</v>
      </c>
      <c r="AK58" s="8">
        <v>50.293770000000002</v>
      </c>
      <c r="AL58" t="s">
        <v>6</v>
      </c>
    </row>
    <row r="59" spans="1:40" x14ac:dyDescent="0.2">
      <c r="A59" s="7" t="s">
        <v>57</v>
      </c>
      <c r="B59" t="s">
        <v>6</v>
      </c>
      <c r="C59" s="8">
        <v>18.647155420000001</v>
      </c>
      <c r="D59" s="10">
        <f t="shared" si="6"/>
        <v>1.0021142623632964</v>
      </c>
      <c r="E59" s="8">
        <v>47.359610000000004</v>
      </c>
      <c r="F59" s="10">
        <f t="shared" si="7"/>
        <v>1.008957554621249</v>
      </c>
      <c r="G59" s="8">
        <v>65.136390000000006</v>
      </c>
      <c r="H59" t="s">
        <v>6</v>
      </c>
      <c r="I59" s="8">
        <v>60.73</v>
      </c>
      <c r="J59" t="s">
        <v>6</v>
      </c>
      <c r="K59" s="8">
        <v>53.069000000000003</v>
      </c>
      <c r="L59" t="s">
        <v>6</v>
      </c>
      <c r="M59" s="8">
        <v>42.661000000000001</v>
      </c>
      <c r="N59" t="s">
        <v>6</v>
      </c>
      <c r="O59" s="8">
        <v>65.680199999999999</v>
      </c>
      <c r="P59" t="s">
        <v>6</v>
      </c>
      <c r="Q59" s="8">
        <v>78.617400000000004</v>
      </c>
      <c r="R59" t="s">
        <v>6</v>
      </c>
      <c r="S59" s="8">
        <v>63.752859999999998</v>
      </c>
      <c r="T59" t="s">
        <v>6</v>
      </c>
      <c r="U59" s="8">
        <v>138.30000000000001</v>
      </c>
      <c r="V59" t="s">
        <v>6</v>
      </c>
      <c r="W59" s="8">
        <v>73.783729730000005</v>
      </c>
      <c r="X59" t="s">
        <v>6</v>
      </c>
      <c r="Y59" s="8">
        <v>78.528884000000005</v>
      </c>
      <c r="Z59" t="s">
        <v>6</v>
      </c>
      <c r="AA59" s="8">
        <v>68.566999999999993</v>
      </c>
      <c r="AB59" t="s">
        <v>6</v>
      </c>
      <c r="AC59" s="8">
        <v>47.892000000000003</v>
      </c>
      <c r="AD59" t="s">
        <v>6</v>
      </c>
      <c r="AE59" s="8">
        <v>84.816999999999993</v>
      </c>
      <c r="AF59" t="s">
        <v>6</v>
      </c>
      <c r="AG59" s="8">
        <v>53.853583710000002</v>
      </c>
      <c r="AH59" t="s">
        <v>6</v>
      </c>
      <c r="AI59" s="8">
        <v>62.077414660000002</v>
      </c>
      <c r="AJ59" t="s">
        <v>6</v>
      </c>
      <c r="AK59" s="8">
        <v>51.223190000000002</v>
      </c>
      <c r="AL59" t="s">
        <v>6</v>
      </c>
    </row>
    <row r="60" spans="1:40" x14ac:dyDescent="0.2">
      <c r="A60" s="7" t="s">
        <v>61</v>
      </c>
      <c r="B60" t="s">
        <v>6</v>
      </c>
      <c r="C60" t="s">
        <v>45</v>
      </c>
      <c r="D60" s="11">
        <f>SUM(D61:D72)</f>
        <v>11.779119442450709</v>
      </c>
      <c r="E60" t="s">
        <v>45</v>
      </c>
      <c r="F60" s="11">
        <f>SUM(F61:F72)</f>
        <v>11.776914051071142</v>
      </c>
      <c r="G60" t="s">
        <v>45</v>
      </c>
      <c r="H60" t="s">
        <v>6</v>
      </c>
      <c r="I60" t="s">
        <v>45</v>
      </c>
      <c r="J60" t="s">
        <v>6</v>
      </c>
      <c r="K60" t="s">
        <v>45</v>
      </c>
      <c r="L60" t="s">
        <v>6</v>
      </c>
      <c r="M60" t="s">
        <v>45</v>
      </c>
      <c r="N60" t="s">
        <v>6</v>
      </c>
      <c r="O60" t="s">
        <v>45</v>
      </c>
      <c r="P60" t="s">
        <v>6</v>
      </c>
      <c r="Q60" t="s">
        <v>45</v>
      </c>
      <c r="R60" t="s">
        <v>6</v>
      </c>
      <c r="S60" t="s">
        <v>45</v>
      </c>
      <c r="T60" t="s">
        <v>6</v>
      </c>
      <c r="U60" t="s">
        <v>45</v>
      </c>
      <c r="V60" t="s">
        <v>6</v>
      </c>
      <c r="W60" t="s">
        <v>45</v>
      </c>
      <c r="X60" t="s">
        <v>6</v>
      </c>
      <c r="Y60" t="s">
        <v>45</v>
      </c>
      <c r="Z60" t="s">
        <v>6</v>
      </c>
      <c r="AA60" t="s">
        <v>45</v>
      </c>
      <c r="AB60" t="s">
        <v>6</v>
      </c>
      <c r="AC60" t="s">
        <v>45</v>
      </c>
      <c r="AD60" t="s">
        <v>6</v>
      </c>
      <c r="AE60" t="s">
        <v>45</v>
      </c>
      <c r="AF60" t="s">
        <v>6</v>
      </c>
      <c r="AG60" t="s">
        <v>45</v>
      </c>
      <c r="AH60" t="s">
        <v>6</v>
      </c>
      <c r="AI60" t="s">
        <v>45</v>
      </c>
      <c r="AJ60" t="s">
        <v>6</v>
      </c>
      <c r="AK60" t="s">
        <v>45</v>
      </c>
      <c r="AL60" t="s">
        <v>6</v>
      </c>
      <c r="AM60" t="s">
        <v>45</v>
      </c>
      <c r="AN60" t="s">
        <v>6</v>
      </c>
    </row>
    <row r="61" spans="1:40" x14ac:dyDescent="0.2">
      <c r="A61" s="7" t="s">
        <v>46</v>
      </c>
      <c r="B61" t="s">
        <v>6</v>
      </c>
      <c r="C61" s="8">
        <v>18.725839010000001</v>
      </c>
      <c r="D61" s="10">
        <f t="shared" ref="D61:D72" si="8">C61/C$71</f>
        <v>0.95444638207492494</v>
      </c>
      <c r="E61" s="8">
        <v>47.651719999999997</v>
      </c>
      <c r="F61" s="10">
        <f t="shared" ref="F61:F72" si="9">E61/E$71</f>
        <v>0.96751441422619189</v>
      </c>
      <c r="G61" s="8">
        <v>65.631399999999999</v>
      </c>
      <c r="H61" t="s">
        <v>6</v>
      </c>
      <c r="I61" s="8">
        <v>60.617899999999999</v>
      </c>
      <c r="J61" t="s">
        <v>6</v>
      </c>
      <c r="K61" s="8">
        <v>53.54</v>
      </c>
      <c r="L61" t="s">
        <v>6</v>
      </c>
      <c r="M61" s="8">
        <v>43.386000000000003</v>
      </c>
      <c r="N61" t="s">
        <v>6</v>
      </c>
      <c r="O61" s="8">
        <v>65.9495</v>
      </c>
      <c r="P61" t="s">
        <v>6</v>
      </c>
      <c r="Q61" s="8">
        <v>79.490700000000004</v>
      </c>
      <c r="R61" t="s">
        <v>6</v>
      </c>
      <c r="S61" s="8">
        <v>64.728520000000003</v>
      </c>
      <c r="T61" t="s">
        <v>6</v>
      </c>
      <c r="U61" s="8">
        <v>139.6</v>
      </c>
      <c r="V61" t="s">
        <v>6</v>
      </c>
      <c r="W61" s="8">
        <v>74.242309309999996</v>
      </c>
      <c r="X61" t="s">
        <v>6</v>
      </c>
      <c r="Y61" s="8">
        <v>79.885406000000003</v>
      </c>
      <c r="Z61" t="s">
        <v>6</v>
      </c>
      <c r="AA61" s="8">
        <v>67.588999999999999</v>
      </c>
      <c r="AB61" t="s">
        <v>6</v>
      </c>
      <c r="AC61" s="8">
        <v>48.042999999999999</v>
      </c>
      <c r="AD61" t="s">
        <v>6</v>
      </c>
      <c r="AE61" s="8">
        <v>85.272800000000004</v>
      </c>
      <c r="AF61" t="s">
        <v>6</v>
      </c>
      <c r="AG61" s="8">
        <v>58.822192549999997</v>
      </c>
      <c r="AH61" t="s">
        <v>6</v>
      </c>
      <c r="AI61" s="8">
        <v>63.434985599999997</v>
      </c>
      <c r="AJ61" t="s">
        <v>6</v>
      </c>
      <c r="AK61" s="8">
        <v>52.51146</v>
      </c>
      <c r="AL61" t="s">
        <v>6</v>
      </c>
    </row>
    <row r="62" spans="1:40" x14ac:dyDescent="0.2">
      <c r="A62" s="7" t="s">
        <v>47</v>
      </c>
      <c r="B62" t="s">
        <v>6</v>
      </c>
      <c r="C62" s="8">
        <v>18.74379939</v>
      </c>
      <c r="D62" s="10">
        <f t="shared" si="8"/>
        <v>0.95536181340499959</v>
      </c>
      <c r="E62" s="8">
        <v>47.742449999999998</v>
      </c>
      <c r="F62" s="10">
        <f t="shared" si="9"/>
        <v>0.96935658451517082</v>
      </c>
      <c r="G62" s="8">
        <v>66.031570000000002</v>
      </c>
      <c r="H62" t="s">
        <v>6</v>
      </c>
      <c r="I62" s="8">
        <v>60.622999999999998</v>
      </c>
      <c r="J62" t="s">
        <v>6</v>
      </c>
      <c r="K62" s="8">
        <v>54.182000000000002</v>
      </c>
      <c r="L62" t="s">
        <v>6</v>
      </c>
      <c r="M62" s="8">
        <v>43.948</v>
      </c>
      <c r="N62" t="s">
        <v>6</v>
      </c>
      <c r="O62" s="8">
        <v>66.401700000000005</v>
      </c>
      <c r="P62" t="s">
        <v>6</v>
      </c>
      <c r="Q62" s="8">
        <v>79.84</v>
      </c>
      <c r="R62" t="s">
        <v>6</v>
      </c>
      <c r="S62" s="8">
        <v>65.206990000000005</v>
      </c>
      <c r="T62" t="s">
        <v>6</v>
      </c>
      <c r="U62" s="8">
        <v>141.19999999999999</v>
      </c>
      <c r="V62" t="s">
        <v>6</v>
      </c>
      <c r="W62" s="8">
        <v>74.686407430000003</v>
      </c>
      <c r="X62" t="s">
        <v>6</v>
      </c>
      <c r="Y62" s="8">
        <v>80.913912999999994</v>
      </c>
      <c r="Z62" t="s">
        <v>6</v>
      </c>
      <c r="AA62" s="8">
        <v>67.588999999999999</v>
      </c>
      <c r="AB62" t="s">
        <v>6</v>
      </c>
      <c r="AC62" s="8">
        <v>48.112000000000002</v>
      </c>
      <c r="AD62" t="s">
        <v>6</v>
      </c>
      <c r="AE62" s="8">
        <v>86.197299999999998</v>
      </c>
      <c r="AF62" t="s">
        <v>6</v>
      </c>
      <c r="AG62" s="8">
        <v>65.441322690000007</v>
      </c>
      <c r="AH62" t="s">
        <v>6</v>
      </c>
      <c r="AI62" s="8">
        <v>63.444919040000002</v>
      </c>
      <c r="AJ62" t="s">
        <v>6</v>
      </c>
      <c r="AK62" s="8">
        <v>53.33484</v>
      </c>
      <c r="AL62" t="s">
        <v>6</v>
      </c>
    </row>
    <row r="63" spans="1:40" x14ac:dyDescent="0.2">
      <c r="A63" s="7" t="s">
        <v>48</v>
      </c>
      <c r="B63" t="s">
        <v>6</v>
      </c>
      <c r="C63" s="8">
        <v>18.85583798</v>
      </c>
      <c r="D63" s="10">
        <f t="shared" si="8"/>
        <v>0.96107236270648466</v>
      </c>
      <c r="E63" s="8">
        <v>47.614100000000001</v>
      </c>
      <c r="F63" s="10">
        <f t="shared" si="9"/>
        <v>0.96675058256884172</v>
      </c>
      <c r="G63" s="8">
        <v>66.342100000000002</v>
      </c>
      <c r="H63" t="s">
        <v>6</v>
      </c>
      <c r="I63" s="8">
        <v>60.879100000000001</v>
      </c>
      <c r="J63" t="s">
        <v>6</v>
      </c>
      <c r="K63" s="8">
        <v>54.715000000000003</v>
      </c>
      <c r="L63" t="s">
        <v>6</v>
      </c>
      <c r="M63" s="8">
        <v>44.151000000000003</v>
      </c>
      <c r="N63" t="s">
        <v>6</v>
      </c>
      <c r="O63" s="8">
        <v>66.865799999999993</v>
      </c>
      <c r="P63" t="s">
        <v>6</v>
      </c>
      <c r="Q63" s="8">
        <v>80.345699999999994</v>
      </c>
      <c r="R63" t="s">
        <v>6</v>
      </c>
      <c r="S63" s="8">
        <v>65.675060000000002</v>
      </c>
      <c r="T63" t="s">
        <v>6</v>
      </c>
      <c r="U63" s="8">
        <v>141.69999999999999</v>
      </c>
      <c r="V63" t="s">
        <v>6</v>
      </c>
      <c r="W63" s="8">
        <v>74.939488179999998</v>
      </c>
      <c r="X63" t="s">
        <v>6</v>
      </c>
      <c r="Y63" s="8">
        <v>81.289861000000002</v>
      </c>
      <c r="Z63" t="s">
        <v>6</v>
      </c>
      <c r="AA63" s="8">
        <v>67.453999999999994</v>
      </c>
      <c r="AB63" t="s">
        <v>6</v>
      </c>
      <c r="AC63" s="8">
        <v>48.332000000000001</v>
      </c>
      <c r="AD63" t="s">
        <v>6</v>
      </c>
      <c r="AE63" s="8">
        <v>86.596699999999998</v>
      </c>
      <c r="AF63" t="s">
        <v>6</v>
      </c>
      <c r="AG63" s="8">
        <v>66.97537002</v>
      </c>
      <c r="AH63" t="s">
        <v>6</v>
      </c>
      <c r="AI63" s="8">
        <v>63.82570114</v>
      </c>
      <c r="AJ63" t="s">
        <v>6</v>
      </c>
      <c r="AK63" s="8">
        <v>54.476739999999999</v>
      </c>
      <c r="AL63" t="s">
        <v>6</v>
      </c>
    </row>
    <row r="64" spans="1:40" x14ac:dyDescent="0.2">
      <c r="A64" s="7" t="s">
        <v>49</v>
      </c>
      <c r="B64" t="s">
        <v>6</v>
      </c>
      <c r="C64" s="8">
        <v>19.016626179999999</v>
      </c>
      <c r="D64" s="10">
        <f t="shared" si="8"/>
        <v>0.96926765455366892</v>
      </c>
      <c r="E64" s="8">
        <v>47.625160000000001</v>
      </c>
      <c r="F64" s="10">
        <f t="shared" si="9"/>
        <v>0.96697514339101864</v>
      </c>
      <c r="G64" s="8">
        <v>66.587569999999999</v>
      </c>
      <c r="H64" t="s">
        <v>6</v>
      </c>
      <c r="I64" s="8">
        <v>61.102400000000003</v>
      </c>
      <c r="J64" t="s">
        <v>6</v>
      </c>
      <c r="K64" s="8">
        <v>54.965000000000003</v>
      </c>
      <c r="L64" t="s">
        <v>6</v>
      </c>
      <c r="M64" s="8">
        <v>44.554000000000002</v>
      </c>
      <c r="N64" t="s">
        <v>6</v>
      </c>
      <c r="O64" s="8">
        <v>67.302300000000002</v>
      </c>
      <c r="P64" t="s">
        <v>6</v>
      </c>
      <c r="Q64" s="8">
        <v>81.0351</v>
      </c>
      <c r="R64" t="s">
        <v>6</v>
      </c>
      <c r="S64" s="8">
        <v>66.023510000000002</v>
      </c>
      <c r="T64" t="s">
        <v>6</v>
      </c>
      <c r="U64" s="8">
        <v>143.19999999999999</v>
      </c>
      <c r="V64" t="s">
        <v>6</v>
      </c>
      <c r="W64" s="8">
        <v>75.052581489999994</v>
      </c>
      <c r="X64" t="s">
        <v>6</v>
      </c>
      <c r="Y64" s="8">
        <v>81.929361</v>
      </c>
      <c r="Z64" t="s">
        <v>6</v>
      </c>
      <c r="AA64" s="8">
        <v>67.453999999999994</v>
      </c>
      <c r="AB64" t="s">
        <v>6</v>
      </c>
      <c r="AC64" s="8">
        <v>48.249000000000002</v>
      </c>
      <c r="AD64" t="s">
        <v>6</v>
      </c>
      <c r="AE64" s="8">
        <v>86.580399999999997</v>
      </c>
      <c r="AF64" t="s">
        <v>6</v>
      </c>
      <c r="AG64" s="8">
        <v>67.441265869999995</v>
      </c>
      <c r="AH64" t="s">
        <v>6</v>
      </c>
      <c r="AI64" s="8">
        <v>64.613754510000007</v>
      </c>
      <c r="AJ64" t="s">
        <v>6</v>
      </c>
      <c r="AK64" s="8">
        <v>55.193649999999998</v>
      </c>
      <c r="AL64" t="s">
        <v>6</v>
      </c>
    </row>
    <row r="65" spans="1:40" x14ac:dyDescent="0.2">
      <c r="A65" s="7" t="s">
        <v>50</v>
      </c>
      <c r="B65" t="s">
        <v>6</v>
      </c>
      <c r="C65" s="8">
        <v>19.156888240000001</v>
      </c>
      <c r="D65" s="10">
        <f t="shared" si="8"/>
        <v>0.9764167396033635</v>
      </c>
      <c r="E65" s="8">
        <v>47.819899999999997</v>
      </c>
      <c r="F65" s="10">
        <f t="shared" si="9"/>
        <v>0.97092911938656301</v>
      </c>
      <c r="G65" s="8">
        <v>66.927180000000007</v>
      </c>
      <c r="H65" t="s">
        <v>6</v>
      </c>
      <c r="I65" s="8">
        <v>61.421700000000001</v>
      </c>
      <c r="J65" t="s">
        <v>6</v>
      </c>
      <c r="K65" s="8">
        <v>55.173999999999999</v>
      </c>
      <c r="L65" t="s">
        <v>6</v>
      </c>
      <c r="M65" s="8">
        <v>44.851999999999997</v>
      </c>
      <c r="N65" t="s">
        <v>6</v>
      </c>
      <c r="O65" s="8">
        <v>66.982299999999995</v>
      </c>
      <c r="P65" t="s">
        <v>6</v>
      </c>
      <c r="Q65" s="8">
        <v>81.5959</v>
      </c>
      <c r="R65" t="s">
        <v>6</v>
      </c>
      <c r="S65" s="8">
        <v>66.569590000000005</v>
      </c>
      <c r="T65" t="s">
        <v>6</v>
      </c>
      <c r="U65" s="8">
        <v>144.30000000000001</v>
      </c>
      <c r="V65" t="s">
        <v>6</v>
      </c>
      <c r="W65" s="8">
        <v>74.864322509999994</v>
      </c>
      <c r="X65" t="s">
        <v>6</v>
      </c>
      <c r="Y65" s="8">
        <v>82.687117000000001</v>
      </c>
      <c r="Z65" t="s">
        <v>6</v>
      </c>
      <c r="AA65" s="8">
        <v>67.656999999999996</v>
      </c>
      <c r="AB65" t="s">
        <v>6</v>
      </c>
      <c r="AC65" s="8">
        <v>48.359000000000002</v>
      </c>
      <c r="AD65" t="s">
        <v>6</v>
      </c>
      <c r="AE65" s="8">
        <v>86.882099999999994</v>
      </c>
      <c r="AF65" t="s">
        <v>6</v>
      </c>
      <c r="AG65" s="8">
        <v>69.213942790000004</v>
      </c>
      <c r="AH65" t="s">
        <v>6</v>
      </c>
      <c r="AI65" s="8">
        <v>65.285917679999997</v>
      </c>
      <c r="AJ65" t="s">
        <v>6</v>
      </c>
      <c r="AK65" s="8">
        <v>55.844380000000001</v>
      </c>
      <c r="AL65" t="s">
        <v>6</v>
      </c>
    </row>
    <row r="66" spans="1:40" x14ac:dyDescent="0.2">
      <c r="A66" s="7" t="s">
        <v>51</v>
      </c>
      <c r="B66" t="s">
        <v>6</v>
      </c>
      <c r="C66" s="8">
        <v>19.263795290000001</v>
      </c>
      <c r="D66" s="10">
        <f>C66/C$71</f>
        <v>0.98186573695062862</v>
      </c>
      <c r="E66" s="8">
        <v>48.176189999999998</v>
      </c>
      <c r="F66" s="10">
        <f t="shared" si="9"/>
        <v>0.97816318587240347</v>
      </c>
      <c r="G66" s="8">
        <v>67.402349999999998</v>
      </c>
      <c r="H66" t="s">
        <v>6</v>
      </c>
      <c r="I66" s="8">
        <v>61.687899999999999</v>
      </c>
      <c r="J66" t="s">
        <v>6</v>
      </c>
      <c r="K66" s="8">
        <v>55.506999999999998</v>
      </c>
      <c r="L66" t="s">
        <v>6</v>
      </c>
      <c r="M66" s="8">
        <v>45.331000000000003</v>
      </c>
      <c r="N66" t="s">
        <v>6</v>
      </c>
      <c r="O66" s="8">
        <v>66.776200000000003</v>
      </c>
      <c r="P66" t="s">
        <v>6</v>
      </c>
      <c r="Q66" s="8">
        <v>81.733800000000002</v>
      </c>
      <c r="R66" t="s">
        <v>6</v>
      </c>
      <c r="S66" s="8">
        <v>66.834819999999993</v>
      </c>
      <c r="T66" t="s">
        <v>6</v>
      </c>
      <c r="U66" s="8">
        <v>145.19999999999999</v>
      </c>
      <c r="V66" t="s">
        <v>6</v>
      </c>
      <c r="W66" s="8">
        <v>74.984311750000003</v>
      </c>
      <c r="X66" t="s">
        <v>6</v>
      </c>
      <c r="Y66" s="8">
        <v>82.850522999999995</v>
      </c>
      <c r="Z66" t="s">
        <v>6</v>
      </c>
      <c r="AA66" s="8">
        <v>67.927000000000007</v>
      </c>
      <c r="AB66" t="s">
        <v>6</v>
      </c>
      <c r="AC66" s="8">
        <v>48.786000000000001</v>
      </c>
      <c r="AD66" t="s">
        <v>6</v>
      </c>
      <c r="AE66" s="8">
        <v>87.371200000000002</v>
      </c>
      <c r="AF66" t="s">
        <v>6</v>
      </c>
      <c r="AG66" s="8">
        <v>70.591744550000001</v>
      </c>
      <c r="AH66" t="s">
        <v>6</v>
      </c>
      <c r="AI66" s="8">
        <v>65.501142349999995</v>
      </c>
      <c r="AJ66" t="s">
        <v>6</v>
      </c>
      <c r="AK66" s="8">
        <v>56.880299999999998</v>
      </c>
      <c r="AL66" t="s">
        <v>6</v>
      </c>
    </row>
    <row r="67" spans="1:40" x14ac:dyDescent="0.2">
      <c r="A67" s="7" t="s">
        <v>52</v>
      </c>
      <c r="B67" t="s">
        <v>6</v>
      </c>
      <c r="C67" s="8">
        <v>19.352741949999999</v>
      </c>
      <c r="D67" s="10">
        <f t="shared" si="8"/>
        <v>0.98639930245812391</v>
      </c>
      <c r="E67" s="8">
        <v>48.430680000000002</v>
      </c>
      <c r="F67" s="10">
        <f t="shared" si="9"/>
        <v>0.98333031820837014</v>
      </c>
      <c r="G67" s="8">
        <v>68.015609999999995</v>
      </c>
      <c r="H67" t="s">
        <v>6</v>
      </c>
      <c r="I67" s="8">
        <v>61.832000000000001</v>
      </c>
      <c r="J67" t="s">
        <v>6</v>
      </c>
      <c r="K67" s="8">
        <v>55.49</v>
      </c>
      <c r="L67" t="s">
        <v>6</v>
      </c>
      <c r="M67" s="8">
        <v>45.917999999999999</v>
      </c>
      <c r="N67" t="s">
        <v>6</v>
      </c>
      <c r="O67" s="8">
        <v>66.364999999999995</v>
      </c>
      <c r="P67" t="s">
        <v>6</v>
      </c>
      <c r="Q67" s="8">
        <v>81.986599999999996</v>
      </c>
      <c r="R67" t="s">
        <v>6</v>
      </c>
      <c r="S67" s="8">
        <v>67.157269999999997</v>
      </c>
      <c r="T67" t="s">
        <v>6</v>
      </c>
      <c r="U67" s="8">
        <v>147.1</v>
      </c>
      <c r="V67" t="s">
        <v>6</v>
      </c>
      <c r="W67" s="8">
        <v>75.180845860000005</v>
      </c>
      <c r="X67" t="s">
        <v>6</v>
      </c>
      <c r="Y67" s="8">
        <v>83.321394999999995</v>
      </c>
      <c r="Z67" t="s">
        <v>6</v>
      </c>
      <c r="AA67" s="8">
        <v>67.995000000000005</v>
      </c>
      <c r="AB67" t="s">
        <v>6</v>
      </c>
      <c r="AC67" s="8">
        <v>48.868000000000002</v>
      </c>
      <c r="AD67" t="s">
        <v>6</v>
      </c>
      <c r="AE67" s="8">
        <v>87.540800000000004</v>
      </c>
      <c r="AF67" t="s">
        <v>6</v>
      </c>
      <c r="AG67" s="8">
        <v>71.0263913</v>
      </c>
      <c r="AH67" t="s">
        <v>6</v>
      </c>
      <c r="AI67" s="8">
        <v>66.163372069999994</v>
      </c>
      <c r="AJ67" t="s">
        <v>6</v>
      </c>
      <c r="AK67" s="8">
        <v>57.664110000000001</v>
      </c>
      <c r="AL67" t="s">
        <v>6</v>
      </c>
    </row>
    <row r="68" spans="1:40" x14ac:dyDescent="0.2">
      <c r="A68" s="7" t="s">
        <v>53</v>
      </c>
      <c r="B68" t="s">
        <v>6</v>
      </c>
      <c r="C68" s="8">
        <v>19.419451949999999</v>
      </c>
      <c r="D68" s="10">
        <f t="shared" si="8"/>
        <v>0.98979947684359293</v>
      </c>
      <c r="E68" s="8">
        <v>48.601080000000003</v>
      </c>
      <c r="F68" s="10">
        <f t="shared" si="9"/>
        <v>0.98679009796415107</v>
      </c>
      <c r="G68" s="8">
        <v>68.485020000000006</v>
      </c>
      <c r="H68" t="s">
        <v>6</v>
      </c>
      <c r="I68" s="8">
        <v>62.066200000000002</v>
      </c>
      <c r="J68" t="s">
        <v>6</v>
      </c>
      <c r="K68" s="8">
        <v>55.506</v>
      </c>
      <c r="L68" t="s">
        <v>6</v>
      </c>
      <c r="M68" s="8">
        <v>46.363</v>
      </c>
      <c r="N68" t="s">
        <v>6</v>
      </c>
      <c r="O68" s="8">
        <v>66.382800000000003</v>
      </c>
      <c r="P68" t="s">
        <v>6</v>
      </c>
      <c r="Q68" s="8">
        <v>82.170400000000001</v>
      </c>
      <c r="R68" t="s">
        <v>6</v>
      </c>
      <c r="S68" s="8">
        <v>67.354900000000001</v>
      </c>
      <c r="T68" t="s">
        <v>6</v>
      </c>
      <c r="U68" s="8">
        <v>147.6</v>
      </c>
      <c r="V68" t="s">
        <v>6</v>
      </c>
      <c r="W68" s="8">
        <v>75.644942180000001</v>
      </c>
      <c r="X68" t="s">
        <v>6</v>
      </c>
      <c r="Y68" s="8">
        <v>83.497810000000001</v>
      </c>
      <c r="Z68" t="s">
        <v>6</v>
      </c>
      <c r="AA68" s="8">
        <v>68.197000000000003</v>
      </c>
      <c r="AB68" t="s">
        <v>6</v>
      </c>
      <c r="AC68" s="8">
        <v>49.597000000000001</v>
      </c>
      <c r="AD68" t="s">
        <v>6</v>
      </c>
      <c r="AE68" s="8">
        <v>87.534300000000002</v>
      </c>
      <c r="AF68" t="s">
        <v>6</v>
      </c>
      <c r="AG68" s="8">
        <v>71.41274396</v>
      </c>
      <c r="AH68" t="s">
        <v>6</v>
      </c>
      <c r="AI68" s="8">
        <v>66.944803149999998</v>
      </c>
      <c r="AJ68" t="s">
        <v>6</v>
      </c>
      <c r="AK68" s="8">
        <v>58.4345</v>
      </c>
      <c r="AL68" t="s">
        <v>6</v>
      </c>
    </row>
    <row r="69" spans="1:40" x14ac:dyDescent="0.2">
      <c r="A69" s="7" t="s">
        <v>54</v>
      </c>
      <c r="B69" t="s">
        <v>6</v>
      </c>
      <c r="C69" s="8">
        <v>19.542608869999999</v>
      </c>
      <c r="D69" s="10">
        <f t="shared" si="8"/>
        <v>0.99607672170609107</v>
      </c>
      <c r="E69" s="8">
        <v>48.587800000000001</v>
      </c>
      <c r="F69" s="10">
        <f t="shared" si="9"/>
        <v>0.98652046254656434</v>
      </c>
      <c r="G69" s="8">
        <v>68.709779999999995</v>
      </c>
      <c r="H69" t="s">
        <v>6</v>
      </c>
      <c r="I69" s="8">
        <v>62.076300000000003</v>
      </c>
      <c r="J69" t="s">
        <v>6</v>
      </c>
      <c r="K69" s="8">
        <v>55.670999999999999</v>
      </c>
      <c r="L69" t="s">
        <v>6</v>
      </c>
      <c r="M69" s="8">
        <v>46.722000000000001</v>
      </c>
      <c r="N69" t="s">
        <v>6</v>
      </c>
      <c r="O69" s="8">
        <v>66.534999999999997</v>
      </c>
      <c r="P69" t="s">
        <v>6</v>
      </c>
      <c r="Q69" s="8">
        <v>82.340500000000006</v>
      </c>
      <c r="R69" t="s">
        <v>6</v>
      </c>
      <c r="S69" s="8">
        <v>67.880170000000007</v>
      </c>
      <c r="T69" t="s">
        <v>6</v>
      </c>
      <c r="U69" s="8">
        <v>147.80000000000001</v>
      </c>
      <c r="V69" t="s">
        <v>6</v>
      </c>
      <c r="W69" s="8">
        <v>76.270403340000001</v>
      </c>
      <c r="X69" t="s">
        <v>6</v>
      </c>
      <c r="Y69" s="8">
        <v>84.019886999999997</v>
      </c>
      <c r="Z69" t="s">
        <v>6</v>
      </c>
      <c r="AA69" s="8">
        <v>68.061999999999998</v>
      </c>
      <c r="AB69" t="s">
        <v>6</v>
      </c>
      <c r="AC69" s="8">
        <v>48.936999999999998</v>
      </c>
      <c r="AD69" t="s">
        <v>6</v>
      </c>
      <c r="AE69" s="8">
        <v>87.547600000000003</v>
      </c>
      <c r="AF69" t="s">
        <v>6</v>
      </c>
      <c r="AG69" s="8">
        <v>70.603107870000002</v>
      </c>
      <c r="AH69" t="s">
        <v>6</v>
      </c>
      <c r="AI69" s="8">
        <v>67.12691633</v>
      </c>
      <c r="AJ69" t="s">
        <v>6</v>
      </c>
      <c r="AK69" s="8">
        <v>58.740110000000001</v>
      </c>
      <c r="AL69" t="s">
        <v>6</v>
      </c>
    </row>
    <row r="70" spans="1:40" x14ac:dyDescent="0.2">
      <c r="A70" s="7" t="s">
        <v>55</v>
      </c>
      <c r="B70" t="s">
        <v>6</v>
      </c>
      <c r="C70" s="8">
        <v>19.619581950000001</v>
      </c>
      <c r="D70" s="10">
        <f t="shared" si="8"/>
        <v>1</v>
      </c>
      <c r="E70" s="8">
        <v>48.983919999999998</v>
      </c>
      <c r="F70" s="10">
        <f t="shared" si="9"/>
        <v>0.9945632322464466</v>
      </c>
      <c r="G70" s="8">
        <v>69.013329999999996</v>
      </c>
      <c r="H70" t="s">
        <v>6</v>
      </c>
      <c r="I70" s="8">
        <v>62.278500000000001</v>
      </c>
      <c r="J70" t="s">
        <v>6</v>
      </c>
      <c r="K70" s="8">
        <v>55.664999999999999</v>
      </c>
      <c r="L70" t="s">
        <v>6</v>
      </c>
      <c r="M70" s="8">
        <v>47.072000000000003</v>
      </c>
      <c r="N70" t="s">
        <v>6</v>
      </c>
      <c r="O70" s="8">
        <v>66.721699999999998</v>
      </c>
      <c r="P70" t="s">
        <v>6</v>
      </c>
      <c r="Q70" s="8">
        <v>82.689800000000005</v>
      </c>
      <c r="R70" t="s">
        <v>6</v>
      </c>
      <c r="S70" s="8">
        <v>68.545869999999994</v>
      </c>
      <c r="T70" t="s">
        <v>6</v>
      </c>
      <c r="U70" s="8">
        <v>149.1</v>
      </c>
      <c r="V70" t="s">
        <v>6</v>
      </c>
      <c r="W70" s="8">
        <v>76.798631850000007</v>
      </c>
      <c r="X70" t="s">
        <v>6</v>
      </c>
      <c r="Y70" s="8">
        <v>85.193458000000007</v>
      </c>
      <c r="Z70" t="s">
        <v>6</v>
      </c>
      <c r="AA70" s="8">
        <v>68.13</v>
      </c>
      <c r="AB70" t="s">
        <v>6</v>
      </c>
      <c r="AC70" s="8">
        <v>48.511000000000003</v>
      </c>
      <c r="AD70" t="s">
        <v>6</v>
      </c>
      <c r="AE70" s="8">
        <v>87.526799999999994</v>
      </c>
      <c r="AF70" t="s">
        <v>6</v>
      </c>
      <c r="AG70" s="8">
        <v>71.554785379999998</v>
      </c>
      <c r="AH70" t="s">
        <v>6</v>
      </c>
      <c r="AI70" s="8">
        <v>66.905069370000007</v>
      </c>
      <c r="AJ70" t="s">
        <v>6</v>
      </c>
      <c r="AK70" s="8">
        <v>59.09843</v>
      </c>
      <c r="AL70" t="s">
        <v>6</v>
      </c>
    </row>
    <row r="71" spans="1:40" x14ac:dyDescent="0.2">
      <c r="A71" s="7" t="s">
        <v>56</v>
      </c>
      <c r="B71" t="s">
        <v>6</v>
      </c>
      <c r="C71" s="8">
        <v>19.619581950000001</v>
      </c>
      <c r="D71" s="10">
        <f t="shared" si="8"/>
        <v>1</v>
      </c>
      <c r="E71" s="8">
        <v>49.251690000000004</v>
      </c>
      <c r="F71" s="10">
        <f t="shared" si="9"/>
        <v>1</v>
      </c>
      <c r="G71" s="8">
        <v>69.489540000000005</v>
      </c>
      <c r="H71" t="s">
        <v>6</v>
      </c>
      <c r="I71" s="8">
        <v>62.438600000000001</v>
      </c>
      <c r="J71" t="s">
        <v>6</v>
      </c>
      <c r="K71" s="8">
        <v>55.82</v>
      </c>
      <c r="L71" t="s">
        <v>6</v>
      </c>
      <c r="M71" s="8">
        <v>47.731999999999999</v>
      </c>
      <c r="N71" t="s">
        <v>6</v>
      </c>
      <c r="O71" s="8">
        <v>67.001199999999997</v>
      </c>
      <c r="P71" t="s">
        <v>6</v>
      </c>
      <c r="Q71" s="8">
        <v>82.708200000000005</v>
      </c>
      <c r="R71" t="s">
        <v>6</v>
      </c>
      <c r="S71" s="8">
        <v>69.227170000000001</v>
      </c>
      <c r="T71" t="s">
        <v>6</v>
      </c>
      <c r="U71" s="8">
        <v>150.4</v>
      </c>
      <c r="V71" t="s">
        <v>6</v>
      </c>
      <c r="W71" s="8">
        <v>77.453745530000006</v>
      </c>
      <c r="X71" t="s">
        <v>6</v>
      </c>
      <c r="Y71" s="8">
        <v>85.830759999999998</v>
      </c>
      <c r="Z71" t="s">
        <v>6</v>
      </c>
      <c r="AA71" s="8">
        <v>68.13</v>
      </c>
      <c r="AB71" t="s">
        <v>6</v>
      </c>
      <c r="AC71" s="8">
        <v>48.442</v>
      </c>
      <c r="AD71" t="s">
        <v>6</v>
      </c>
      <c r="AE71" s="8">
        <v>87.778000000000006</v>
      </c>
      <c r="AF71" t="s">
        <v>6</v>
      </c>
      <c r="AG71" s="8">
        <v>70.373000770000004</v>
      </c>
      <c r="AH71" t="s">
        <v>6</v>
      </c>
      <c r="AI71" s="8">
        <v>66.729578489999994</v>
      </c>
      <c r="AJ71" t="s">
        <v>6</v>
      </c>
      <c r="AK71" s="8">
        <v>60.094239999999999</v>
      </c>
      <c r="AL71" t="s">
        <v>6</v>
      </c>
    </row>
    <row r="72" spans="1:40" x14ac:dyDescent="0.2">
      <c r="A72" s="7" t="s">
        <v>57</v>
      </c>
      <c r="B72" t="s">
        <v>6</v>
      </c>
      <c r="C72" s="8">
        <v>19.78464644</v>
      </c>
      <c r="D72" s="10">
        <f t="shared" si="8"/>
        <v>1.0084132521488307</v>
      </c>
      <c r="E72" s="8">
        <v>49.548229999999997</v>
      </c>
      <c r="F72" s="10">
        <f t="shared" si="9"/>
        <v>1.0060209101454183</v>
      </c>
      <c r="G72" s="8">
        <v>70.087149999999994</v>
      </c>
      <c r="H72" t="s">
        <v>6</v>
      </c>
      <c r="I72" s="8">
        <v>62.2044</v>
      </c>
      <c r="J72" t="s">
        <v>6</v>
      </c>
      <c r="K72" s="8">
        <v>55.987000000000002</v>
      </c>
      <c r="L72" t="s">
        <v>6</v>
      </c>
      <c r="M72" s="8">
        <v>48.261000000000003</v>
      </c>
      <c r="N72" t="s">
        <v>6</v>
      </c>
      <c r="O72" s="8">
        <v>66.958100000000002</v>
      </c>
      <c r="P72" t="s">
        <v>6</v>
      </c>
      <c r="Q72" s="8">
        <v>82.841499999999996</v>
      </c>
      <c r="R72" t="s">
        <v>6</v>
      </c>
      <c r="S72" s="8">
        <v>69.632829999999998</v>
      </c>
      <c r="T72" t="s">
        <v>6</v>
      </c>
      <c r="U72" s="8">
        <v>151</v>
      </c>
      <c r="V72" t="s">
        <v>6</v>
      </c>
      <c r="W72" s="8">
        <v>77.613731180000002</v>
      </c>
      <c r="X72" t="s">
        <v>6</v>
      </c>
      <c r="Y72" s="8">
        <v>85.547706000000005</v>
      </c>
      <c r="Z72" t="s">
        <v>6</v>
      </c>
      <c r="AA72" s="8">
        <v>68.400000000000006</v>
      </c>
      <c r="AB72" t="s">
        <v>6</v>
      </c>
      <c r="AC72" s="8">
        <v>49.238999999999997</v>
      </c>
      <c r="AD72" t="s">
        <v>6</v>
      </c>
      <c r="AE72" s="8">
        <v>87.769800000000004</v>
      </c>
      <c r="AF72" t="s">
        <v>6</v>
      </c>
      <c r="AG72" s="8">
        <v>69.327575920000001</v>
      </c>
      <c r="AH72" t="s">
        <v>6</v>
      </c>
      <c r="AI72" s="8">
        <v>66.789179169999997</v>
      </c>
      <c r="AJ72" t="s">
        <v>6</v>
      </c>
      <c r="AK72" s="8">
        <v>61.050330000000002</v>
      </c>
      <c r="AL72" t="s">
        <v>6</v>
      </c>
    </row>
    <row r="73" spans="1:40" x14ac:dyDescent="0.2">
      <c r="A73" s="7" t="s">
        <v>62</v>
      </c>
      <c r="B73" t="s">
        <v>6</v>
      </c>
      <c r="C73" t="s">
        <v>45</v>
      </c>
      <c r="D73" s="11">
        <f>SUM(D74:D85)</f>
        <v>11.528386320674189</v>
      </c>
      <c r="E73" t="s">
        <v>45</v>
      </c>
      <c r="F73" s="11">
        <f>SUM(F74:F85)</f>
        <v>11.826490605326605</v>
      </c>
      <c r="G73" t="s">
        <v>45</v>
      </c>
      <c r="H73" t="s">
        <v>6</v>
      </c>
      <c r="I73" t="s">
        <v>45</v>
      </c>
      <c r="J73" t="s">
        <v>6</v>
      </c>
      <c r="K73" t="s">
        <v>45</v>
      </c>
      <c r="L73" t="s">
        <v>6</v>
      </c>
      <c r="M73" t="s">
        <v>45</v>
      </c>
      <c r="N73" t="s">
        <v>6</v>
      </c>
      <c r="O73" t="s">
        <v>45</v>
      </c>
      <c r="P73" t="s">
        <v>6</v>
      </c>
      <c r="Q73" t="s">
        <v>45</v>
      </c>
      <c r="R73" t="s">
        <v>6</v>
      </c>
      <c r="S73" t="s">
        <v>45</v>
      </c>
      <c r="T73" t="s">
        <v>6</v>
      </c>
      <c r="U73" t="s">
        <v>45</v>
      </c>
      <c r="V73" t="s">
        <v>6</v>
      </c>
      <c r="W73" t="s">
        <v>45</v>
      </c>
      <c r="X73" t="s">
        <v>6</v>
      </c>
      <c r="Y73" t="s">
        <v>45</v>
      </c>
      <c r="Z73" t="s">
        <v>6</v>
      </c>
      <c r="AA73" t="s">
        <v>45</v>
      </c>
      <c r="AB73" t="s">
        <v>6</v>
      </c>
      <c r="AC73" t="s">
        <v>45</v>
      </c>
      <c r="AD73" t="s">
        <v>6</v>
      </c>
      <c r="AE73" t="s">
        <v>45</v>
      </c>
      <c r="AF73" t="s">
        <v>6</v>
      </c>
      <c r="AG73" t="s">
        <v>45</v>
      </c>
      <c r="AH73" t="s">
        <v>6</v>
      </c>
      <c r="AI73" t="s">
        <v>45</v>
      </c>
      <c r="AJ73" t="s">
        <v>6</v>
      </c>
      <c r="AK73" t="s">
        <v>45</v>
      </c>
      <c r="AL73" t="s">
        <v>6</v>
      </c>
      <c r="AM73" t="s">
        <v>45</v>
      </c>
      <c r="AN73" t="s">
        <v>6</v>
      </c>
    </row>
    <row r="74" spans="1:40" x14ac:dyDescent="0.2">
      <c r="A74" s="7" t="s">
        <v>46</v>
      </c>
      <c r="B74" t="s">
        <v>6</v>
      </c>
      <c r="C74" s="8">
        <v>20.077144130000001</v>
      </c>
      <c r="D74" s="10">
        <f t="shared" ref="D74:D85" si="10">C74/C$84</f>
        <v>0.91345966797659661</v>
      </c>
      <c r="E74" s="8">
        <v>50.227609999999999</v>
      </c>
      <c r="F74" s="10">
        <f t="shared" ref="F74:F85" si="11">E74/E$84</f>
        <v>0.97165976787001762</v>
      </c>
      <c r="G74" s="8">
        <v>70.493650000000002</v>
      </c>
      <c r="H74" t="s">
        <v>6</v>
      </c>
      <c r="I74" s="8">
        <v>62.007199999999997</v>
      </c>
      <c r="J74" t="s">
        <v>6</v>
      </c>
      <c r="K74" s="8">
        <v>56.447000000000003</v>
      </c>
      <c r="L74" t="s">
        <v>6</v>
      </c>
      <c r="M74" s="8">
        <v>49.207000000000001</v>
      </c>
      <c r="N74" t="s">
        <v>6</v>
      </c>
      <c r="O74" s="8">
        <v>67.121899999999997</v>
      </c>
      <c r="P74" t="s">
        <v>6</v>
      </c>
      <c r="Q74" s="8">
        <v>84.031999999999996</v>
      </c>
      <c r="R74" t="s">
        <v>6</v>
      </c>
      <c r="S74" s="8">
        <v>70.579359999999994</v>
      </c>
      <c r="T74" t="s">
        <v>6</v>
      </c>
      <c r="U74" s="8">
        <v>152.19999999999999</v>
      </c>
      <c r="V74" t="s">
        <v>6</v>
      </c>
      <c r="W74" s="8">
        <v>77.616489560000005</v>
      </c>
      <c r="X74" t="s">
        <v>6</v>
      </c>
      <c r="Y74" s="8">
        <v>86.107594000000006</v>
      </c>
      <c r="Z74" t="s">
        <v>6</v>
      </c>
      <c r="AA74" s="8">
        <v>68.67</v>
      </c>
      <c r="AB74" t="s">
        <v>6</v>
      </c>
      <c r="AC74" s="8">
        <v>49.582999999999998</v>
      </c>
      <c r="AD74" t="s">
        <v>6</v>
      </c>
      <c r="AE74" s="8">
        <v>87.857699999999994</v>
      </c>
      <c r="AF74" t="s">
        <v>6</v>
      </c>
      <c r="AG74" s="8">
        <v>69.87301497</v>
      </c>
      <c r="AH74" t="s">
        <v>6</v>
      </c>
      <c r="AI74" s="8">
        <v>67.040826460000005</v>
      </c>
      <c r="AJ74" t="s">
        <v>6</v>
      </c>
      <c r="AK74" s="8">
        <v>62.21884</v>
      </c>
      <c r="AL74" t="s">
        <v>6</v>
      </c>
    </row>
    <row r="75" spans="1:40" x14ac:dyDescent="0.2">
      <c r="A75" s="7" t="s">
        <v>47</v>
      </c>
      <c r="B75" t="s">
        <v>6</v>
      </c>
      <c r="C75" s="8">
        <v>20.268721559999999</v>
      </c>
      <c r="D75" s="10">
        <f t="shared" si="10"/>
        <v>0.9221759602174896</v>
      </c>
      <c r="E75" s="8">
        <v>50.254159999999999</v>
      </c>
      <c r="F75" s="10">
        <f t="shared" si="11"/>
        <v>0.97217338113644525</v>
      </c>
      <c r="G75" s="8">
        <v>70.909729999999996</v>
      </c>
      <c r="H75" t="s">
        <v>6</v>
      </c>
      <c r="I75" s="8">
        <v>61.949100000000001</v>
      </c>
      <c r="J75" t="s">
        <v>6</v>
      </c>
      <c r="K75" s="8">
        <v>57.024000000000001</v>
      </c>
      <c r="L75" t="s">
        <v>6</v>
      </c>
      <c r="M75" s="8">
        <v>49.746000000000002</v>
      </c>
      <c r="N75" t="s">
        <v>6</v>
      </c>
      <c r="O75" s="8">
        <v>67.304599999999994</v>
      </c>
      <c r="P75" t="s">
        <v>6</v>
      </c>
      <c r="Q75" s="8">
        <v>84.105500000000006</v>
      </c>
      <c r="R75" t="s">
        <v>6</v>
      </c>
      <c r="S75" s="8">
        <v>71.099440000000001</v>
      </c>
      <c r="T75" t="s">
        <v>6</v>
      </c>
      <c r="U75" s="8">
        <v>154</v>
      </c>
      <c r="V75" t="s">
        <v>6</v>
      </c>
      <c r="W75" s="8">
        <v>77.875087059999998</v>
      </c>
      <c r="X75" t="s">
        <v>6</v>
      </c>
      <c r="Y75" s="8">
        <v>87.206923000000003</v>
      </c>
      <c r="Z75" t="s">
        <v>6</v>
      </c>
      <c r="AA75" s="8">
        <v>69.007000000000005</v>
      </c>
      <c r="AB75" t="s">
        <v>6</v>
      </c>
      <c r="AC75" s="8">
        <v>49.857999999999997</v>
      </c>
      <c r="AD75" t="s">
        <v>6</v>
      </c>
      <c r="AE75" s="8">
        <v>87.651499999999999</v>
      </c>
      <c r="AF75" t="s">
        <v>6</v>
      </c>
      <c r="AG75" s="8">
        <v>69.901423260000001</v>
      </c>
      <c r="AH75" t="s">
        <v>6</v>
      </c>
      <c r="AI75" s="8">
        <v>67.037515310000003</v>
      </c>
      <c r="AJ75" t="s">
        <v>6</v>
      </c>
      <c r="AK75" s="8">
        <v>62.325229999999998</v>
      </c>
      <c r="AL75" t="s">
        <v>6</v>
      </c>
    </row>
    <row r="76" spans="1:40" x14ac:dyDescent="0.2">
      <c r="A76" s="7" t="s">
        <v>48</v>
      </c>
      <c r="B76" t="s">
        <v>6</v>
      </c>
      <c r="C76" s="8">
        <v>20.580890149999998</v>
      </c>
      <c r="D76" s="10">
        <f t="shared" si="10"/>
        <v>0.93637884757675471</v>
      </c>
      <c r="E76" s="8">
        <v>50.333829999999999</v>
      </c>
      <c r="F76" s="10">
        <f t="shared" si="11"/>
        <v>0.97371460783837671</v>
      </c>
      <c r="G76" s="8">
        <v>71.341250000000002</v>
      </c>
      <c r="H76" t="s">
        <v>6</v>
      </c>
      <c r="I76" s="8">
        <v>62.342599999999997</v>
      </c>
      <c r="J76" t="s">
        <v>6</v>
      </c>
      <c r="K76" s="8">
        <v>57.465000000000003</v>
      </c>
      <c r="L76" t="s">
        <v>6</v>
      </c>
      <c r="M76" s="8">
        <v>50.16</v>
      </c>
      <c r="N76" t="s">
        <v>6</v>
      </c>
      <c r="O76" s="8">
        <v>67.481899999999996</v>
      </c>
      <c r="P76" t="s">
        <v>6</v>
      </c>
      <c r="Q76" s="8">
        <v>84.165300000000002</v>
      </c>
      <c r="R76" t="s">
        <v>6</v>
      </c>
      <c r="S76" s="8">
        <v>71.432289999999995</v>
      </c>
      <c r="T76" t="s">
        <v>6</v>
      </c>
      <c r="U76" s="8">
        <v>155.19999999999999</v>
      </c>
      <c r="V76" t="s">
        <v>6</v>
      </c>
      <c r="W76" s="8">
        <v>78.226090069999998</v>
      </c>
      <c r="X76" t="s">
        <v>6</v>
      </c>
      <c r="Y76" s="8">
        <v>88.101549000000006</v>
      </c>
      <c r="Z76" t="s">
        <v>6</v>
      </c>
      <c r="AA76" s="8">
        <v>69.48</v>
      </c>
      <c r="AB76" t="s">
        <v>6</v>
      </c>
      <c r="AC76" s="8">
        <v>50.448999999999998</v>
      </c>
      <c r="AD76" t="s">
        <v>6</v>
      </c>
      <c r="AE76" s="8">
        <v>88.221500000000006</v>
      </c>
      <c r="AF76" t="s">
        <v>6</v>
      </c>
      <c r="AG76" s="8">
        <v>69.850288340000006</v>
      </c>
      <c r="AH76" t="s">
        <v>6</v>
      </c>
      <c r="AI76" s="8">
        <v>67.325585250000003</v>
      </c>
      <c r="AJ76" t="s">
        <v>6</v>
      </c>
      <c r="AK76" s="8">
        <v>63.082479999999997</v>
      </c>
      <c r="AL76" t="s">
        <v>6</v>
      </c>
    </row>
    <row r="77" spans="1:40" x14ac:dyDescent="0.2">
      <c r="A77" s="7" t="s">
        <v>49</v>
      </c>
      <c r="B77" t="s">
        <v>6</v>
      </c>
      <c r="C77" s="8">
        <v>20.681810410000001</v>
      </c>
      <c r="D77" s="10">
        <f t="shared" si="10"/>
        <v>0.94097046611546731</v>
      </c>
      <c r="E77" s="8">
        <v>50.143509999999999</v>
      </c>
      <c r="F77" s="10">
        <f t="shared" si="11"/>
        <v>0.97003284223135267</v>
      </c>
      <c r="G77" s="8">
        <v>71.961799999999997</v>
      </c>
      <c r="H77" t="s">
        <v>6</v>
      </c>
      <c r="I77" s="8">
        <v>62.902000000000001</v>
      </c>
      <c r="J77" t="s">
        <v>6</v>
      </c>
      <c r="K77" s="8">
        <v>57.716999999999999</v>
      </c>
      <c r="L77" t="s">
        <v>6</v>
      </c>
      <c r="M77" s="8">
        <v>50.640999999999998</v>
      </c>
      <c r="N77" t="s">
        <v>6</v>
      </c>
      <c r="O77" s="8">
        <v>68.046999999999997</v>
      </c>
      <c r="P77" t="s">
        <v>6</v>
      </c>
      <c r="Q77" s="8">
        <v>84.588200000000001</v>
      </c>
      <c r="R77" t="s">
        <v>6</v>
      </c>
      <c r="S77" s="8">
        <v>71.884749999999997</v>
      </c>
      <c r="T77" t="s">
        <v>6</v>
      </c>
      <c r="U77" s="8">
        <v>156.6</v>
      </c>
      <c r="V77" t="s">
        <v>6</v>
      </c>
      <c r="W77" s="8">
        <v>78.504685789999996</v>
      </c>
      <c r="X77" t="s">
        <v>6</v>
      </c>
      <c r="Y77" s="8">
        <v>89.809358000000003</v>
      </c>
      <c r="Z77" t="s">
        <v>6</v>
      </c>
      <c r="AA77" s="8">
        <v>69.683000000000007</v>
      </c>
      <c r="AB77" t="s">
        <v>6</v>
      </c>
      <c r="AC77" s="8">
        <v>51.082000000000001</v>
      </c>
      <c r="AD77" t="s">
        <v>6</v>
      </c>
      <c r="AE77" s="8">
        <v>88.326300000000003</v>
      </c>
      <c r="AF77" t="s">
        <v>6</v>
      </c>
      <c r="AG77" s="8">
        <v>70.069032129999997</v>
      </c>
      <c r="AH77" t="s">
        <v>6</v>
      </c>
      <c r="AI77" s="8">
        <v>68.017615309999996</v>
      </c>
      <c r="AJ77" t="s">
        <v>6</v>
      </c>
      <c r="AK77" s="8">
        <v>63.919589999999999</v>
      </c>
      <c r="AL77" t="s">
        <v>6</v>
      </c>
    </row>
    <row r="78" spans="1:40" x14ac:dyDescent="0.2">
      <c r="A78" s="7" t="s">
        <v>50</v>
      </c>
      <c r="B78" t="s">
        <v>6</v>
      </c>
      <c r="C78" s="8">
        <v>20.805822589999998</v>
      </c>
      <c r="D78" s="10">
        <f t="shared" si="10"/>
        <v>0.94661270905770856</v>
      </c>
      <c r="E78" s="8">
        <v>50.482100000000003</v>
      </c>
      <c r="F78" s="10">
        <f t="shared" si="11"/>
        <v>0.9765829106260685</v>
      </c>
      <c r="G78" s="8">
        <v>72.314430000000002</v>
      </c>
      <c r="H78" t="s">
        <v>6</v>
      </c>
      <c r="I78" s="8">
        <v>63.072200000000002</v>
      </c>
      <c r="J78" t="s">
        <v>6</v>
      </c>
      <c r="K78" s="8">
        <v>57.953000000000003</v>
      </c>
      <c r="L78" t="s">
        <v>6</v>
      </c>
      <c r="M78" s="8">
        <v>51.335999999999999</v>
      </c>
      <c r="N78" t="s">
        <v>6</v>
      </c>
      <c r="O78" s="8">
        <v>68.1661</v>
      </c>
      <c r="P78" t="s">
        <v>6</v>
      </c>
      <c r="Q78" s="8">
        <v>85.1995</v>
      </c>
      <c r="R78" t="s">
        <v>6</v>
      </c>
      <c r="S78" s="8">
        <v>72.243600000000001</v>
      </c>
      <c r="T78" t="s">
        <v>6</v>
      </c>
      <c r="U78" s="8">
        <v>157.19999999999999</v>
      </c>
      <c r="V78" t="s">
        <v>6</v>
      </c>
      <c r="W78" s="8">
        <v>78.307462090000001</v>
      </c>
      <c r="X78" t="s">
        <v>6</v>
      </c>
      <c r="Y78" s="8">
        <v>90.135557000000006</v>
      </c>
      <c r="Z78" t="s">
        <v>6</v>
      </c>
      <c r="AA78" s="8">
        <v>69.48</v>
      </c>
      <c r="AB78" t="s">
        <v>6</v>
      </c>
      <c r="AC78" s="8">
        <v>51.823999999999998</v>
      </c>
      <c r="AD78" t="s">
        <v>6</v>
      </c>
      <c r="AE78" s="8">
        <v>88.437899999999999</v>
      </c>
      <c r="AF78" t="s">
        <v>6</v>
      </c>
      <c r="AG78" s="8">
        <v>69.858810829999996</v>
      </c>
      <c r="AH78" t="s">
        <v>6</v>
      </c>
      <c r="AI78" s="8">
        <v>68.030859910000004</v>
      </c>
      <c r="AJ78" t="s">
        <v>6</v>
      </c>
      <c r="AK78" s="8">
        <v>65.539950000000005</v>
      </c>
      <c r="AL78" t="s">
        <v>6</v>
      </c>
    </row>
    <row r="79" spans="1:40" x14ac:dyDescent="0.2">
      <c r="A79" s="7" t="s">
        <v>51</v>
      </c>
      <c r="B79" t="s">
        <v>6</v>
      </c>
      <c r="C79" s="8">
        <v>20.996544759999999</v>
      </c>
      <c r="D79" s="10">
        <f t="shared" si="10"/>
        <v>0.9552900891151469</v>
      </c>
      <c r="E79" s="8">
        <v>51.258850000000002</v>
      </c>
      <c r="F79" s="10">
        <f t="shared" si="11"/>
        <v>0.99160924225309666</v>
      </c>
      <c r="G79" s="8">
        <v>72.300070000000005</v>
      </c>
      <c r="H79" t="s">
        <v>6</v>
      </c>
      <c r="I79" s="8">
        <v>63.333399999999997</v>
      </c>
      <c r="J79" t="s">
        <v>6</v>
      </c>
      <c r="K79" s="8">
        <v>58.185000000000002</v>
      </c>
      <c r="L79" t="s">
        <v>6</v>
      </c>
      <c r="M79" s="8">
        <v>51.57</v>
      </c>
      <c r="N79" t="s">
        <v>6</v>
      </c>
      <c r="O79" s="8">
        <v>68.214600000000004</v>
      </c>
      <c r="P79" t="s">
        <v>6</v>
      </c>
      <c r="Q79" s="8">
        <v>85.231700000000004</v>
      </c>
      <c r="R79" t="s">
        <v>6</v>
      </c>
      <c r="S79" s="8">
        <v>72.71687</v>
      </c>
      <c r="T79" t="s">
        <v>6</v>
      </c>
      <c r="U79" s="8">
        <v>158.30000000000001</v>
      </c>
      <c r="V79" t="s">
        <v>6</v>
      </c>
      <c r="W79" s="8">
        <v>78.232296410000004</v>
      </c>
      <c r="X79" t="s">
        <v>6</v>
      </c>
      <c r="Y79" s="8">
        <v>90.886430000000004</v>
      </c>
      <c r="Z79" t="s">
        <v>6</v>
      </c>
      <c r="AA79" s="8">
        <v>69.548000000000002</v>
      </c>
      <c r="AB79" t="s">
        <v>6</v>
      </c>
      <c r="AC79" s="8">
        <v>51.756</v>
      </c>
      <c r="AD79" t="s">
        <v>6</v>
      </c>
      <c r="AE79" s="8">
        <v>88.671099999999996</v>
      </c>
      <c r="AF79" t="s">
        <v>6</v>
      </c>
      <c r="AG79" s="8">
        <v>69.898866510000005</v>
      </c>
      <c r="AH79" t="s">
        <v>6</v>
      </c>
      <c r="AI79" s="8">
        <v>68.212973079999998</v>
      </c>
      <c r="AJ79" t="s">
        <v>6</v>
      </c>
      <c r="AK79" s="8">
        <v>65.911559999999994</v>
      </c>
      <c r="AL79" t="s">
        <v>6</v>
      </c>
    </row>
    <row r="80" spans="1:40" x14ac:dyDescent="0.2">
      <c r="A80" s="7" t="s">
        <v>52</v>
      </c>
      <c r="B80" t="s">
        <v>6</v>
      </c>
      <c r="C80" s="8">
        <v>21.206937839999998</v>
      </c>
      <c r="D80" s="10">
        <f t="shared" si="10"/>
        <v>0.96486244620721962</v>
      </c>
      <c r="E80" s="8">
        <v>51.022060000000003</v>
      </c>
      <c r="F80" s="10">
        <f t="shared" si="11"/>
        <v>0.98702850834133093</v>
      </c>
      <c r="G80" s="8">
        <v>72.480819999999994</v>
      </c>
      <c r="H80" t="s">
        <v>6</v>
      </c>
      <c r="I80" s="8">
        <v>63.721800000000002</v>
      </c>
      <c r="J80" t="s">
        <v>6</v>
      </c>
      <c r="K80" s="8">
        <v>58.213000000000001</v>
      </c>
      <c r="L80" t="s">
        <v>6</v>
      </c>
      <c r="M80" s="8">
        <v>52.231000000000002</v>
      </c>
      <c r="N80" t="s">
        <v>6</v>
      </c>
      <c r="O80" s="8">
        <v>68.108400000000003</v>
      </c>
      <c r="P80" t="s">
        <v>6</v>
      </c>
      <c r="Q80" s="8">
        <v>85.374099999999999</v>
      </c>
      <c r="R80" t="s">
        <v>6</v>
      </c>
      <c r="S80" s="8">
        <v>73.403369999999995</v>
      </c>
      <c r="T80" t="s">
        <v>6</v>
      </c>
      <c r="U80" s="8">
        <v>159.69999999999999</v>
      </c>
      <c r="V80" t="s">
        <v>6</v>
      </c>
      <c r="W80" s="8">
        <v>78.538475860000005</v>
      </c>
      <c r="X80" t="s">
        <v>6</v>
      </c>
      <c r="Y80" s="8">
        <v>91.717314999999999</v>
      </c>
      <c r="Z80" t="s">
        <v>6</v>
      </c>
      <c r="AA80" s="8">
        <v>69.817999999999998</v>
      </c>
      <c r="AB80" t="s">
        <v>6</v>
      </c>
      <c r="AC80" s="8">
        <v>52.003</v>
      </c>
      <c r="AD80" t="s">
        <v>6</v>
      </c>
      <c r="AE80" s="8">
        <v>88.763900000000007</v>
      </c>
      <c r="AF80" t="s">
        <v>6</v>
      </c>
      <c r="AG80" s="8">
        <v>70.316184199999995</v>
      </c>
      <c r="AH80" t="s">
        <v>6</v>
      </c>
      <c r="AI80" s="8">
        <v>69.090427469999995</v>
      </c>
      <c r="AJ80" t="s">
        <v>6</v>
      </c>
      <c r="AK80" s="8">
        <v>66.482349999999997</v>
      </c>
      <c r="AL80" t="s">
        <v>6</v>
      </c>
    </row>
    <row r="81" spans="1:40" x14ac:dyDescent="0.2">
      <c r="A81" s="7" t="s">
        <v>53</v>
      </c>
      <c r="B81" t="s">
        <v>6</v>
      </c>
      <c r="C81" s="8">
        <v>21.30016079</v>
      </c>
      <c r="D81" s="10">
        <f t="shared" si="10"/>
        <v>0.96910385645976438</v>
      </c>
      <c r="E81" s="8">
        <v>51.201309999999999</v>
      </c>
      <c r="F81" s="10">
        <f t="shared" si="11"/>
        <v>0.99049612333218351</v>
      </c>
      <c r="G81" s="8">
        <v>72.604179999999999</v>
      </c>
      <c r="H81" t="s">
        <v>6</v>
      </c>
      <c r="I81" s="8">
        <v>63.908000000000001</v>
      </c>
      <c r="J81" t="s">
        <v>6</v>
      </c>
      <c r="K81" s="8">
        <v>58.213999999999999</v>
      </c>
      <c r="L81" t="s">
        <v>6</v>
      </c>
      <c r="M81" s="8">
        <v>52.884</v>
      </c>
      <c r="N81" t="s">
        <v>6</v>
      </c>
      <c r="O81" s="8">
        <v>68.008700000000005</v>
      </c>
      <c r="P81" t="s">
        <v>6</v>
      </c>
      <c r="Q81" s="8">
        <v>85.603999999999999</v>
      </c>
      <c r="R81" t="s">
        <v>6</v>
      </c>
      <c r="S81" s="8">
        <v>73.668610000000001</v>
      </c>
      <c r="T81" t="s">
        <v>6</v>
      </c>
      <c r="U81" s="8">
        <v>161</v>
      </c>
      <c r="V81" t="s">
        <v>6</v>
      </c>
      <c r="W81" s="8">
        <v>78.632260560000006</v>
      </c>
      <c r="X81" t="s">
        <v>6</v>
      </c>
      <c r="Y81" s="8">
        <v>92.412796</v>
      </c>
      <c r="Z81" t="s">
        <v>6</v>
      </c>
      <c r="AA81" s="8">
        <v>69.817999999999998</v>
      </c>
      <c r="AB81" t="s">
        <v>6</v>
      </c>
      <c r="AC81" s="8">
        <v>51.933999999999997</v>
      </c>
      <c r="AD81" t="s">
        <v>6</v>
      </c>
      <c r="AE81" s="8">
        <v>88.604399999999998</v>
      </c>
      <c r="AF81" t="s">
        <v>6</v>
      </c>
      <c r="AG81" s="8">
        <v>71.256498390000004</v>
      </c>
      <c r="AH81" t="s">
        <v>6</v>
      </c>
      <c r="AI81" s="8">
        <v>69.236118009999998</v>
      </c>
      <c r="AJ81" t="s">
        <v>6</v>
      </c>
      <c r="AK81" s="8">
        <v>67.119919999999993</v>
      </c>
      <c r="AL81" t="s">
        <v>6</v>
      </c>
    </row>
    <row r="82" spans="1:40" x14ac:dyDescent="0.2">
      <c r="A82" s="7" t="s">
        <v>54</v>
      </c>
      <c r="B82" t="s">
        <v>6</v>
      </c>
      <c r="C82" s="8">
        <v>21.549040399999999</v>
      </c>
      <c r="D82" s="10">
        <f t="shared" si="10"/>
        <v>0.98042725407272679</v>
      </c>
      <c r="E82" s="8">
        <v>51.276560000000003</v>
      </c>
      <c r="F82" s="10">
        <f t="shared" si="11"/>
        <v>0.99195184454870611</v>
      </c>
      <c r="G82" s="8">
        <v>72.858289999999997</v>
      </c>
      <c r="H82" t="s">
        <v>6</v>
      </c>
      <c r="I82" s="8">
        <v>64.541600000000003</v>
      </c>
      <c r="J82" t="s">
        <v>6</v>
      </c>
      <c r="K82" s="8">
        <v>58.463000000000001</v>
      </c>
      <c r="L82" t="s">
        <v>6</v>
      </c>
      <c r="M82" s="8">
        <v>52.975000000000001</v>
      </c>
      <c r="N82" t="s">
        <v>6</v>
      </c>
      <c r="O82" s="8">
        <v>68.496099999999998</v>
      </c>
      <c r="P82" t="s">
        <v>6</v>
      </c>
      <c r="Q82" s="8">
        <v>85.953299999999999</v>
      </c>
      <c r="R82" t="s">
        <v>6</v>
      </c>
      <c r="S82" s="8">
        <v>74.292699999999996</v>
      </c>
      <c r="T82" t="s">
        <v>6</v>
      </c>
      <c r="U82" s="8">
        <v>161.6</v>
      </c>
      <c r="V82" t="s">
        <v>6</v>
      </c>
      <c r="W82" s="8">
        <v>78.947404719999994</v>
      </c>
      <c r="X82" t="s">
        <v>6</v>
      </c>
      <c r="Y82" s="8">
        <v>93.108277000000001</v>
      </c>
      <c r="Z82" t="s">
        <v>6</v>
      </c>
      <c r="AA82" s="8">
        <v>70.424999999999997</v>
      </c>
      <c r="AB82" t="s">
        <v>6</v>
      </c>
      <c r="AC82" s="8">
        <v>52.636000000000003</v>
      </c>
      <c r="AD82" t="s">
        <v>6</v>
      </c>
      <c r="AE82" s="8">
        <v>88.520700000000005</v>
      </c>
      <c r="AF82" t="s">
        <v>6</v>
      </c>
      <c r="AG82" s="8">
        <v>73.580296009999998</v>
      </c>
      <c r="AH82" t="s">
        <v>6</v>
      </c>
      <c r="AI82" s="8">
        <v>69.775835240000006</v>
      </c>
      <c r="AJ82" t="s">
        <v>6</v>
      </c>
      <c r="AK82" s="8">
        <v>68.115979999999993</v>
      </c>
      <c r="AL82" t="s">
        <v>6</v>
      </c>
    </row>
    <row r="83" spans="1:40" x14ac:dyDescent="0.2">
      <c r="A83" s="7" t="s">
        <v>55</v>
      </c>
      <c r="B83" t="s">
        <v>6</v>
      </c>
      <c r="C83" s="8">
        <v>21.7158154</v>
      </c>
      <c r="D83" s="10">
        <f t="shared" si="10"/>
        <v>0.98801509799815657</v>
      </c>
      <c r="E83" s="8">
        <v>51.469079999999998</v>
      </c>
      <c r="F83" s="10">
        <f t="shared" si="11"/>
        <v>0.99567616944711024</v>
      </c>
      <c r="G83" s="8">
        <v>73.404730000000001</v>
      </c>
      <c r="H83" t="s">
        <v>6</v>
      </c>
      <c r="I83" s="8">
        <v>64.855800000000002</v>
      </c>
      <c r="J83" t="s">
        <v>6</v>
      </c>
      <c r="K83" s="8">
        <v>58.597999999999999</v>
      </c>
      <c r="L83" t="s">
        <v>6</v>
      </c>
      <c r="M83" s="8">
        <v>53.633000000000003</v>
      </c>
      <c r="N83" t="s">
        <v>6</v>
      </c>
      <c r="O83" s="8">
        <v>68.735799999999998</v>
      </c>
      <c r="P83" t="s">
        <v>6</v>
      </c>
      <c r="Q83" s="8">
        <v>87.594200000000001</v>
      </c>
      <c r="R83" t="s">
        <v>6</v>
      </c>
      <c r="S83" s="8">
        <v>75.598089999999999</v>
      </c>
      <c r="T83" t="s">
        <v>6</v>
      </c>
      <c r="U83" s="8">
        <v>161.69999999999999</v>
      </c>
      <c r="V83" t="s">
        <v>6</v>
      </c>
      <c r="W83" s="8">
        <v>79.141180449999993</v>
      </c>
      <c r="X83" t="s">
        <v>6</v>
      </c>
      <c r="Y83" s="8">
        <v>94.148420999999999</v>
      </c>
      <c r="Z83" t="s">
        <v>6</v>
      </c>
      <c r="AA83" s="8">
        <v>70.831000000000003</v>
      </c>
      <c r="AB83" t="s">
        <v>6</v>
      </c>
      <c r="AC83" s="8">
        <v>53.488</v>
      </c>
      <c r="AD83" t="s">
        <v>6</v>
      </c>
      <c r="AE83" s="8">
        <v>88.649100000000004</v>
      </c>
      <c r="AF83" t="s">
        <v>6</v>
      </c>
      <c r="AG83" s="8">
        <v>74.39845459</v>
      </c>
      <c r="AH83" t="s">
        <v>6</v>
      </c>
      <c r="AI83" s="8">
        <v>69.994371049999998</v>
      </c>
      <c r="AJ83" t="s">
        <v>6</v>
      </c>
      <c r="AK83" s="8">
        <v>68.541020000000003</v>
      </c>
      <c r="AL83" t="s">
        <v>6</v>
      </c>
    </row>
    <row r="84" spans="1:40" x14ac:dyDescent="0.2">
      <c r="A84" s="7" t="s">
        <v>56</v>
      </c>
      <c r="B84" t="s">
        <v>6</v>
      </c>
      <c r="C84" s="8">
        <v>21.97923437</v>
      </c>
      <c r="D84" s="10">
        <f t="shared" si="10"/>
        <v>1</v>
      </c>
      <c r="E84" s="8">
        <v>51.692590000000003</v>
      </c>
      <c r="F84" s="10">
        <f t="shared" si="11"/>
        <v>1</v>
      </c>
      <c r="G84" s="8">
        <v>73.808459999999997</v>
      </c>
      <c r="H84" t="s">
        <v>6</v>
      </c>
      <c r="I84" s="8">
        <v>64.701599999999999</v>
      </c>
      <c r="J84" t="s">
        <v>6</v>
      </c>
      <c r="K84" s="8">
        <v>58.664999999999999</v>
      </c>
      <c r="L84" t="s">
        <v>6</v>
      </c>
      <c r="M84" s="8">
        <v>54.503999999999998</v>
      </c>
      <c r="N84" t="s">
        <v>6</v>
      </c>
      <c r="O84" s="8">
        <v>68.851399999999998</v>
      </c>
      <c r="P84" t="s">
        <v>6</v>
      </c>
      <c r="Q84" s="8">
        <v>86.468100000000007</v>
      </c>
      <c r="R84" t="s">
        <v>6</v>
      </c>
      <c r="S84" s="8">
        <v>75.629289999999997</v>
      </c>
      <c r="T84" t="s">
        <v>6</v>
      </c>
      <c r="U84" s="8">
        <v>162</v>
      </c>
      <c r="V84" t="s">
        <v>6</v>
      </c>
      <c r="W84" s="8">
        <v>79.71078455</v>
      </c>
      <c r="X84" t="s">
        <v>6</v>
      </c>
      <c r="Y84" s="8">
        <v>93.459093999999993</v>
      </c>
      <c r="Z84" t="s">
        <v>6</v>
      </c>
      <c r="AA84" s="8">
        <v>70.424999999999997</v>
      </c>
      <c r="AB84" t="s">
        <v>6</v>
      </c>
      <c r="AC84" s="8">
        <v>54.408999999999999</v>
      </c>
      <c r="AD84" t="s">
        <v>6</v>
      </c>
      <c r="AE84" s="8">
        <v>88.709400000000002</v>
      </c>
      <c r="AF84" t="s">
        <v>6</v>
      </c>
      <c r="AG84" s="8">
        <v>73.773472339999998</v>
      </c>
      <c r="AH84" t="s">
        <v>6</v>
      </c>
      <c r="AI84" s="8">
        <v>69.911592330000005</v>
      </c>
      <c r="AJ84" t="s">
        <v>6</v>
      </c>
      <c r="AK84" s="8">
        <v>69.27167</v>
      </c>
      <c r="AL84" t="s">
        <v>6</v>
      </c>
    </row>
    <row r="85" spans="1:40" x14ac:dyDescent="0.2">
      <c r="A85" s="7" t="s">
        <v>57</v>
      </c>
      <c r="B85" t="s">
        <v>6</v>
      </c>
      <c r="C85" s="8">
        <v>22.22298245</v>
      </c>
      <c r="D85" s="10">
        <f t="shared" si="10"/>
        <v>1.0110899258771586</v>
      </c>
      <c r="E85" s="8">
        <v>51.980269999999997</v>
      </c>
      <c r="F85" s="10">
        <f t="shared" si="11"/>
        <v>1.0055652077019162</v>
      </c>
      <c r="G85" s="8">
        <v>74.074169999999995</v>
      </c>
      <c r="H85" t="s">
        <v>6</v>
      </c>
      <c r="I85" s="8">
        <v>64.482600000000005</v>
      </c>
      <c r="J85" t="s">
        <v>6</v>
      </c>
      <c r="K85" s="8">
        <v>58.704999999999998</v>
      </c>
      <c r="L85" t="s">
        <v>6</v>
      </c>
      <c r="M85" s="8">
        <v>55.054000000000002</v>
      </c>
      <c r="N85" t="s">
        <v>6</v>
      </c>
      <c r="O85" s="8">
        <v>69.056700000000006</v>
      </c>
      <c r="P85" t="s">
        <v>6</v>
      </c>
      <c r="Q85" s="8">
        <v>86.371600000000001</v>
      </c>
      <c r="R85" t="s">
        <v>6</v>
      </c>
      <c r="S85" s="8">
        <v>75.598089999999999</v>
      </c>
      <c r="T85" t="s">
        <v>6</v>
      </c>
      <c r="U85" s="8">
        <v>162.69999999999999</v>
      </c>
      <c r="V85" t="s">
        <v>6</v>
      </c>
      <c r="W85" s="8">
        <v>80.200395830000005</v>
      </c>
      <c r="X85" t="s">
        <v>6</v>
      </c>
      <c r="Y85" s="8">
        <v>93.803757000000004</v>
      </c>
      <c r="Z85" t="s">
        <v>6</v>
      </c>
      <c r="AA85" s="8">
        <v>70.694999999999993</v>
      </c>
      <c r="AB85" t="s">
        <v>6</v>
      </c>
      <c r="AC85" s="8">
        <v>54.093000000000004</v>
      </c>
      <c r="AD85" t="s">
        <v>6</v>
      </c>
      <c r="AE85" s="8">
        <v>89.083299999999994</v>
      </c>
      <c r="AF85" t="s">
        <v>6</v>
      </c>
      <c r="AG85" s="8">
        <v>74.483679440000003</v>
      </c>
      <c r="AH85" t="s">
        <v>6</v>
      </c>
      <c r="AI85" s="8">
        <v>70.063905169999998</v>
      </c>
      <c r="AJ85" t="s">
        <v>6</v>
      </c>
      <c r="AK85" s="8">
        <v>69.816149999999993</v>
      </c>
      <c r="AL85" t="s">
        <v>6</v>
      </c>
    </row>
    <row r="86" spans="1:40" x14ac:dyDescent="0.2">
      <c r="A86" s="7" t="s">
        <v>63</v>
      </c>
      <c r="B86" t="s">
        <v>6</v>
      </c>
      <c r="C86" t="s">
        <v>45</v>
      </c>
      <c r="D86" s="11">
        <f>SUM(D87:D98)</f>
        <v>11.624504668480691</v>
      </c>
      <c r="E86" t="s">
        <v>45</v>
      </c>
      <c r="F86" s="11">
        <f>SUM(F87:F98)</f>
        <v>11.77478900985809</v>
      </c>
      <c r="G86" t="s">
        <v>45</v>
      </c>
      <c r="H86" t="s">
        <v>6</v>
      </c>
      <c r="I86" t="s">
        <v>45</v>
      </c>
      <c r="J86" t="s">
        <v>6</v>
      </c>
      <c r="K86" t="s">
        <v>45</v>
      </c>
      <c r="L86" t="s">
        <v>6</v>
      </c>
      <c r="M86" t="s">
        <v>45</v>
      </c>
      <c r="N86" t="s">
        <v>6</v>
      </c>
      <c r="O86" t="s">
        <v>45</v>
      </c>
      <c r="P86" t="s">
        <v>6</v>
      </c>
      <c r="Q86" t="s">
        <v>45</v>
      </c>
      <c r="R86" t="s">
        <v>6</v>
      </c>
      <c r="S86" t="s">
        <v>45</v>
      </c>
      <c r="T86" t="s">
        <v>6</v>
      </c>
      <c r="U86" t="s">
        <v>45</v>
      </c>
      <c r="V86" t="s">
        <v>6</v>
      </c>
      <c r="W86" t="s">
        <v>45</v>
      </c>
      <c r="X86" t="s">
        <v>6</v>
      </c>
      <c r="Y86" t="s">
        <v>45</v>
      </c>
      <c r="Z86" t="s">
        <v>6</v>
      </c>
      <c r="AA86" t="s">
        <v>45</v>
      </c>
      <c r="AB86" t="s">
        <v>6</v>
      </c>
      <c r="AC86" t="s">
        <v>45</v>
      </c>
      <c r="AD86" t="s">
        <v>6</v>
      </c>
      <c r="AE86" t="s">
        <v>45</v>
      </c>
      <c r="AF86" t="s">
        <v>6</v>
      </c>
      <c r="AG86" t="s">
        <v>45</v>
      </c>
      <c r="AH86" t="s">
        <v>6</v>
      </c>
      <c r="AI86" t="s">
        <v>45</v>
      </c>
      <c r="AJ86" t="s">
        <v>6</v>
      </c>
      <c r="AK86" t="s">
        <v>45</v>
      </c>
      <c r="AL86" t="s">
        <v>6</v>
      </c>
      <c r="AM86" t="s">
        <v>45</v>
      </c>
      <c r="AN86" t="s">
        <v>6</v>
      </c>
    </row>
    <row r="87" spans="1:40" x14ac:dyDescent="0.2">
      <c r="A87" s="7" t="s">
        <v>46</v>
      </c>
      <c r="B87" t="s">
        <v>6</v>
      </c>
      <c r="C87" s="8">
        <v>22.506927579999999</v>
      </c>
      <c r="D87" s="10">
        <f t="shared" ref="D87:D98" si="12">C87/C$97</f>
        <v>0.93107840357930793</v>
      </c>
      <c r="E87" s="8">
        <v>52.1905</v>
      </c>
      <c r="F87" s="10">
        <f t="shared" ref="F87:F98" si="13">E87/E$97</f>
        <v>0.9639498403652299</v>
      </c>
      <c r="G87" s="8">
        <v>74.511060000000001</v>
      </c>
      <c r="H87" t="s">
        <v>6</v>
      </c>
      <c r="I87" s="8">
        <v>64.536500000000004</v>
      </c>
      <c r="J87" t="s">
        <v>6</v>
      </c>
      <c r="K87" s="8">
        <v>59.023000000000003</v>
      </c>
      <c r="L87" t="s">
        <v>6</v>
      </c>
      <c r="M87" s="8">
        <v>55.7</v>
      </c>
      <c r="N87" t="s">
        <v>6</v>
      </c>
      <c r="O87" s="8">
        <v>69.386799999999994</v>
      </c>
      <c r="P87" t="s">
        <v>6</v>
      </c>
      <c r="Q87" s="8">
        <v>86.826599999999999</v>
      </c>
      <c r="R87" t="s">
        <v>6</v>
      </c>
      <c r="S87" s="8">
        <v>76.284580000000005</v>
      </c>
      <c r="T87" t="s">
        <v>6</v>
      </c>
      <c r="U87" s="8">
        <v>163.30000000000001</v>
      </c>
      <c r="V87" t="s">
        <v>6</v>
      </c>
      <c r="W87" s="8">
        <v>80.670698490000007</v>
      </c>
      <c r="X87" t="s">
        <v>6</v>
      </c>
      <c r="Y87" s="8">
        <v>95.231646999999995</v>
      </c>
      <c r="Z87" t="s">
        <v>6</v>
      </c>
      <c r="AA87" s="8">
        <v>70.763000000000005</v>
      </c>
      <c r="AB87" t="s">
        <v>6</v>
      </c>
      <c r="AC87" s="8">
        <v>54.848999999999997</v>
      </c>
      <c r="AD87" t="s">
        <v>6</v>
      </c>
      <c r="AE87" s="8">
        <v>89.526300000000006</v>
      </c>
      <c r="AF87" t="s">
        <v>6</v>
      </c>
      <c r="AG87" s="8">
        <v>75.637055770000003</v>
      </c>
      <c r="AH87" t="s">
        <v>6</v>
      </c>
      <c r="AI87" s="8">
        <v>71.020827120000007</v>
      </c>
      <c r="AJ87" t="s">
        <v>6</v>
      </c>
      <c r="AK87" s="8">
        <v>70.360010000000003</v>
      </c>
      <c r="AL87" t="s">
        <v>6</v>
      </c>
    </row>
    <row r="88" spans="1:40" x14ac:dyDescent="0.2">
      <c r="A88" s="7" t="s">
        <v>47</v>
      </c>
      <c r="B88" t="s">
        <v>6</v>
      </c>
      <c r="C88" s="8">
        <v>22.595874240000001</v>
      </c>
      <c r="D88" s="10">
        <f t="shared" si="12"/>
        <v>0.93475799573608487</v>
      </c>
      <c r="E88" s="8">
        <v>52.35427</v>
      </c>
      <c r="F88" s="10">
        <f t="shared" si="13"/>
        <v>0.96697464498209729</v>
      </c>
      <c r="G88" s="8">
        <v>74.816559999999996</v>
      </c>
      <c r="H88" t="s">
        <v>6</v>
      </c>
      <c r="I88" s="8">
        <v>64.477500000000006</v>
      </c>
      <c r="J88" t="s">
        <v>6</v>
      </c>
      <c r="K88" s="8">
        <v>59.411000000000001</v>
      </c>
      <c r="L88" t="s">
        <v>6</v>
      </c>
      <c r="M88" s="8">
        <v>56.192999999999998</v>
      </c>
      <c r="N88" t="s">
        <v>6</v>
      </c>
      <c r="O88" s="8">
        <v>69.878</v>
      </c>
      <c r="P88" t="s">
        <v>6</v>
      </c>
      <c r="Q88" s="8">
        <v>87.258700000000005</v>
      </c>
      <c r="R88" t="s">
        <v>6</v>
      </c>
      <c r="S88" s="8">
        <v>76.263779999999997</v>
      </c>
      <c r="T88" t="s">
        <v>6</v>
      </c>
      <c r="U88" s="8">
        <v>164.4</v>
      </c>
      <c r="V88" t="s">
        <v>6</v>
      </c>
      <c r="W88" s="8">
        <v>80.794135699999998</v>
      </c>
      <c r="X88" t="s">
        <v>6</v>
      </c>
      <c r="Y88" s="8">
        <v>96.874951999999993</v>
      </c>
      <c r="Z88" t="s">
        <v>6</v>
      </c>
      <c r="AA88" s="8">
        <v>70.628</v>
      </c>
      <c r="AB88" t="s">
        <v>6</v>
      </c>
      <c r="AC88" s="8">
        <v>55.454000000000001</v>
      </c>
      <c r="AD88" t="s">
        <v>6</v>
      </c>
      <c r="AE88" s="8">
        <v>90.017200000000003</v>
      </c>
      <c r="AF88" t="s">
        <v>6</v>
      </c>
      <c r="AG88" s="8">
        <v>75.546149260000007</v>
      </c>
      <c r="AH88" t="s">
        <v>6</v>
      </c>
      <c r="AI88" s="8">
        <v>71.494321380000002</v>
      </c>
      <c r="AJ88" t="s">
        <v>6</v>
      </c>
      <c r="AK88" s="8">
        <v>70.107420000000005</v>
      </c>
      <c r="AL88" t="s">
        <v>6</v>
      </c>
    </row>
    <row r="89" spans="1:40" x14ac:dyDescent="0.2">
      <c r="A89" s="7" t="s">
        <v>48</v>
      </c>
      <c r="B89" t="s">
        <v>6</v>
      </c>
      <c r="C89" s="8">
        <v>22.86784578</v>
      </c>
      <c r="D89" s="10">
        <f t="shared" si="12"/>
        <v>0.94600905727623152</v>
      </c>
      <c r="E89" s="8">
        <v>52.208210000000001</v>
      </c>
      <c r="F89" s="10">
        <f t="shared" si="13"/>
        <v>0.96427694111484663</v>
      </c>
      <c r="G89" s="8">
        <v>75.138140000000007</v>
      </c>
      <c r="H89" t="s">
        <v>6</v>
      </c>
      <c r="I89" s="8">
        <v>64.855800000000002</v>
      </c>
      <c r="J89" t="s">
        <v>6</v>
      </c>
      <c r="K89" s="8">
        <v>59.828000000000003</v>
      </c>
      <c r="L89" t="s">
        <v>6</v>
      </c>
      <c r="M89" s="8">
        <v>56.287999999999997</v>
      </c>
      <c r="N89" t="s">
        <v>6</v>
      </c>
      <c r="O89" s="8">
        <v>70.333299999999994</v>
      </c>
      <c r="P89" t="s">
        <v>6</v>
      </c>
      <c r="Q89" s="8">
        <v>87.566599999999994</v>
      </c>
      <c r="R89" t="s">
        <v>6</v>
      </c>
      <c r="S89" s="8">
        <v>76.633039999999994</v>
      </c>
      <c r="T89" t="s">
        <v>6</v>
      </c>
      <c r="U89" s="8">
        <v>164.8</v>
      </c>
      <c r="V89" t="s">
        <v>6</v>
      </c>
      <c r="W89" s="8">
        <v>80.895505920000005</v>
      </c>
      <c r="X89" t="s">
        <v>6</v>
      </c>
      <c r="Y89" s="8">
        <v>97.705836000000005</v>
      </c>
      <c r="Z89" t="s">
        <v>6</v>
      </c>
      <c r="AA89" s="8">
        <v>70.897999999999996</v>
      </c>
      <c r="AB89" t="s">
        <v>6</v>
      </c>
      <c r="AC89" s="8">
        <v>56.279000000000003</v>
      </c>
      <c r="AD89" t="s">
        <v>6</v>
      </c>
      <c r="AE89" s="8">
        <v>90.428700000000006</v>
      </c>
      <c r="AF89" t="s">
        <v>6</v>
      </c>
      <c r="AG89" s="8">
        <v>75.617169970000006</v>
      </c>
      <c r="AH89" t="s">
        <v>6</v>
      </c>
      <c r="AI89" s="8">
        <v>71.722790639999999</v>
      </c>
      <c r="AJ89" t="s">
        <v>6</v>
      </c>
      <c r="AK89" s="8">
        <v>70.744699999999995</v>
      </c>
      <c r="AL89" t="s">
        <v>6</v>
      </c>
    </row>
    <row r="90" spans="1:40" x14ac:dyDescent="0.2">
      <c r="A90" s="7" t="s">
        <v>49</v>
      </c>
      <c r="B90" t="s">
        <v>6</v>
      </c>
      <c r="C90" s="8">
        <v>23.090212449999999</v>
      </c>
      <c r="D90" s="10">
        <f t="shared" si="12"/>
        <v>0.95520803849554403</v>
      </c>
      <c r="E90" s="8">
        <v>52.281239999999997</v>
      </c>
      <c r="F90" s="10">
        <f t="shared" si="13"/>
        <v>0.96562579304847185</v>
      </c>
      <c r="G90" s="8">
        <v>75.295929999999998</v>
      </c>
      <c r="H90" t="s">
        <v>6</v>
      </c>
      <c r="I90" s="8">
        <v>65.271199999999993</v>
      </c>
      <c r="J90" t="s">
        <v>6</v>
      </c>
      <c r="K90" s="8">
        <v>60.095999999999997</v>
      </c>
      <c r="L90" t="s">
        <v>6</v>
      </c>
      <c r="M90" s="8">
        <v>56.529000000000003</v>
      </c>
      <c r="N90" t="s">
        <v>6</v>
      </c>
      <c r="O90" s="8">
        <v>70.381500000000003</v>
      </c>
      <c r="P90" t="s">
        <v>6</v>
      </c>
      <c r="Q90" s="8">
        <v>88.164199999999994</v>
      </c>
      <c r="R90" t="s">
        <v>6</v>
      </c>
      <c r="S90" s="8">
        <v>77.262330000000006</v>
      </c>
      <c r="T90" t="s">
        <v>6</v>
      </c>
      <c r="U90" s="8">
        <v>165.7</v>
      </c>
      <c r="V90" t="s">
        <v>6</v>
      </c>
      <c r="W90" s="8">
        <v>81.01411598</v>
      </c>
      <c r="X90" t="s">
        <v>6</v>
      </c>
      <c r="Y90" s="8">
        <v>99.133725999999996</v>
      </c>
      <c r="Z90" t="s">
        <v>6</v>
      </c>
      <c r="AA90" s="8">
        <v>71.707999999999998</v>
      </c>
      <c r="AB90" t="s">
        <v>6</v>
      </c>
      <c r="AC90" s="8">
        <v>56.512999999999998</v>
      </c>
      <c r="AD90" t="s">
        <v>6</v>
      </c>
      <c r="AE90" s="8">
        <v>90.889899999999997</v>
      </c>
      <c r="AF90" t="s">
        <v>6</v>
      </c>
      <c r="AG90" s="8">
        <v>76.066020850000001</v>
      </c>
      <c r="AH90" t="s">
        <v>6</v>
      </c>
      <c r="AI90" s="8">
        <v>72.096950430000007</v>
      </c>
      <c r="AJ90" t="s">
        <v>6</v>
      </c>
      <c r="AK90" s="8">
        <v>71.183319999999995</v>
      </c>
      <c r="AL90" t="s">
        <v>6</v>
      </c>
    </row>
    <row r="91" spans="1:40" x14ac:dyDescent="0.2">
      <c r="A91" s="7" t="s">
        <v>50</v>
      </c>
      <c r="B91" t="s">
        <v>6</v>
      </c>
      <c r="C91" s="8">
        <v>23.198830009999998</v>
      </c>
      <c r="D91" s="10">
        <f t="shared" si="12"/>
        <v>0.95970138677713468</v>
      </c>
      <c r="E91" s="8">
        <v>52.7194</v>
      </c>
      <c r="F91" s="10">
        <f t="shared" si="13"/>
        <v>0.97371853525355578</v>
      </c>
      <c r="G91" s="8">
        <v>75.371350000000007</v>
      </c>
      <c r="H91" t="s">
        <v>6</v>
      </c>
      <c r="I91" s="8">
        <v>65.430400000000006</v>
      </c>
      <c r="J91" t="s">
        <v>6</v>
      </c>
      <c r="K91" s="8">
        <v>60.292999999999999</v>
      </c>
      <c r="L91" t="s">
        <v>6</v>
      </c>
      <c r="M91" s="8">
        <v>57.426000000000002</v>
      </c>
      <c r="N91" t="s">
        <v>6</v>
      </c>
      <c r="O91" s="8">
        <v>70.284300000000002</v>
      </c>
      <c r="P91" t="s">
        <v>6</v>
      </c>
      <c r="Q91" s="8">
        <v>88.274500000000003</v>
      </c>
      <c r="R91" t="s">
        <v>6</v>
      </c>
      <c r="S91" s="8">
        <v>77.745999999999995</v>
      </c>
      <c r="T91" t="s">
        <v>6</v>
      </c>
      <c r="U91" s="8">
        <v>166.8</v>
      </c>
      <c r="V91" t="s">
        <v>6</v>
      </c>
      <c r="W91" s="8">
        <v>80.653458659999998</v>
      </c>
      <c r="X91" t="s">
        <v>6</v>
      </c>
      <c r="Y91" s="8">
        <v>100.33389</v>
      </c>
      <c r="Z91" t="s">
        <v>6</v>
      </c>
      <c r="AA91" s="8">
        <v>71.641000000000005</v>
      </c>
      <c r="AB91" t="s">
        <v>6</v>
      </c>
      <c r="AC91" s="8">
        <v>56.347999999999999</v>
      </c>
      <c r="AD91" t="s">
        <v>6</v>
      </c>
      <c r="AE91" s="8">
        <v>90.409700000000001</v>
      </c>
      <c r="AF91" t="s">
        <v>6</v>
      </c>
      <c r="AG91" s="8">
        <v>76.500667590000006</v>
      </c>
      <c r="AH91" t="s">
        <v>6</v>
      </c>
      <c r="AI91" s="8">
        <v>72.550577799999999</v>
      </c>
      <c r="AJ91" t="s">
        <v>6</v>
      </c>
      <c r="AK91" s="8">
        <v>72.338620000000006</v>
      </c>
      <c r="AL91" t="s">
        <v>6</v>
      </c>
    </row>
    <row r="92" spans="1:40" x14ac:dyDescent="0.2">
      <c r="A92" s="7" t="s">
        <v>51</v>
      </c>
      <c r="B92" t="s">
        <v>6</v>
      </c>
      <c r="C92" s="8">
        <v>23.31172385</v>
      </c>
      <c r="D92" s="10">
        <f t="shared" si="12"/>
        <v>0.96437163845620189</v>
      </c>
      <c r="E92" s="8">
        <v>53.04692</v>
      </c>
      <c r="F92" s="10">
        <f t="shared" si="13"/>
        <v>0.97976777509062229</v>
      </c>
      <c r="G92" s="8">
        <v>75.213070000000002</v>
      </c>
      <c r="H92" t="s">
        <v>6</v>
      </c>
      <c r="I92" s="8">
        <v>65.813800000000001</v>
      </c>
      <c r="J92" t="s">
        <v>6</v>
      </c>
      <c r="K92" s="8">
        <v>60.476999999999997</v>
      </c>
      <c r="L92" t="s">
        <v>6</v>
      </c>
      <c r="M92" s="8">
        <v>57.975000000000001</v>
      </c>
      <c r="N92" t="s">
        <v>6</v>
      </c>
      <c r="O92" s="8">
        <v>70.122699999999995</v>
      </c>
      <c r="P92" t="s">
        <v>6</v>
      </c>
      <c r="Q92" s="8">
        <v>88.996099999999998</v>
      </c>
      <c r="R92" t="s">
        <v>6</v>
      </c>
      <c r="S92" s="8">
        <v>78.208860000000001</v>
      </c>
      <c r="T92" t="s">
        <v>6</v>
      </c>
      <c r="U92" s="8">
        <v>167.3</v>
      </c>
      <c r="V92" t="s">
        <v>6</v>
      </c>
      <c r="W92" s="8">
        <v>80.723107580000004</v>
      </c>
      <c r="X92" t="s">
        <v>6</v>
      </c>
      <c r="Y92" s="8">
        <v>100.70317</v>
      </c>
      <c r="Z92" t="s">
        <v>6</v>
      </c>
      <c r="AA92" s="8">
        <v>71.775999999999996</v>
      </c>
      <c r="AB92" t="s">
        <v>6</v>
      </c>
      <c r="AC92" s="8">
        <v>56.100999999999999</v>
      </c>
      <c r="AD92" t="s">
        <v>6</v>
      </c>
      <c r="AE92" s="8">
        <v>90.2898</v>
      </c>
      <c r="AF92" t="s">
        <v>6</v>
      </c>
      <c r="AG92" s="8">
        <v>77.08019659</v>
      </c>
      <c r="AH92" t="s">
        <v>6</v>
      </c>
      <c r="AI92" s="8">
        <v>72.782358200000004</v>
      </c>
      <c r="AJ92" t="s">
        <v>6</v>
      </c>
      <c r="AK92" s="8">
        <v>73.679779999999994</v>
      </c>
      <c r="AL92" t="s">
        <v>6</v>
      </c>
    </row>
    <row r="93" spans="1:40" x14ac:dyDescent="0.2">
      <c r="A93" s="7" t="s">
        <v>52</v>
      </c>
      <c r="B93" t="s">
        <v>6</v>
      </c>
      <c r="C93" s="8">
        <v>23.455406929999999</v>
      </c>
      <c r="D93" s="10">
        <f t="shared" si="12"/>
        <v>0.97031559558994396</v>
      </c>
      <c r="E93" s="8">
        <v>53.345669999999998</v>
      </c>
      <c r="F93" s="10">
        <f t="shared" si="13"/>
        <v>0.98528563782060397</v>
      </c>
      <c r="G93" s="8">
        <v>75.355800000000002</v>
      </c>
      <c r="H93" t="s">
        <v>6</v>
      </c>
      <c r="I93" s="8">
        <v>66.171000000000006</v>
      </c>
      <c r="J93" t="s">
        <v>6</v>
      </c>
      <c r="K93" s="8">
        <v>60.725999999999999</v>
      </c>
      <c r="L93" t="s">
        <v>6</v>
      </c>
      <c r="M93" s="8">
        <v>58.512</v>
      </c>
      <c r="N93" t="s">
        <v>6</v>
      </c>
      <c r="O93" s="8">
        <v>70.143500000000003</v>
      </c>
      <c r="P93" t="s">
        <v>6</v>
      </c>
      <c r="Q93" s="8">
        <v>90.113100000000003</v>
      </c>
      <c r="R93" t="s">
        <v>6</v>
      </c>
      <c r="S93" s="8">
        <v>78.567710000000005</v>
      </c>
      <c r="T93" t="s">
        <v>6</v>
      </c>
      <c r="U93" s="8">
        <v>168.2</v>
      </c>
      <c r="V93" t="s">
        <v>6</v>
      </c>
      <c r="W93" s="8">
        <v>80.94446705</v>
      </c>
      <c r="X93" t="s">
        <v>6</v>
      </c>
      <c r="Y93" s="8">
        <v>101.2017</v>
      </c>
      <c r="Z93" t="s">
        <v>6</v>
      </c>
      <c r="AA93" s="8">
        <v>71.775999999999996</v>
      </c>
      <c r="AB93" t="s">
        <v>6</v>
      </c>
      <c r="AC93" s="8">
        <v>55.991</v>
      </c>
      <c r="AD93" t="s">
        <v>6</v>
      </c>
      <c r="AE93" s="8">
        <v>90.136300000000006</v>
      </c>
      <c r="AF93" t="s">
        <v>6</v>
      </c>
      <c r="AG93" s="8">
        <v>77.77051788</v>
      </c>
      <c r="AH93" t="s">
        <v>6</v>
      </c>
      <c r="AI93" s="8">
        <v>73.401543000000004</v>
      </c>
      <c r="AJ93" t="s">
        <v>6</v>
      </c>
      <c r="AK93" s="8">
        <v>75.445880000000002</v>
      </c>
      <c r="AL93" t="s">
        <v>6</v>
      </c>
    </row>
    <row r="94" spans="1:40" x14ac:dyDescent="0.2">
      <c r="A94" s="7" t="s">
        <v>53</v>
      </c>
      <c r="B94" t="s">
        <v>6</v>
      </c>
      <c r="C94" s="8">
        <v>23.587116420000001</v>
      </c>
      <c r="D94" s="10">
        <f t="shared" si="12"/>
        <v>0.97576422296254106</v>
      </c>
      <c r="E94" s="8">
        <v>53.445250000000001</v>
      </c>
      <c r="F94" s="10">
        <f t="shared" si="13"/>
        <v>0.98712486383115328</v>
      </c>
      <c r="G94" s="8">
        <v>75.393659999999997</v>
      </c>
      <c r="H94" t="s">
        <v>6</v>
      </c>
      <c r="I94" s="8">
        <v>66.346199999999996</v>
      </c>
      <c r="J94" t="s">
        <v>6</v>
      </c>
      <c r="K94" s="8">
        <v>60.965000000000003</v>
      </c>
      <c r="L94" t="s">
        <v>6</v>
      </c>
      <c r="M94" s="8">
        <v>59.024999999999999</v>
      </c>
      <c r="N94" t="s">
        <v>6</v>
      </c>
      <c r="O94" s="8">
        <v>70.2941</v>
      </c>
      <c r="P94" t="s">
        <v>6</v>
      </c>
      <c r="Q94" s="8">
        <v>89.630399999999995</v>
      </c>
      <c r="R94" t="s">
        <v>6</v>
      </c>
      <c r="S94" s="8">
        <v>78.822550000000007</v>
      </c>
      <c r="T94" t="s">
        <v>6</v>
      </c>
      <c r="U94" s="8">
        <v>168.8</v>
      </c>
      <c r="V94" t="s">
        <v>6</v>
      </c>
      <c r="W94" s="8">
        <v>81.357533459999999</v>
      </c>
      <c r="X94" t="s">
        <v>6</v>
      </c>
      <c r="Y94" s="8">
        <v>101.38019</v>
      </c>
      <c r="Z94" t="s">
        <v>6</v>
      </c>
      <c r="AA94" s="8">
        <v>71.843000000000004</v>
      </c>
      <c r="AB94" t="s">
        <v>6</v>
      </c>
      <c r="AC94" s="8">
        <v>56.100999999999999</v>
      </c>
      <c r="AD94" t="s">
        <v>6</v>
      </c>
      <c r="AE94" s="8">
        <v>90.2654</v>
      </c>
      <c r="AF94" t="s">
        <v>6</v>
      </c>
      <c r="AG94" s="8">
        <v>77.918240960000006</v>
      </c>
      <c r="AH94" t="s">
        <v>6</v>
      </c>
      <c r="AI94" s="8">
        <v>73.980994010000003</v>
      </c>
      <c r="AJ94" t="s">
        <v>6</v>
      </c>
      <c r="AK94" s="8">
        <v>77.105689999999996</v>
      </c>
      <c r="AL94" t="s">
        <v>6</v>
      </c>
    </row>
    <row r="95" spans="1:40" x14ac:dyDescent="0.2">
      <c r="A95" s="7" t="s">
        <v>54</v>
      </c>
      <c r="B95" t="s">
        <v>6</v>
      </c>
      <c r="C95" s="8">
        <v>23.799220009999999</v>
      </c>
      <c r="D95" s="10">
        <f t="shared" si="12"/>
        <v>0.98453863569696176</v>
      </c>
      <c r="E95" s="8">
        <v>53.489510000000003</v>
      </c>
      <c r="F95" s="10">
        <f t="shared" si="13"/>
        <v>0.98794233865769387</v>
      </c>
      <c r="G95" s="8">
        <v>75.55198</v>
      </c>
      <c r="H95" t="s">
        <v>6</v>
      </c>
      <c r="I95" s="8">
        <v>66.357200000000006</v>
      </c>
      <c r="J95" t="s">
        <v>6</v>
      </c>
      <c r="K95" s="8">
        <v>61.139000000000003</v>
      </c>
      <c r="L95" t="s">
        <v>6</v>
      </c>
      <c r="M95" s="8">
        <v>58.930999999999997</v>
      </c>
      <c r="N95" t="s">
        <v>6</v>
      </c>
      <c r="O95" s="8">
        <v>70.696799999999996</v>
      </c>
      <c r="P95" t="s">
        <v>6</v>
      </c>
      <c r="Q95" s="8">
        <v>89.593699999999998</v>
      </c>
      <c r="R95" t="s">
        <v>6</v>
      </c>
      <c r="S95" s="8">
        <v>78.526110000000003</v>
      </c>
      <c r="T95" t="s">
        <v>6</v>
      </c>
      <c r="U95" s="8">
        <v>168.8</v>
      </c>
      <c r="V95" t="s">
        <v>6</v>
      </c>
      <c r="W95" s="8">
        <v>82.178839139999994</v>
      </c>
      <c r="X95" t="s">
        <v>6</v>
      </c>
      <c r="Y95" s="8">
        <v>100.86320000000001</v>
      </c>
      <c r="Z95" t="s">
        <v>6</v>
      </c>
      <c r="AA95" s="8">
        <v>71.572999999999993</v>
      </c>
      <c r="AB95" t="s">
        <v>6</v>
      </c>
      <c r="AC95" s="8">
        <v>57.021999999999998</v>
      </c>
      <c r="AD95" t="s">
        <v>6</v>
      </c>
      <c r="AE95" s="8">
        <v>90.2898</v>
      </c>
      <c r="AF95" t="s">
        <v>6</v>
      </c>
      <c r="AG95" s="8">
        <v>77.060310790000003</v>
      </c>
      <c r="AH95" t="s">
        <v>6</v>
      </c>
      <c r="AI95" s="8">
        <v>74.378331840000001</v>
      </c>
      <c r="AJ95" t="s">
        <v>6</v>
      </c>
      <c r="AK95" s="8">
        <v>78.566850000000002</v>
      </c>
      <c r="AL95" t="s">
        <v>6</v>
      </c>
    </row>
    <row r="96" spans="1:40" x14ac:dyDescent="0.2">
      <c r="A96" s="7" t="s">
        <v>55</v>
      </c>
      <c r="B96" t="s">
        <v>6</v>
      </c>
      <c r="C96" s="8">
        <v>24.002771030000002</v>
      </c>
      <c r="D96" s="10">
        <f t="shared" si="12"/>
        <v>0.99295924122274459</v>
      </c>
      <c r="E96" s="8">
        <v>53.739579999999997</v>
      </c>
      <c r="F96" s="10">
        <f t="shared" si="13"/>
        <v>0.99256108989748137</v>
      </c>
      <c r="G96" s="8">
        <v>75.801310000000001</v>
      </c>
      <c r="H96" t="s">
        <v>6</v>
      </c>
      <c r="I96" s="8">
        <v>66.186999999999998</v>
      </c>
      <c r="J96" t="s">
        <v>6</v>
      </c>
      <c r="K96" s="8">
        <v>61.051000000000002</v>
      </c>
      <c r="L96" t="s">
        <v>6</v>
      </c>
      <c r="M96" s="8">
        <v>59.039000000000001</v>
      </c>
      <c r="N96" t="s">
        <v>6</v>
      </c>
      <c r="O96" s="8">
        <v>70.943399999999997</v>
      </c>
      <c r="P96" t="s">
        <v>6</v>
      </c>
      <c r="Q96" s="8">
        <v>89.244299999999996</v>
      </c>
      <c r="R96" t="s">
        <v>6</v>
      </c>
      <c r="S96" s="8">
        <v>78.510509999999996</v>
      </c>
      <c r="T96" t="s">
        <v>6</v>
      </c>
      <c r="U96" s="8">
        <v>169</v>
      </c>
      <c r="V96" t="s">
        <v>6</v>
      </c>
      <c r="W96" s="8">
        <v>82.538117270000001</v>
      </c>
      <c r="X96" t="s">
        <v>6</v>
      </c>
      <c r="Y96" s="8">
        <v>101.22632</v>
      </c>
      <c r="Z96" t="s">
        <v>6</v>
      </c>
      <c r="AA96" s="8">
        <v>71.775999999999996</v>
      </c>
      <c r="AB96" t="s">
        <v>6</v>
      </c>
      <c r="AC96" s="8">
        <v>58.149000000000001</v>
      </c>
      <c r="AD96" t="s">
        <v>6</v>
      </c>
      <c r="AE96" s="8">
        <v>90.322500000000005</v>
      </c>
      <c r="AF96" t="s">
        <v>6</v>
      </c>
      <c r="AG96" s="8">
        <v>77.139853979999998</v>
      </c>
      <c r="AH96" t="s">
        <v>6</v>
      </c>
      <c r="AI96" s="8">
        <v>74.229330149999996</v>
      </c>
      <c r="AJ96" t="s">
        <v>6</v>
      </c>
      <c r="AK96" s="8">
        <v>79.151380000000003</v>
      </c>
      <c r="AL96" t="s">
        <v>6</v>
      </c>
    </row>
    <row r="97" spans="1:40" x14ac:dyDescent="0.2">
      <c r="A97" s="7" t="s">
        <v>56</v>
      </c>
      <c r="B97" t="s">
        <v>6</v>
      </c>
      <c r="C97" s="8">
        <v>24.172967060000001</v>
      </c>
      <c r="D97" s="10">
        <f t="shared" si="12"/>
        <v>1</v>
      </c>
      <c r="E97" s="8">
        <v>54.142339999999997</v>
      </c>
      <c r="F97" s="10">
        <f t="shared" si="13"/>
        <v>1</v>
      </c>
      <c r="G97" s="8">
        <v>76.036289999999994</v>
      </c>
      <c r="H97" t="s">
        <v>6</v>
      </c>
      <c r="I97" s="8">
        <v>66.0749</v>
      </c>
      <c r="J97" t="s">
        <v>6</v>
      </c>
      <c r="K97" s="8">
        <v>61.195</v>
      </c>
      <c r="L97" t="s">
        <v>6</v>
      </c>
      <c r="M97" s="8">
        <v>59.640999999999998</v>
      </c>
      <c r="N97" t="s">
        <v>6</v>
      </c>
      <c r="O97" s="8">
        <v>71.0608</v>
      </c>
      <c r="P97" t="s">
        <v>6</v>
      </c>
      <c r="Q97" s="8">
        <v>89.8005</v>
      </c>
      <c r="R97" t="s">
        <v>6</v>
      </c>
      <c r="S97" s="8">
        <v>78.957769999999996</v>
      </c>
      <c r="T97" t="s">
        <v>6</v>
      </c>
      <c r="U97" s="8">
        <v>169.9</v>
      </c>
      <c r="V97" t="s">
        <v>6</v>
      </c>
      <c r="W97" s="8">
        <v>82.971181889999997</v>
      </c>
      <c r="X97" t="s">
        <v>6</v>
      </c>
      <c r="Y97" s="8">
        <v>101.95873</v>
      </c>
      <c r="Z97" t="s">
        <v>6</v>
      </c>
      <c r="AA97" s="8">
        <v>71.843000000000004</v>
      </c>
      <c r="AB97" t="s">
        <v>6</v>
      </c>
      <c r="AC97" s="8">
        <v>59.249000000000002</v>
      </c>
      <c r="AD97" t="s">
        <v>6</v>
      </c>
      <c r="AE97" s="8">
        <v>90.069699999999997</v>
      </c>
      <c r="AF97" t="s">
        <v>6</v>
      </c>
      <c r="AG97" s="8">
        <v>77.634158119999995</v>
      </c>
      <c r="AH97" t="s">
        <v>6</v>
      </c>
      <c r="AI97" s="8">
        <v>74.255819340000002</v>
      </c>
      <c r="AJ97" t="s">
        <v>6</v>
      </c>
      <c r="AK97" s="8">
        <v>80.187479999999994</v>
      </c>
      <c r="AL97" t="s">
        <v>6</v>
      </c>
    </row>
    <row r="98" spans="1:40" x14ac:dyDescent="0.2">
      <c r="A98" s="7" t="s">
        <v>57</v>
      </c>
      <c r="B98" t="s">
        <v>6</v>
      </c>
      <c r="C98" s="8">
        <v>24.409873080000001</v>
      </c>
      <c r="D98" s="10">
        <f t="shared" si="12"/>
        <v>1.0098004526879953</v>
      </c>
      <c r="E98" s="8">
        <v>54.551740000000002</v>
      </c>
      <c r="F98" s="10">
        <f t="shared" si="13"/>
        <v>1.0075615497963333</v>
      </c>
      <c r="G98" s="8">
        <v>76.401259999999994</v>
      </c>
      <c r="H98" t="s">
        <v>6</v>
      </c>
      <c r="I98" s="8">
        <v>66.138999999999996</v>
      </c>
      <c r="J98" t="s">
        <v>6</v>
      </c>
      <c r="K98" s="8">
        <v>61.334000000000003</v>
      </c>
      <c r="L98" t="s">
        <v>6</v>
      </c>
      <c r="M98" s="8">
        <v>60.244</v>
      </c>
      <c r="N98" t="s">
        <v>6</v>
      </c>
      <c r="O98" s="8">
        <v>71.038200000000003</v>
      </c>
      <c r="P98" t="s">
        <v>6</v>
      </c>
      <c r="Q98" s="8">
        <v>90.586500000000001</v>
      </c>
      <c r="R98" t="s">
        <v>6</v>
      </c>
      <c r="S98" s="8">
        <v>79.977119999999999</v>
      </c>
      <c r="T98" t="s">
        <v>6</v>
      </c>
      <c r="U98" s="8">
        <v>171.3</v>
      </c>
      <c r="V98" t="s">
        <v>6</v>
      </c>
      <c r="W98" s="8">
        <v>83.45113886</v>
      </c>
      <c r="X98" t="s">
        <v>6</v>
      </c>
      <c r="Y98" s="8">
        <v>103.38661999999999</v>
      </c>
      <c r="Z98" t="s">
        <v>6</v>
      </c>
      <c r="AA98" s="8">
        <v>72.248000000000005</v>
      </c>
      <c r="AB98" t="s">
        <v>6</v>
      </c>
      <c r="AC98" s="8">
        <v>60.844000000000001</v>
      </c>
      <c r="AD98" t="s">
        <v>6</v>
      </c>
      <c r="AE98" s="8">
        <v>90.094200000000001</v>
      </c>
      <c r="AF98" t="s">
        <v>6</v>
      </c>
      <c r="AG98" s="8">
        <v>78.208005450000002</v>
      </c>
      <c r="AH98" t="s">
        <v>6</v>
      </c>
      <c r="AI98" s="8">
        <v>74.533955829999996</v>
      </c>
      <c r="AJ98" t="s">
        <v>6</v>
      </c>
      <c r="AK98" s="8">
        <v>81.661320000000003</v>
      </c>
      <c r="AL98" t="s">
        <v>6</v>
      </c>
    </row>
    <row r="99" spans="1:40" x14ac:dyDescent="0.2">
      <c r="A99" s="7" t="s">
        <v>64</v>
      </c>
      <c r="B99" t="s">
        <v>6</v>
      </c>
      <c r="C99" t="s">
        <v>45</v>
      </c>
      <c r="D99" s="11">
        <f>SUM(D100:D111)</f>
        <v>11.657017114386006</v>
      </c>
      <c r="E99" t="s">
        <v>45</v>
      </c>
      <c r="F99" s="11">
        <f>SUM(F100:F111)</f>
        <v>11.442442882249562</v>
      </c>
      <c r="G99" t="s">
        <v>45</v>
      </c>
      <c r="H99" t="s">
        <v>6</v>
      </c>
      <c r="I99" t="s">
        <v>45</v>
      </c>
      <c r="J99" t="s">
        <v>6</v>
      </c>
      <c r="K99" t="s">
        <v>45</v>
      </c>
      <c r="L99" t="s">
        <v>6</v>
      </c>
      <c r="M99" t="s">
        <v>45</v>
      </c>
      <c r="N99" t="s">
        <v>6</v>
      </c>
      <c r="O99" t="s">
        <v>45</v>
      </c>
      <c r="P99" t="s">
        <v>6</v>
      </c>
      <c r="Q99" t="s">
        <v>45</v>
      </c>
      <c r="R99" t="s">
        <v>6</v>
      </c>
      <c r="S99" t="s">
        <v>45</v>
      </c>
      <c r="T99" t="s">
        <v>6</v>
      </c>
      <c r="U99" t="s">
        <v>45</v>
      </c>
      <c r="V99" t="s">
        <v>6</v>
      </c>
      <c r="W99" t="s">
        <v>45</v>
      </c>
      <c r="X99" t="s">
        <v>6</v>
      </c>
      <c r="Y99" t="s">
        <v>45</v>
      </c>
      <c r="Z99" t="s">
        <v>6</v>
      </c>
      <c r="AA99" t="s">
        <v>45</v>
      </c>
      <c r="AB99" t="s">
        <v>6</v>
      </c>
      <c r="AC99" t="s">
        <v>45</v>
      </c>
      <c r="AD99" t="s">
        <v>6</v>
      </c>
      <c r="AE99" t="s">
        <v>45</v>
      </c>
      <c r="AF99" t="s">
        <v>6</v>
      </c>
      <c r="AG99" t="s">
        <v>45</v>
      </c>
      <c r="AH99" t="s">
        <v>6</v>
      </c>
      <c r="AI99" t="s">
        <v>45</v>
      </c>
      <c r="AJ99" t="s">
        <v>6</v>
      </c>
      <c r="AK99" t="s">
        <v>45</v>
      </c>
      <c r="AL99" t="s">
        <v>6</v>
      </c>
      <c r="AM99" t="s">
        <v>45</v>
      </c>
      <c r="AN99" t="s">
        <v>6</v>
      </c>
    </row>
    <row r="100" spans="1:40" x14ac:dyDescent="0.2">
      <c r="A100" s="7" t="s">
        <v>46</v>
      </c>
      <c r="B100" t="s">
        <v>6</v>
      </c>
      <c r="C100" s="8">
        <v>24.68954192</v>
      </c>
      <c r="D100" s="10">
        <f t="shared" ref="D100:D111" si="14">C100/C$110</f>
        <v>0.9410920943643194</v>
      </c>
      <c r="E100" s="8">
        <v>55.332909999999998</v>
      </c>
      <c r="F100" s="10">
        <f t="shared" ref="F100:F111" si="15">E100/E$110</f>
        <v>0.91362164150665504</v>
      </c>
      <c r="G100" s="8">
        <v>76.737430000000003</v>
      </c>
      <c r="H100" t="s">
        <v>6</v>
      </c>
      <c r="I100" s="8">
        <v>66.341200000000001</v>
      </c>
      <c r="J100" t="s">
        <v>6</v>
      </c>
      <c r="K100" s="8">
        <v>61.804000000000002</v>
      </c>
      <c r="L100" t="s">
        <v>6</v>
      </c>
      <c r="M100" s="8">
        <v>60.82</v>
      </c>
      <c r="N100" t="s">
        <v>6</v>
      </c>
      <c r="O100" s="8">
        <v>71.249099999999999</v>
      </c>
      <c r="P100" t="s">
        <v>6</v>
      </c>
      <c r="Q100" s="8">
        <v>91.643699999999995</v>
      </c>
      <c r="R100" t="s">
        <v>6</v>
      </c>
      <c r="S100" s="8">
        <v>81.032870000000003</v>
      </c>
      <c r="T100" t="s">
        <v>6</v>
      </c>
      <c r="U100" s="8">
        <v>172.4</v>
      </c>
      <c r="V100" t="s">
        <v>6</v>
      </c>
      <c r="W100" s="8">
        <v>83.882134710000003</v>
      </c>
      <c r="X100" t="s">
        <v>6</v>
      </c>
      <c r="Y100" s="8">
        <v>104.03287</v>
      </c>
      <c r="Z100" t="s">
        <v>6</v>
      </c>
      <c r="AA100" s="8">
        <v>72.384</v>
      </c>
      <c r="AB100" t="s">
        <v>6</v>
      </c>
      <c r="AC100" s="8">
        <v>60.212000000000003</v>
      </c>
      <c r="AD100" t="s">
        <v>6</v>
      </c>
      <c r="AE100" s="8">
        <v>90.1023</v>
      </c>
      <c r="AF100" t="s">
        <v>6</v>
      </c>
      <c r="AG100" s="8">
        <v>78.938098350000004</v>
      </c>
      <c r="AH100" t="s">
        <v>6</v>
      </c>
      <c r="AI100" s="8">
        <v>75.855104139999995</v>
      </c>
      <c r="AJ100" t="s">
        <v>6</v>
      </c>
      <c r="AK100" s="8">
        <v>83.294550000000001</v>
      </c>
      <c r="AL100" t="s">
        <v>6</v>
      </c>
    </row>
    <row r="101" spans="1:40" x14ac:dyDescent="0.2">
      <c r="A101" s="7" t="s">
        <v>47</v>
      </c>
      <c r="B101" t="s">
        <v>6</v>
      </c>
      <c r="C101" s="8">
        <v>24.763949230000001</v>
      </c>
      <c r="D101" s="10">
        <f t="shared" si="14"/>
        <v>0.9439282802859057</v>
      </c>
      <c r="E101" s="8">
        <v>55.79542</v>
      </c>
      <c r="F101" s="10">
        <f t="shared" si="15"/>
        <v>0.92125831099346212</v>
      </c>
      <c r="G101" s="8">
        <v>77.075069999999997</v>
      </c>
      <c r="H101" t="s">
        <v>6</v>
      </c>
      <c r="I101" s="8">
        <v>66.229100000000003</v>
      </c>
      <c r="J101" t="s">
        <v>6</v>
      </c>
      <c r="K101" s="8">
        <v>62.527999999999999</v>
      </c>
      <c r="L101" t="s">
        <v>6</v>
      </c>
      <c r="M101" s="8">
        <v>61.034999999999997</v>
      </c>
      <c r="N101" t="s">
        <v>6</v>
      </c>
      <c r="O101" s="8">
        <v>71.297200000000004</v>
      </c>
      <c r="P101" t="s">
        <v>6</v>
      </c>
      <c r="Q101" s="8">
        <v>91.436800000000005</v>
      </c>
      <c r="R101" t="s">
        <v>6</v>
      </c>
      <c r="S101" s="8">
        <v>81.31371</v>
      </c>
      <c r="T101" t="s">
        <v>6</v>
      </c>
      <c r="U101" s="8">
        <v>173.9</v>
      </c>
      <c r="V101" t="s">
        <v>6</v>
      </c>
      <c r="W101" s="8">
        <v>84.116596439999995</v>
      </c>
      <c r="X101" t="s">
        <v>6</v>
      </c>
      <c r="Y101" s="8">
        <v>105.33766</v>
      </c>
      <c r="Z101" t="s">
        <v>6</v>
      </c>
      <c r="AA101" s="8">
        <v>72.585999999999999</v>
      </c>
      <c r="AB101" t="s">
        <v>6</v>
      </c>
      <c r="AC101" s="8">
        <v>60.033000000000001</v>
      </c>
      <c r="AD101" t="s">
        <v>6</v>
      </c>
      <c r="AE101" s="8">
        <v>90.338800000000006</v>
      </c>
      <c r="AF101" t="s">
        <v>6</v>
      </c>
      <c r="AG101" s="8">
        <v>79.179568759999995</v>
      </c>
      <c r="AH101" t="s">
        <v>6</v>
      </c>
      <c r="AI101" s="8">
        <v>76.318664940000005</v>
      </c>
      <c r="AJ101" t="s">
        <v>6</v>
      </c>
      <c r="AK101" s="8">
        <v>84.436520000000002</v>
      </c>
      <c r="AL101" t="s">
        <v>6</v>
      </c>
    </row>
    <row r="102" spans="1:40" x14ac:dyDescent="0.2">
      <c r="A102" s="7" t="s">
        <v>48</v>
      </c>
      <c r="B102" t="s">
        <v>6</v>
      </c>
      <c r="C102" s="8">
        <v>24.953816150000002</v>
      </c>
      <c r="D102" s="10">
        <f t="shared" si="14"/>
        <v>0.9511654440199383</v>
      </c>
      <c r="E102" s="8">
        <v>55.963160000000002</v>
      </c>
      <c r="F102" s="10">
        <f t="shared" si="15"/>
        <v>0.92402792665521438</v>
      </c>
      <c r="G102" s="8">
        <v>77.360249999999994</v>
      </c>
      <c r="H102" t="s">
        <v>6</v>
      </c>
      <c r="I102" s="8">
        <v>66.511399999999995</v>
      </c>
      <c r="J102" t="s">
        <v>6</v>
      </c>
      <c r="K102" s="8">
        <v>63.286999999999999</v>
      </c>
      <c r="L102" t="s">
        <v>6</v>
      </c>
      <c r="M102" s="8">
        <v>61.478999999999999</v>
      </c>
      <c r="N102" t="s">
        <v>6</v>
      </c>
      <c r="O102" s="8">
        <v>71.365600000000001</v>
      </c>
      <c r="P102" t="s">
        <v>6</v>
      </c>
      <c r="Q102" s="8">
        <v>92.002200000000002</v>
      </c>
      <c r="R102" t="s">
        <v>6</v>
      </c>
      <c r="S102" s="8">
        <v>82.015810000000002</v>
      </c>
      <c r="T102" t="s">
        <v>6</v>
      </c>
      <c r="U102" s="8">
        <v>175.2</v>
      </c>
      <c r="V102" t="s">
        <v>6</v>
      </c>
      <c r="W102" s="8">
        <v>84.298649089999998</v>
      </c>
      <c r="X102" t="s">
        <v>6</v>
      </c>
      <c r="Y102" s="8">
        <v>106.53783</v>
      </c>
      <c r="Z102" t="s">
        <v>6</v>
      </c>
      <c r="AA102" s="8">
        <v>73.194000000000003</v>
      </c>
      <c r="AB102" t="s">
        <v>6</v>
      </c>
      <c r="AC102" s="8">
        <v>59.456000000000003</v>
      </c>
      <c r="AD102" t="s">
        <v>6</v>
      </c>
      <c r="AE102" s="8">
        <v>90.648600000000002</v>
      </c>
      <c r="AF102" t="s">
        <v>6</v>
      </c>
      <c r="AG102" s="8">
        <v>79.804551009999997</v>
      </c>
      <c r="AH102" t="s">
        <v>6</v>
      </c>
      <c r="AI102" s="8">
        <v>77.004072710000003</v>
      </c>
      <c r="AJ102" t="s">
        <v>6</v>
      </c>
      <c r="AK102" s="8">
        <v>83.812529999999995</v>
      </c>
      <c r="AL102" t="s">
        <v>6</v>
      </c>
    </row>
    <row r="103" spans="1:40" x14ac:dyDescent="0.2">
      <c r="A103" s="7" t="s">
        <v>49</v>
      </c>
      <c r="B103" t="s">
        <v>6</v>
      </c>
      <c r="C103" s="8">
        <v>25.139406789999999</v>
      </c>
      <c r="D103" s="10">
        <f t="shared" si="14"/>
        <v>0.95823960864631919</v>
      </c>
      <c r="E103" s="8">
        <v>55.817549999999997</v>
      </c>
      <c r="F103" s="10">
        <f t="shared" si="15"/>
        <v>0.92162370740811916</v>
      </c>
      <c r="G103" s="8">
        <v>77.553650000000005</v>
      </c>
      <c r="H103" t="s">
        <v>6</v>
      </c>
      <c r="I103" s="8">
        <v>66.8947</v>
      </c>
      <c r="J103" t="s">
        <v>6</v>
      </c>
      <c r="K103" s="8">
        <v>63.856000000000002</v>
      </c>
      <c r="L103" t="s">
        <v>6</v>
      </c>
      <c r="M103" s="8">
        <v>62.045999999999999</v>
      </c>
      <c r="N103" t="s">
        <v>6</v>
      </c>
      <c r="O103" s="8">
        <v>71.358800000000002</v>
      </c>
      <c r="P103" t="s">
        <v>6</v>
      </c>
      <c r="Q103" s="8">
        <v>92.066599999999994</v>
      </c>
      <c r="R103" t="s">
        <v>6</v>
      </c>
      <c r="S103" s="8">
        <v>82.208240000000004</v>
      </c>
      <c r="T103" t="s">
        <v>6</v>
      </c>
      <c r="U103" s="8">
        <v>176.2</v>
      </c>
      <c r="V103" t="s">
        <v>6</v>
      </c>
      <c r="W103" s="8">
        <v>84.248308769999994</v>
      </c>
      <c r="X103" t="s">
        <v>6</v>
      </c>
      <c r="Y103" s="8">
        <v>107.68876</v>
      </c>
      <c r="Z103" t="s">
        <v>6</v>
      </c>
      <c r="AA103" s="8">
        <v>73.665999999999997</v>
      </c>
      <c r="AB103" t="s">
        <v>6</v>
      </c>
      <c r="AC103" s="8">
        <v>60.018999999999998</v>
      </c>
      <c r="AD103" t="s">
        <v>6</v>
      </c>
      <c r="AE103" s="8">
        <v>90.811599999999999</v>
      </c>
      <c r="AF103" t="s">
        <v>6</v>
      </c>
      <c r="AG103" s="8">
        <v>80.45225988</v>
      </c>
      <c r="AH103" t="s">
        <v>6</v>
      </c>
      <c r="AI103" s="8">
        <v>77.944438930000004</v>
      </c>
      <c r="AJ103" t="s">
        <v>6</v>
      </c>
      <c r="AK103" s="8">
        <v>84.994290000000007</v>
      </c>
      <c r="AL103" t="s">
        <v>6</v>
      </c>
    </row>
    <row r="104" spans="1:40" x14ac:dyDescent="0.2">
      <c r="A104" s="7" t="s">
        <v>50</v>
      </c>
      <c r="B104" t="s">
        <v>6</v>
      </c>
      <c r="C104" s="8">
        <v>25.24374808</v>
      </c>
      <c r="D104" s="10">
        <f t="shared" si="14"/>
        <v>0.9622167890838077</v>
      </c>
      <c r="E104" s="8">
        <v>56.072040000000001</v>
      </c>
      <c r="F104" s="10">
        <f t="shared" si="15"/>
        <v>0.9258256836198715</v>
      </c>
      <c r="G104" s="8">
        <v>77.770799999999994</v>
      </c>
      <c r="H104" t="s">
        <v>6</v>
      </c>
      <c r="I104" s="8">
        <v>67.310100000000006</v>
      </c>
      <c r="J104" t="s">
        <v>6</v>
      </c>
      <c r="K104" s="8">
        <v>64.046999999999997</v>
      </c>
      <c r="L104" t="s">
        <v>6</v>
      </c>
      <c r="M104" s="8">
        <v>62.69</v>
      </c>
      <c r="N104" t="s">
        <v>6</v>
      </c>
      <c r="O104" s="8">
        <v>71.380300000000005</v>
      </c>
      <c r="P104" t="s">
        <v>6</v>
      </c>
      <c r="Q104" s="8">
        <v>91.694199999999995</v>
      </c>
      <c r="R104" t="s">
        <v>6</v>
      </c>
      <c r="S104" s="8">
        <v>81.995009999999994</v>
      </c>
      <c r="T104" t="s">
        <v>6</v>
      </c>
      <c r="U104" s="8">
        <v>176.9</v>
      </c>
      <c r="V104" t="s">
        <v>6</v>
      </c>
      <c r="W104" s="8">
        <v>83.837311139999997</v>
      </c>
      <c r="X104" t="s">
        <v>6</v>
      </c>
      <c r="Y104" s="8">
        <v>108.75351999999999</v>
      </c>
      <c r="Z104" t="s">
        <v>6</v>
      </c>
      <c r="AA104" s="8">
        <v>74.072000000000003</v>
      </c>
      <c r="AB104" t="s">
        <v>6</v>
      </c>
      <c r="AC104" s="8">
        <v>60.348999999999997</v>
      </c>
      <c r="AD104" t="s">
        <v>6</v>
      </c>
      <c r="AE104" s="8">
        <v>91.256600000000006</v>
      </c>
      <c r="AF104" t="s">
        <v>6</v>
      </c>
      <c r="AG104" s="8">
        <v>81.307349220000006</v>
      </c>
      <c r="AH104" t="s">
        <v>6</v>
      </c>
      <c r="AI104" s="8">
        <v>78.537134530000003</v>
      </c>
      <c r="AJ104" t="s">
        <v>6</v>
      </c>
      <c r="AK104" s="8">
        <v>86.468090000000004</v>
      </c>
      <c r="AL104" t="s">
        <v>6</v>
      </c>
    </row>
    <row r="105" spans="1:40" x14ac:dyDescent="0.2">
      <c r="A105" s="7" t="s">
        <v>51</v>
      </c>
      <c r="B105" t="s">
        <v>6</v>
      </c>
      <c r="C105" s="8">
        <v>25.354931409999999</v>
      </c>
      <c r="D105" s="10">
        <f t="shared" si="14"/>
        <v>0.96645476778860251</v>
      </c>
      <c r="E105" s="8">
        <v>56.54562</v>
      </c>
      <c r="F105" s="10">
        <f t="shared" si="15"/>
        <v>0.93364513387081116</v>
      </c>
      <c r="G105" s="8">
        <v>77.988560000000007</v>
      </c>
      <c r="H105" t="s">
        <v>6</v>
      </c>
      <c r="I105" s="8">
        <v>67.937799999999996</v>
      </c>
      <c r="J105" t="s">
        <v>6</v>
      </c>
      <c r="K105" s="8">
        <v>64.126000000000005</v>
      </c>
      <c r="L105" t="s">
        <v>6</v>
      </c>
      <c r="M105" s="8">
        <v>63.046999999999997</v>
      </c>
      <c r="N105" t="s">
        <v>6</v>
      </c>
      <c r="O105" s="8">
        <v>71.656899999999993</v>
      </c>
      <c r="P105" t="s">
        <v>6</v>
      </c>
      <c r="Q105" s="8">
        <v>92.301000000000002</v>
      </c>
      <c r="R105" t="s">
        <v>6</v>
      </c>
      <c r="S105" s="8">
        <v>82.364260000000002</v>
      </c>
      <c r="T105" t="s">
        <v>6</v>
      </c>
      <c r="U105" s="8">
        <v>177.6</v>
      </c>
      <c r="V105" t="s">
        <v>6</v>
      </c>
      <c r="W105" s="8">
        <v>83.937991769999996</v>
      </c>
      <c r="X105" t="s">
        <v>6</v>
      </c>
      <c r="Y105" s="8">
        <v>109.79982</v>
      </c>
      <c r="Z105" t="s">
        <v>6</v>
      </c>
      <c r="AA105" s="8">
        <v>74.409000000000006</v>
      </c>
      <c r="AB105" t="s">
        <v>6</v>
      </c>
      <c r="AC105" s="8">
        <v>59.936999999999998</v>
      </c>
      <c r="AD105" t="s">
        <v>6</v>
      </c>
      <c r="AE105" s="8">
        <v>91.685500000000005</v>
      </c>
      <c r="AF105" t="s">
        <v>6</v>
      </c>
      <c r="AG105" s="8">
        <v>81.634044489999994</v>
      </c>
      <c r="AH105" t="s">
        <v>6</v>
      </c>
      <c r="AI105" s="8">
        <v>78.643091290000001</v>
      </c>
      <c r="AJ105" t="s">
        <v>6</v>
      </c>
      <c r="AK105" s="8">
        <v>87.995109999999997</v>
      </c>
      <c r="AL105" t="s">
        <v>6</v>
      </c>
    </row>
    <row r="106" spans="1:40" x14ac:dyDescent="0.2">
      <c r="A106" s="7" t="s">
        <v>52</v>
      </c>
      <c r="B106" t="s">
        <v>6</v>
      </c>
      <c r="C106" s="8">
        <v>25.482364610000001</v>
      </c>
      <c r="D106" s="10">
        <f t="shared" si="14"/>
        <v>0.97131214333117588</v>
      </c>
      <c r="E106" s="8">
        <v>58.059280000000001</v>
      </c>
      <c r="F106" s="10">
        <f t="shared" si="15"/>
        <v>0.95863772026980887</v>
      </c>
      <c r="G106" s="8">
        <v>78.175730000000001</v>
      </c>
      <c r="H106" t="s">
        <v>6</v>
      </c>
      <c r="I106" s="8">
        <v>68.704499999999996</v>
      </c>
      <c r="J106" t="s">
        <v>6</v>
      </c>
      <c r="K106" s="8">
        <v>64.230999999999995</v>
      </c>
      <c r="L106" t="s">
        <v>6</v>
      </c>
      <c r="M106" s="8">
        <v>63.631999999999998</v>
      </c>
      <c r="N106" t="s">
        <v>6</v>
      </c>
      <c r="O106" s="8">
        <v>71.956400000000002</v>
      </c>
      <c r="P106" t="s">
        <v>6</v>
      </c>
      <c r="Q106" s="8">
        <v>92.962900000000005</v>
      </c>
      <c r="R106" t="s">
        <v>6</v>
      </c>
      <c r="S106" s="8">
        <v>82.957149999999999</v>
      </c>
      <c r="T106" t="s">
        <v>6</v>
      </c>
      <c r="U106" s="8">
        <v>178.8</v>
      </c>
      <c r="V106" t="s">
        <v>6</v>
      </c>
      <c r="W106" s="8">
        <v>84.294511529999994</v>
      </c>
      <c r="X106" t="s">
        <v>6</v>
      </c>
      <c r="Y106" s="8">
        <v>110.53223</v>
      </c>
      <c r="Z106" t="s">
        <v>6</v>
      </c>
      <c r="AA106" s="8">
        <v>74.747</v>
      </c>
      <c r="AB106" t="s">
        <v>6</v>
      </c>
      <c r="AC106" s="8">
        <v>60.183999999999997</v>
      </c>
      <c r="AD106" t="s">
        <v>6</v>
      </c>
      <c r="AE106" s="8">
        <v>92.124899999999997</v>
      </c>
      <c r="AF106" t="s">
        <v>6</v>
      </c>
      <c r="AG106" s="8">
        <v>81.844265789999994</v>
      </c>
      <c r="AH106" t="s">
        <v>6</v>
      </c>
      <c r="AI106" s="8">
        <v>79.292076420000001</v>
      </c>
      <c r="AJ106" t="s">
        <v>6</v>
      </c>
      <c r="AK106" s="8">
        <v>88.433329999999998</v>
      </c>
      <c r="AL106" t="s">
        <v>6</v>
      </c>
    </row>
    <row r="107" spans="1:40" x14ac:dyDescent="0.2">
      <c r="A107" s="7" t="s">
        <v>53</v>
      </c>
      <c r="B107" t="s">
        <v>6</v>
      </c>
      <c r="C107" s="8">
        <v>25.631179230000001</v>
      </c>
      <c r="D107" s="10">
        <f t="shared" si="14"/>
        <v>0.97698451517434814</v>
      </c>
      <c r="E107" s="8">
        <v>58.982089999999999</v>
      </c>
      <c r="F107" s="10">
        <f t="shared" si="15"/>
        <v>0.97387456913603976</v>
      </c>
      <c r="G107" s="8">
        <v>78.54316</v>
      </c>
      <c r="H107" t="s">
        <v>6</v>
      </c>
      <c r="I107" s="8">
        <v>69.450100000000006</v>
      </c>
      <c r="J107" t="s">
        <v>6</v>
      </c>
      <c r="K107" s="8">
        <v>64.146000000000001</v>
      </c>
      <c r="L107" t="s">
        <v>6</v>
      </c>
      <c r="M107" s="8">
        <v>64.081999999999994</v>
      </c>
      <c r="N107" t="s">
        <v>6</v>
      </c>
      <c r="O107" s="8">
        <v>72.008899999999997</v>
      </c>
      <c r="P107" t="s">
        <v>6</v>
      </c>
      <c r="Q107" s="8">
        <v>92.820400000000006</v>
      </c>
      <c r="R107" t="s">
        <v>6</v>
      </c>
      <c r="S107" s="8">
        <v>83.716459999999998</v>
      </c>
      <c r="T107" t="s">
        <v>6</v>
      </c>
      <c r="U107" s="8">
        <v>180.1</v>
      </c>
      <c r="V107" t="s">
        <v>6</v>
      </c>
      <c r="W107" s="8">
        <v>84.637929009999993</v>
      </c>
      <c r="X107" t="s">
        <v>6</v>
      </c>
      <c r="Y107" s="8">
        <v>110.58762</v>
      </c>
      <c r="Z107" t="s">
        <v>6</v>
      </c>
      <c r="AA107" s="8">
        <v>74.882000000000005</v>
      </c>
      <c r="AB107" t="s">
        <v>6</v>
      </c>
      <c r="AC107" s="8">
        <v>62.22</v>
      </c>
      <c r="AD107" t="s">
        <v>6</v>
      </c>
      <c r="AE107" s="8">
        <v>92.251000000000005</v>
      </c>
      <c r="AF107" t="s">
        <v>6</v>
      </c>
      <c r="AG107" s="8">
        <v>81.318712540000007</v>
      </c>
      <c r="AH107" t="s">
        <v>6</v>
      </c>
      <c r="AI107" s="8">
        <v>80.662891959999996</v>
      </c>
      <c r="AJ107" t="s">
        <v>6</v>
      </c>
      <c r="AK107" s="8">
        <v>89.37603</v>
      </c>
      <c r="AL107" t="s">
        <v>6</v>
      </c>
    </row>
    <row r="108" spans="1:40" x14ac:dyDescent="0.2">
      <c r="A108" s="7" t="s">
        <v>54</v>
      </c>
      <c r="B108" t="s">
        <v>6</v>
      </c>
      <c r="C108" s="8">
        <v>25.836440759999999</v>
      </c>
      <c r="D108" s="10">
        <f t="shared" si="14"/>
        <v>0.9848084757721608</v>
      </c>
      <c r="E108" s="8">
        <v>59.094949999999997</v>
      </c>
      <c r="F108" s="10">
        <f t="shared" si="15"/>
        <v>0.97573804131670827</v>
      </c>
      <c r="G108" s="8">
        <v>78.684539999999998</v>
      </c>
      <c r="H108" t="s">
        <v>6</v>
      </c>
      <c r="I108" s="8">
        <v>70.237899999999996</v>
      </c>
      <c r="J108" t="s">
        <v>6</v>
      </c>
      <c r="K108" s="8">
        <v>64.198999999999998</v>
      </c>
      <c r="L108" t="s">
        <v>6</v>
      </c>
      <c r="M108" s="8">
        <v>64.486000000000004</v>
      </c>
      <c r="N108" t="s">
        <v>6</v>
      </c>
      <c r="O108" s="8">
        <v>72.520300000000006</v>
      </c>
      <c r="P108" t="s">
        <v>6</v>
      </c>
      <c r="Q108" s="8">
        <v>93.445499999999996</v>
      </c>
      <c r="R108" t="s">
        <v>6</v>
      </c>
      <c r="S108" s="8">
        <v>84.283339999999995</v>
      </c>
      <c r="T108" t="s">
        <v>6</v>
      </c>
      <c r="U108" s="8">
        <v>180.8</v>
      </c>
      <c r="V108" t="s">
        <v>6</v>
      </c>
      <c r="W108" s="8">
        <v>85.295111469999995</v>
      </c>
      <c r="X108" t="s">
        <v>6</v>
      </c>
      <c r="Y108" s="8">
        <v>111.83087</v>
      </c>
      <c r="Z108" t="s">
        <v>6</v>
      </c>
      <c r="AA108" s="8">
        <v>75.287000000000006</v>
      </c>
      <c r="AB108" t="s">
        <v>6</v>
      </c>
      <c r="AC108" s="8">
        <v>62.783000000000001</v>
      </c>
      <c r="AD108" t="s">
        <v>6</v>
      </c>
      <c r="AE108" s="8">
        <v>92.816000000000003</v>
      </c>
      <c r="AF108" t="s">
        <v>6</v>
      </c>
      <c r="AG108" s="8">
        <v>82.310161640000004</v>
      </c>
      <c r="AH108" t="s">
        <v>6</v>
      </c>
      <c r="AI108" s="8">
        <v>80.997317969999997</v>
      </c>
      <c r="AJ108" t="s">
        <v>6</v>
      </c>
      <c r="AK108" s="8">
        <v>90.557580000000002</v>
      </c>
      <c r="AL108" t="s">
        <v>6</v>
      </c>
    </row>
    <row r="109" spans="1:40" x14ac:dyDescent="0.2">
      <c r="A109" s="7" t="s">
        <v>55</v>
      </c>
      <c r="B109" t="s">
        <v>6</v>
      </c>
      <c r="C109" s="8">
        <v>26.01262358</v>
      </c>
      <c r="D109" s="10">
        <f t="shared" si="14"/>
        <v>0.99152404220924006</v>
      </c>
      <c r="E109" s="8">
        <v>59.829650000000001</v>
      </c>
      <c r="F109" s="10">
        <f t="shared" si="15"/>
        <v>0.98786893810155019</v>
      </c>
      <c r="G109" s="8">
        <v>78.920590000000004</v>
      </c>
      <c r="H109" t="s">
        <v>6</v>
      </c>
      <c r="I109" s="8">
        <v>70.456100000000006</v>
      </c>
      <c r="J109" t="s">
        <v>6</v>
      </c>
      <c r="K109" s="8">
        <v>64.203000000000003</v>
      </c>
      <c r="L109" t="s">
        <v>6</v>
      </c>
      <c r="M109" s="8">
        <v>64.855000000000004</v>
      </c>
      <c r="N109" t="s">
        <v>6</v>
      </c>
      <c r="O109" s="8">
        <v>72.617999999999995</v>
      </c>
      <c r="P109" t="s">
        <v>6</v>
      </c>
      <c r="Q109" s="8">
        <v>94.111999999999995</v>
      </c>
      <c r="R109" t="s">
        <v>6</v>
      </c>
      <c r="S109" s="8">
        <v>84.569379999999995</v>
      </c>
      <c r="T109" t="s">
        <v>6</v>
      </c>
      <c r="U109" s="8">
        <v>183</v>
      </c>
      <c r="V109" t="s">
        <v>6</v>
      </c>
      <c r="W109" s="8">
        <v>85.62749547</v>
      </c>
      <c r="X109" t="s">
        <v>6</v>
      </c>
      <c r="Y109" s="8">
        <v>114.15119</v>
      </c>
      <c r="Z109" t="s">
        <v>6</v>
      </c>
      <c r="AA109" s="8">
        <v>75.691999999999993</v>
      </c>
      <c r="AB109" t="s">
        <v>6</v>
      </c>
      <c r="AC109" s="8">
        <v>65.106999999999999</v>
      </c>
      <c r="AD109" t="s">
        <v>6</v>
      </c>
      <c r="AE109" s="8">
        <v>93.107500000000002</v>
      </c>
      <c r="AF109" t="s">
        <v>6</v>
      </c>
      <c r="AG109" s="8">
        <v>82.702195959999997</v>
      </c>
      <c r="AH109" t="s">
        <v>6</v>
      </c>
      <c r="AI109" s="8">
        <v>80.811893650000002</v>
      </c>
      <c r="AJ109" t="s">
        <v>6</v>
      </c>
      <c r="AK109" s="8">
        <v>92.77534</v>
      </c>
      <c r="AL109" t="s">
        <v>6</v>
      </c>
    </row>
    <row r="110" spans="1:40" x14ac:dyDescent="0.2">
      <c r="A110" s="7" t="s">
        <v>56</v>
      </c>
      <c r="B110" t="s">
        <v>6</v>
      </c>
      <c r="C110" s="8">
        <v>26.234990249999999</v>
      </c>
      <c r="D110" s="10">
        <f t="shared" si="14"/>
        <v>1</v>
      </c>
      <c r="E110" s="8">
        <v>60.564360000000001</v>
      </c>
      <c r="F110" s="10">
        <f t="shared" si="15"/>
        <v>1</v>
      </c>
      <c r="G110" s="8">
        <v>79.220489999999998</v>
      </c>
      <c r="H110" t="s">
        <v>6</v>
      </c>
      <c r="I110" s="8">
        <v>70.988600000000005</v>
      </c>
      <c r="J110" t="s">
        <v>6</v>
      </c>
      <c r="K110" s="8">
        <v>64.507000000000005</v>
      </c>
      <c r="L110" t="s">
        <v>6</v>
      </c>
      <c r="M110" s="8">
        <v>65.656000000000006</v>
      </c>
      <c r="N110" t="s">
        <v>6</v>
      </c>
      <c r="O110" s="8">
        <v>72.979299999999995</v>
      </c>
      <c r="P110" t="s">
        <v>6</v>
      </c>
      <c r="Q110" s="8">
        <v>95.394400000000005</v>
      </c>
      <c r="R110" t="s">
        <v>6</v>
      </c>
      <c r="S110" s="8">
        <v>86.16601</v>
      </c>
      <c r="T110" t="s">
        <v>6</v>
      </c>
      <c r="U110" s="8">
        <v>186.2</v>
      </c>
      <c r="V110" t="s">
        <v>6</v>
      </c>
      <c r="W110" s="8">
        <v>86.231579240000002</v>
      </c>
      <c r="X110" t="s">
        <v>6</v>
      </c>
      <c r="Y110" s="8">
        <v>118.5518</v>
      </c>
      <c r="Z110" t="s">
        <v>6</v>
      </c>
      <c r="AA110" s="8">
        <v>76.501999999999995</v>
      </c>
      <c r="AB110" t="s">
        <v>6</v>
      </c>
      <c r="AC110" s="8">
        <v>63.65</v>
      </c>
      <c r="AD110" t="s">
        <v>6</v>
      </c>
      <c r="AE110" s="8">
        <v>93.210899999999995</v>
      </c>
      <c r="AF110" t="s">
        <v>6</v>
      </c>
      <c r="AG110" s="8">
        <v>84.190790030000002</v>
      </c>
      <c r="AH110" t="s">
        <v>6</v>
      </c>
      <c r="AI110" s="8">
        <v>80.626469319999998</v>
      </c>
      <c r="AJ110" t="s">
        <v>6</v>
      </c>
      <c r="AK110" s="8">
        <v>96.812920000000005</v>
      </c>
      <c r="AL110" t="s">
        <v>6</v>
      </c>
    </row>
    <row r="111" spans="1:40" x14ac:dyDescent="0.2">
      <c r="A111" s="7" t="s">
        <v>57</v>
      </c>
      <c r="B111" t="s">
        <v>6</v>
      </c>
      <c r="C111" s="8">
        <v>26.478738329999999</v>
      </c>
      <c r="D111" s="10">
        <f t="shared" si="14"/>
        <v>1.0092909537101886</v>
      </c>
      <c r="E111" s="8">
        <v>60.947200000000002</v>
      </c>
      <c r="F111" s="10">
        <f t="shared" si="15"/>
        <v>1.0063212093713201</v>
      </c>
      <c r="G111" s="8">
        <v>79.806719999999999</v>
      </c>
      <c r="H111" t="s">
        <v>6</v>
      </c>
      <c r="I111" s="8">
        <v>71.313800000000001</v>
      </c>
      <c r="J111" t="s">
        <v>6</v>
      </c>
      <c r="K111" s="8">
        <v>64.825999999999993</v>
      </c>
      <c r="L111" t="s">
        <v>6</v>
      </c>
      <c r="M111" s="8">
        <v>66.756</v>
      </c>
      <c r="N111" t="s">
        <v>6</v>
      </c>
      <c r="O111" s="8">
        <v>73.3964</v>
      </c>
      <c r="P111" t="s">
        <v>6</v>
      </c>
      <c r="Q111" s="8">
        <v>94.985299999999995</v>
      </c>
      <c r="R111" t="s">
        <v>6</v>
      </c>
      <c r="S111" s="8">
        <v>86.972120000000004</v>
      </c>
      <c r="T111" t="s">
        <v>6</v>
      </c>
      <c r="U111" s="8">
        <v>186.5</v>
      </c>
      <c r="V111" t="s">
        <v>6</v>
      </c>
      <c r="W111" s="8">
        <v>86.588099</v>
      </c>
      <c r="X111" t="s">
        <v>6</v>
      </c>
      <c r="Y111" s="8">
        <v>120.17049</v>
      </c>
      <c r="Z111" t="s">
        <v>6</v>
      </c>
      <c r="AA111" s="8">
        <v>76.84</v>
      </c>
      <c r="AB111" t="s">
        <v>6</v>
      </c>
      <c r="AC111" s="8">
        <v>64.474999999999994</v>
      </c>
      <c r="AD111" t="s">
        <v>6</v>
      </c>
      <c r="AE111" s="8">
        <v>93.633200000000002</v>
      </c>
      <c r="AF111" t="s">
        <v>6</v>
      </c>
      <c r="AG111" s="8">
        <v>85.150990030000003</v>
      </c>
      <c r="AH111" t="s">
        <v>6</v>
      </c>
      <c r="AI111" s="8">
        <v>80.871494319999996</v>
      </c>
      <c r="AJ111" t="s">
        <v>6</v>
      </c>
      <c r="AK111" s="8">
        <v>100</v>
      </c>
      <c r="AL111" t="s">
        <v>6</v>
      </c>
    </row>
    <row r="112" spans="1:40" x14ac:dyDescent="0.2">
      <c r="A112" s="7" t="s">
        <v>65</v>
      </c>
      <c r="B112" t="s">
        <v>6</v>
      </c>
      <c r="C112" t="s">
        <v>45</v>
      </c>
      <c r="D112" s="11">
        <f>SUM(D113:D124)</f>
        <v>11.734699428794791</v>
      </c>
      <c r="E112" t="s">
        <v>45</v>
      </c>
      <c r="F112" s="11">
        <f>SUM(F113:F124)</f>
        <v>11.63934580065688</v>
      </c>
      <c r="G112" t="s">
        <v>45</v>
      </c>
      <c r="H112" t="s">
        <v>6</v>
      </c>
      <c r="I112" t="s">
        <v>45</v>
      </c>
      <c r="J112" t="s">
        <v>6</v>
      </c>
      <c r="K112" t="s">
        <v>45</v>
      </c>
      <c r="L112" t="s">
        <v>6</v>
      </c>
      <c r="M112" t="s">
        <v>45</v>
      </c>
      <c r="N112" t="s">
        <v>6</v>
      </c>
      <c r="O112" t="s">
        <v>45</v>
      </c>
      <c r="P112" t="s">
        <v>6</v>
      </c>
      <c r="Q112" t="s">
        <v>45</v>
      </c>
      <c r="R112" t="s">
        <v>6</v>
      </c>
      <c r="S112" t="s">
        <v>45</v>
      </c>
      <c r="T112" t="s">
        <v>6</v>
      </c>
      <c r="U112" t="s">
        <v>45</v>
      </c>
      <c r="V112" t="s">
        <v>6</v>
      </c>
      <c r="W112" t="s">
        <v>45</v>
      </c>
      <c r="X112" t="s">
        <v>6</v>
      </c>
      <c r="Y112" t="s">
        <v>45</v>
      </c>
      <c r="Z112" t="s">
        <v>6</v>
      </c>
      <c r="AA112" t="s">
        <v>45</v>
      </c>
      <c r="AB112" t="s">
        <v>6</v>
      </c>
      <c r="AC112" t="s">
        <v>45</v>
      </c>
      <c r="AD112" t="s">
        <v>6</v>
      </c>
      <c r="AE112" t="s">
        <v>45</v>
      </c>
      <c r="AF112" t="s">
        <v>6</v>
      </c>
      <c r="AG112" t="s">
        <v>45</v>
      </c>
      <c r="AH112" t="s">
        <v>6</v>
      </c>
      <c r="AI112" t="s">
        <v>45</v>
      </c>
      <c r="AJ112" t="s">
        <v>6</v>
      </c>
      <c r="AK112" t="s">
        <v>45</v>
      </c>
      <c r="AL112" t="s">
        <v>6</v>
      </c>
      <c r="AM112" t="s">
        <v>45</v>
      </c>
      <c r="AN112" t="s">
        <v>6</v>
      </c>
    </row>
    <row r="113" spans="1:40" x14ac:dyDescent="0.2">
      <c r="A113" s="7" t="s">
        <v>46</v>
      </c>
      <c r="B113" t="s">
        <v>6</v>
      </c>
      <c r="C113" s="8">
        <v>26.72419691</v>
      </c>
      <c r="D113" s="10">
        <f t="shared" ref="D113:D124" si="16">C113/C$123</f>
        <v>0.94438903485335635</v>
      </c>
      <c r="E113" s="8">
        <v>61.613300000000002</v>
      </c>
      <c r="F113" s="10">
        <f t="shared" ref="F113:F124" si="17">E113/E$123</f>
        <v>0.90766034019603292</v>
      </c>
      <c r="G113" s="8">
        <v>80.237679999999997</v>
      </c>
      <c r="H113" t="s">
        <v>6</v>
      </c>
      <c r="I113" s="8">
        <v>71.930499999999995</v>
      </c>
      <c r="J113" t="s">
        <v>6</v>
      </c>
      <c r="K113" s="8">
        <v>65.510000000000005</v>
      </c>
      <c r="L113" t="s">
        <v>6</v>
      </c>
      <c r="M113" s="8">
        <v>67.242000000000004</v>
      </c>
      <c r="N113" t="s">
        <v>6</v>
      </c>
      <c r="O113" s="8">
        <v>74.234700000000004</v>
      </c>
      <c r="P113" t="s">
        <v>6</v>
      </c>
      <c r="Q113" s="8">
        <v>95.987300000000005</v>
      </c>
      <c r="R113" t="s">
        <v>6</v>
      </c>
      <c r="S113" s="8">
        <v>87.830250000000007</v>
      </c>
      <c r="T113" t="s">
        <v>6</v>
      </c>
      <c r="U113" s="8">
        <v>187.7</v>
      </c>
      <c r="V113" t="s">
        <v>6</v>
      </c>
      <c r="W113" s="8">
        <v>86.989442330000003</v>
      </c>
      <c r="X113" t="s">
        <v>6</v>
      </c>
      <c r="Y113" s="8">
        <v>121.70916</v>
      </c>
      <c r="Z113" t="s">
        <v>6</v>
      </c>
      <c r="AA113" s="8">
        <v>77.92</v>
      </c>
      <c r="AB113" t="s">
        <v>6</v>
      </c>
      <c r="AC113" s="8">
        <v>65.506</v>
      </c>
      <c r="AD113" t="s">
        <v>6</v>
      </c>
      <c r="AE113" s="8">
        <v>93.841099999999997</v>
      </c>
      <c r="AF113" t="s">
        <v>6</v>
      </c>
      <c r="AG113" s="8">
        <v>86.079940910000005</v>
      </c>
      <c r="AH113" t="s">
        <v>6</v>
      </c>
      <c r="AI113" s="8">
        <v>81.500612559999993</v>
      </c>
      <c r="AJ113" t="s">
        <v>6</v>
      </c>
      <c r="AK113" s="8">
        <v>103.1</v>
      </c>
      <c r="AL113" t="s">
        <v>6</v>
      </c>
    </row>
    <row r="114" spans="1:40" x14ac:dyDescent="0.2">
      <c r="A114" s="7" t="s">
        <v>47</v>
      </c>
      <c r="B114" t="s">
        <v>6</v>
      </c>
      <c r="C114" s="8">
        <v>26.849919610000001</v>
      </c>
      <c r="D114" s="10">
        <f t="shared" si="16"/>
        <v>0.94883186768055083</v>
      </c>
      <c r="E114" s="8">
        <v>63.226550000000003</v>
      </c>
      <c r="F114" s="10">
        <f t="shared" si="17"/>
        <v>0.9314260375993737</v>
      </c>
      <c r="G114" s="8">
        <v>80.630840000000006</v>
      </c>
      <c r="H114" t="s">
        <v>6</v>
      </c>
      <c r="I114" s="8">
        <v>72.220299999999995</v>
      </c>
      <c r="J114" t="s">
        <v>6</v>
      </c>
      <c r="K114" s="8">
        <v>66.5</v>
      </c>
      <c r="L114" t="s">
        <v>6</v>
      </c>
      <c r="M114" s="8">
        <v>67.991</v>
      </c>
      <c r="N114" t="s">
        <v>6</v>
      </c>
      <c r="O114" s="8">
        <v>74.935199999999995</v>
      </c>
      <c r="P114" t="s">
        <v>6</v>
      </c>
      <c r="Q114" s="8">
        <v>96.759500000000003</v>
      </c>
      <c r="R114" t="s">
        <v>6</v>
      </c>
      <c r="S114" s="8">
        <v>88.438739999999996</v>
      </c>
      <c r="T114" t="s">
        <v>6</v>
      </c>
      <c r="U114" s="8">
        <v>189.7</v>
      </c>
      <c r="V114" t="s">
        <v>6</v>
      </c>
      <c r="W114" s="8">
        <v>87.248039829999996</v>
      </c>
      <c r="X114" t="s">
        <v>6</v>
      </c>
      <c r="Y114" s="8">
        <v>124.81113000000001</v>
      </c>
      <c r="Z114" t="s">
        <v>6</v>
      </c>
      <c r="AA114" s="8">
        <v>78.662999999999997</v>
      </c>
      <c r="AB114" t="s">
        <v>6</v>
      </c>
      <c r="AC114" s="8">
        <v>66.343999999999994</v>
      </c>
      <c r="AD114" t="s">
        <v>6</v>
      </c>
      <c r="AE114" s="8">
        <v>94.692300000000003</v>
      </c>
      <c r="AF114" t="s">
        <v>6</v>
      </c>
      <c r="AG114" s="8">
        <v>86.051532629999997</v>
      </c>
      <c r="AH114" t="s">
        <v>6</v>
      </c>
      <c r="AI114" s="8">
        <v>82.245621009999994</v>
      </c>
      <c r="AJ114" t="s">
        <v>6</v>
      </c>
      <c r="AK114" s="8">
        <v>105.3</v>
      </c>
      <c r="AL114" t="s">
        <v>6</v>
      </c>
    </row>
    <row r="115" spans="1:40" x14ac:dyDescent="0.2">
      <c r="A115" s="7" t="s">
        <v>48</v>
      </c>
      <c r="B115" t="s">
        <v>6</v>
      </c>
      <c r="C115" s="8">
        <v>27.15353563</v>
      </c>
      <c r="D115" s="10">
        <f t="shared" si="16"/>
        <v>0.9595611569856497</v>
      </c>
      <c r="E115" s="8">
        <v>63.844459999999998</v>
      </c>
      <c r="F115" s="10">
        <f t="shared" si="17"/>
        <v>0.94052881899252294</v>
      </c>
      <c r="G115" s="8">
        <v>81.017870000000002</v>
      </c>
      <c r="H115" t="s">
        <v>6</v>
      </c>
      <c r="I115" s="8">
        <v>72.821899999999999</v>
      </c>
      <c r="J115" t="s">
        <v>6</v>
      </c>
      <c r="K115" s="8">
        <v>67.037000000000006</v>
      </c>
      <c r="L115" t="s">
        <v>6</v>
      </c>
      <c r="M115" s="8">
        <v>68.260000000000005</v>
      </c>
      <c r="N115" t="s">
        <v>6</v>
      </c>
      <c r="O115" s="8">
        <v>76.043899999999994</v>
      </c>
      <c r="P115" t="s">
        <v>6</v>
      </c>
      <c r="Q115" s="8">
        <v>97.508700000000005</v>
      </c>
      <c r="R115" t="s">
        <v>6</v>
      </c>
      <c r="S115" s="8">
        <v>89.478880000000004</v>
      </c>
      <c r="T115" t="s">
        <v>6</v>
      </c>
      <c r="U115" s="8">
        <v>191.4</v>
      </c>
      <c r="V115" t="s">
        <v>6</v>
      </c>
      <c r="W115" s="8">
        <v>87.880396930000003</v>
      </c>
      <c r="X115" t="s">
        <v>6</v>
      </c>
      <c r="Y115" s="8">
        <v>126.65754</v>
      </c>
      <c r="Z115" t="s">
        <v>6</v>
      </c>
      <c r="AA115" s="8">
        <v>79.608000000000004</v>
      </c>
      <c r="AB115" t="s">
        <v>6</v>
      </c>
      <c r="AC115" s="8">
        <v>66.796000000000006</v>
      </c>
      <c r="AD115" t="s">
        <v>6</v>
      </c>
      <c r="AE115" s="8">
        <v>95.678799999999995</v>
      </c>
      <c r="AF115" t="s">
        <v>6</v>
      </c>
      <c r="AG115" s="8">
        <v>87.523081730000001</v>
      </c>
      <c r="AH115" t="s">
        <v>6</v>
      </c>
      <c r="AI115" s="8">
        <v>83.185987220000001</v>
      </c>
      <c r="AJ115" t="s">
        <v>6</v>
      </c>
      <c r="AK115" s="8">
        <v>107.1</v>
      </c>
      <c r="AL115" t="s">
        <v>6</v>
      </c>
    </row>
    <row r="116" spans="1:40" x14ac:dyDescent="0.2">
      <c r="A116" s="7" t="s">
        <v>49</v>
      </c>
      <c r="B116" t="s">
        <v>6</v>
      </c>
      <c r="C116" s="8">
        <v>27.378468059999999</v>
      </c>
      <c r="D116" s="10">
        <f t="shared" si="16"/>
        <v>0.96750989801574705</v>
      </c>
      <c r="E116" s="8">
        <v>64.315240000000003</v>
      </c>
      <c r="F116" s="10">
        <f t="shared" si="17"/>
        <v>0.94746414521198352</v>
      </c>
      <c r="G116" s="8">
        <v>81.463470000000001</v>
      </c>
      <c r="H116" t="s">
        <v>6</v>
      </c>
      <c r="I116" s="8">
        <v>73.100800000000007</v>
      </c>
      <c r="J116" t="s">
        <v>6</v>
      </c>
      <c r="K116" s="8">
        <v>67.513999999999996</v>
      </c>
      <c r="L116" t="s">
        <v>6</v>
      </c>
      <c r="M116" s="8">
        <v>68.834000000000003</v>
      </c>
      <c r="N116" t="s">
        <v>6</v>
      </c>
      <c r="O116" s="8">
        <v>77.198499999999996</v>
      </c>
      <c r="P116" t="s">
        <v>6</v>
      </c>
      <c r="Q116" s="8">
        <v>98.317700000000002</v>
      </c>
      <c r="R116" t="s">
        <v>6</v>
      </c>
      <c r="S116" s="8">
        <v>90.73227</v>
      </c>
      <c r="T116" t="s">
        <v>6</v>
      </c>
      <c r="U116" s="8">
        <v>193.3</v>
      </c>
      <c r="V116" t="s">
        <v>6</v>
      </c>
      <c r="W116" s="8">
        <v>88.080378999999994</v>
      </c>
      <c r="X116" t="s">
        <v>6</v>
      </c>
      <c r="Y116" s="8">
        <v>128.43009000000001</v>
      </c>
      <c r="Z116" t="s">
        <v>6</v>
      </c>
      <c r="AA116" s="8">
        <v>79.945999999999998</v>
      </c>
      <c r="AB116" t="s">
        <v>6</v>
      </c>
      <c r="AC116" s="8">
        <v>67.311000000000007</v>
      </c>
      <c r="AD116" t="s">
        <v>6</v>
      </c>
      <c r="AE116" s="8">
        <v>95.826400000000007</v>
      </c>
      <c r="AF116" t="s">
        <v>6</v>
      </c>
      <c r="AG116" s="8">
        <v>89.167921370000002</v>
      </c>
      <c r="AH116" t="s">
        <v>6</v>
      </c>
      <c r="AI116" s="8">
        <v>83.460812559999994</v>
      </c>
      <c r="AJ116" t="s">
        <v>6</v>
      </c>
      <c r="AK116" s="8">
        <v>108.9</v>
      </c>
      <c r="AL116" t="s">
        <v>6</v>
      </c>
    </row>
    <row r="117" spans="1:40" x14ac:dyDescent="0.2">
      <c r="A117" s="7" t="s">
        <v>50</v>
      </c>
      <c r="B117" t="s">
        <v>6</v>
      </c>
      <c r="C117" s="8">
        <v>27.531558960000002</v>
      </c>
      <c r="D117" s="10">
        <f t="shared" si="16"/>
        <v>0.97291987788465506</v>
      </c>
      <c r="E117" s="8">
        <v>65.515749999999997</v>
      </c>
      <c r="F117" s="10">
        <f t="shared" si="17"/>
        <v>0.9651495364344751</v>
      </c>
      <c r="G117" s="8">
        <v>82.107029999999995</v>
      </c>
      <c r="H117" t="s">
        <v>6</v>
      </c>
      <c r="I117" s="8">
        <v>73.944999999999993</v>
      </c>
      <c r="J117" t="s">
        <v>6</v>
      </c>
      <c r="K117" s="8">
        <v>68.143000000000001</v>
      </c>
      <c r="L117" t="s">
        <v>6</v>
      </c>
      <c r="M117" s="8">
        <v>70.150000000000006</v>
      </c>
      <c r="N117" t="s">
        <v>6</v>
      </c>
      <c r="O117" s="8">
        <v>78.008200000000002</v>
      </c>
      <c r="P117" t="s">
        <v>6</v>
      </c>
      <c r="Q117" s="8">
        <v>99.3887</v>
      </c>
      <c r="R117" t="s">
        <v>6</v>
      </c>
      <c r="S117" s="8">
        <v>92.032449999999997</v>
      </c>
      <c r="T117" t="s">
        <v>6</v>
      </c>
      <c r="U117" s="8">
        <v>196.8</v>
      </c>
      <c r="V117" t="s">
        <v>6</v>
      </c>
      <c r="W117" s="8">
        <v>87.985215120000007</v>
      </c>
      <c r="X117" t="s">
        <v>6</v>
      </c>
      <c r="Y117" s="8">
        <v>131.79056</v>
      </c>
      <c r="Z117" t="s">
        <v>6</v>
      </c>
      <c r="AA117" s="8">
        <v>80.620999999999995</v>
      </c>
      <c r="AB117" t="s">
        <v>6</v>
      </c>
      <c r="AC117" s="8">
        <v>67.182000000000002</v>
      </c>
      <c r="AD117" t="s">
        <v>6</v>
      </c>
      <c r="AE117" s="8">
        <v>96.180400000000006</v>
      </c>
      <c r="AF117" t="s">
        <v>6</v>
      </c>
      <c r="AG117" s="8">
        <v>89.466208350000002</v>
      </c>
      <c r="AH117" t="s">
        <v>6</v>
      </c>
      <c r="AI117" s="8">
        <v>84.189265259999999</v>
      </c>
      <c r="AJ117" t="s">
        <v>6</v>
      </c>
      <c r="AK117" s="8">
        <v>112.4</v>
      </c>
      <c r="AL117" t="s">
        <v>6</v>
      </c>
    </row>
    <row r="118" spans="1:40" x14ac:dyDescent="0.2">
      <c r="A118" s="7" t="s">
        <v>51</v>
      </c>
      <c r="B118" t="s">
        <v>6</v>
      </c>
      <c r="C118" s="8">
        <v>27.706886520000001</v>
      </c>
      <c r="D118" s="10">
        <f t="shared" si="16"/>
        <v>0.97911566463660926</v>
      </c>
      <c r="E118" s="8">
        <v>66.339619999999996</v>
      </c>
      <c r="F118" s="10">
        <f t="shared" si="17"/>
        <v>0.97728643097635648</v>
      </c>
      <c r="G118" s="8">
        <v>82.714619999999996</v>
      </c>
      <c r="H118" t="s">
        <v>6</v>
      </c>
      <c r="I118" s="8">
        <v>75.046099999999996</v>
      </c>
      <c r="J118" t="s">
        <v>6</v>
      </c>
      <c r="K118" s="8">
        <v>68.73</v>
      </c>
      <c r="L118" t="s">
        <v>6</v>
      </c>
      <c r="M118" s="8">
        <v>71.126999999999995</v>
      </c>
      <c r="N118" t="s">
        <v>6</v>
      </c>
      <c r="O118" s="8">
        <v>78.598500000000001</v>
      </c>
      <c r="P118" t="s">
        <v>6</v>
      </c>
      <c r="Q118" s="8">
        <v>100.6251</v>
      </c>
      <c r="R118" t="s">
        <v>6</v>
      </c>
      <c r="S118" s="8">
        <v>93.530270000000002</v>
      </c>
      <c r="T118" t="s">
        <v>6</v>
      </c>
      <c r="U118" s="8">
        <v>199.2</v>
      </c>
      <c r="V118" t="s">
        <v>6</v>
      </c>
      <c r="W118" s="8">
        <v>88.349320410000004</v>
      </c>
      <c r="X118" t="s">
        <v>6</v>
      </c>
      <c r="Y118" s="8">
        <v>134.71404000000001</v>
      </c>
      <c r="Z118" t="s">
        <v>6</v>
      </c>
      <c r="AA118" s="8">
        <v>81.566999999999993</v>
      </c>
      <c r="AB118" t="s">
        <v>6</v>
      </c>
      <c r="AC118" s="8">
        <v>67.956000000000003</v>
      </c>
      <c r="AD118" t="s">
        <v>6</v>
      </c>
      <c r="AE118" s="8">
        <v>96.920599999999993</v>
      </c>
      <c r="AF118" t="s">
        <v>6</v>
      </c>
      <c r="AG118" s="8">
        <v>91.596829639999996</v>
      </c>
      <c r="AH118" t="s">
        <v>6</v>
      </c>
      <c r="AI118" s="8">
        <v>85.268699710000007</v>
      </c>
      <c r="AJ118" t="s">
        <v>6</v>
      </c>
      <c r="AK118" s="8">
        <v>115.1</v>
      </c>
      <c r="AL118" t="s">
        <v>6</v>
      </c>
    </row>
    <row r="119" spans="1:40" x14ac:dyDescent="0.2">
      <c r="A119" s="7" t="s">
        <v>52</v>
      </c>
      <c r="B119" t="s">
        <v>6</v>
      </c>
      <c r="C119" s="8">
        <v>27.80780678</v>
      </c>
      <c r="D119" s="10">
        <f t="shared" si="16"/>
        <v>0.9826820201480404</v>
      </c>
      <c r="E119" s="8">
        <v>66.645629999999997</v>
      </c>
      <c r="F119" s="10">
        <f t="shared" si="17"/>
        <v>0.98179443721370119</v>
      </c>
      <c r="G119" s="8">
        <v>83.153009999999995</v>
      </c>
      <c r="H119" t="s">
        <v>6</v>
      </c>
      <c r="I119" s="8">
        <v>75.894599999999997</v>
      </c>
      <c r="J119" t="s">
        <v>6</v>
      </c>
      <c r="K119" s="8">
        <v>69.061000000000007</v>
      </c>
      <c r="L119" t="s">
        <v>6</v>
      </c>
      <c r="M119" s="8">
        <v>72.649000000000001</v>
      </c>
      <c r="N119" t="s">
        <v>6</v>
      </c>
      <c r="O119" s="8">
        <v>79.059299999999993</v>
      </c>
      <c r="P119" t="s">
        <v>6</v>
      </c>
      <c r="Q119" s="8">
        <v>101.9213</v>
      </c>
      <c r="R119" t="s">
        <v>6</v>
      </c>
      <c r="S119" s="8">
        <v>94.70044</v>
      </c>
      <c r="T119" t="s">
        <v>6</v>
      </c>
      <c r="U119" s="8">
        <v>203.4</v>
      </c>
      <c r="V119" t="s">
        <v>6</v>
      </c>
      <c r="W119" s="8">
        <v>88.841690060000005</v>
      </c>
      <c r="X119" t="s">
        <v>6</v>
      </c>
      <c r="Y119" s="8">
        <v>136.22809000000001</v>
      </c>
      <c r="Z119" t="s">
        <v>6</v>
      </c>
      <c r="AA119" s="8">
        <v>81.903999999999996</v>
      </c>
      <c r="AB119" t="s">
        <v>6</v>
      </c>
      <c r="AC119" s="8">
        <v>68.278999999999996</v>
      </c>
      <c r="AD119" t="s">
        <v>6</v>
      </c>
      <c r="AE119" s="8">
        <v>97.459000000000003</v>
      </c>
      <c r="AF119" t="s">
        <v>6</v>
      </c>
      <c r="AG119" s="8">
        <v>93.079742049999993</v>
      </c>
      <c r="AH119" t="s">
        <v>6</v>
      </c>
      <c r="AI119" s="8">
        <v>85.649481809999997</v>
      </c>
      <c r="AJ119" t="s">
        <v>6</v>
      </c>
      <c r="AK119" s="8">
        <v>117.3</v>
      </c>
      <c r="AL119" t="s">
        <v>6</v>
      </c>
    </row>
    <row r="120" spans="1:40" x14ac:dyDescent="0.2">
      <c r="A120" s="7" t="s">
        <v>53</v>
      </c>
      <c r="B120" t="s">
        <v>6</v>
      </c>
      <c r="C120" s="8">
        <v>27.939516269999999</v>
      </c>
      <c r="D120" s="10">
        <f t="shared" si="16"/>
        <v>0.98733641625809088</v>
      </c>
      <c r="E120" s="8">
        <v>67.081109999999995</v>
      </c>
      <c r="F120" s="10">
        <f t="shared" si="17"/>
        <v>0.98820973918500554</v>
      </c>
      <c r="G120" s="8">
        <v>83.385840000000002</v>
      </c>
      <c r="H120" t="s">
        <v>6</v>
      </c>
      <c r="I120" s="8">
        <v>76.598100000000002</v>
      </c>
      <c r="J120" t="s">
        <v>6</v>
      </c>
      <c r="K120" s="8">
        <v>69.194000000000003</v>
      </c>
      <c r="L120" t="s">
        <v>6</v>
      </c>
      <c r="M120" s="8">
        <v>73.947999999999993</v>
      </c>
      <c r="N120" t="s">
        <v>6</v>
      </c>
      <c r="O120" s="8">
        <v>79.225200000000001</v>
      </c>
      <c r="P120" t="s">
        <v>6</v>
      </c>
      <c r="Q120" s="8">
        <v>102.0132</v>
      </c>
      <c r="R120" t="s">
        <v>6</v>
      </c>
      <c r="S120" s="8">
        <v>95.17371</v>
      </c>
      <c r="T120" t="s">
        <v>6</v>
      </c>
      <c r="U120" s="8">
        <v>205.3</v>
      </c>
      <c r="V120" t="s">
        <v>6</v>
      </c>
      <c r="W120" s="8">
        <v>89.354747509999996</v>
      </c>
      <c r="X120" t="s">
        <v>6</v>
      </c>
      <c r="Y120" s="8">
        <v>137.00973999999999</v>
      </c>
      <c r="Z120" t="s">
        <v>6</v>
      </c>
      <c r="AA120" s="8">
        <v>82.242000000000004</v>
      </c>
      <c r="AB120" t="s">
        <v>6</v>
      </c>
      <c r="AC120" s="8">
        <v>68.665000000000006</v>
      </c>
      <c r="AD120" t="s">
        <v>6</v>
      </c>
      <c r="AE120" s="8">
        <v>98.034499999999994</v>
      </c>
      <c r="AF120" t="s">
        <v>6</v>
      </c>
      <c r="AG120" s="8">
        <v>93.164966899999996</v>
      </c>
      <c r="AH120" t="s">
        <v>6</v>
      </c>
      <c r="AI120" s="8">
        <v>86.520313900000005</v>
      </c>
      <c r="AJ120" t="s">
        <v>6</v>
      </c>
      <c r="AK120" s="8">
        <v>119.4</v>
      </c>
      <c r="AL120" t="s">
        <v>6</v>
      </c>
    </row>
    <row r="121" spans="1:40" x14ac:dyDescent="0.2">
      <c r="A121" s="7" t="s">
        <v>54</v>
      </c>
      <c r="B121" t="s">
        <v>6</v>
      </c>
      <c r="C121" s="8">
        <v>28.081488830000001</v>
      </c>
      <c r="D121" s="10">
        <f t="shared" si="16"/>
        <v>0.99235349233209225</v>
      </c>
      <c r="E121" s="8">
        <v>67.669589999999999</v>
      </c>
      <c r="F121" s="10">
        <f t="shared" si="17"/>
        <v>0.9968789706171568</v>
      </c>
      <c r="G121" s="8">
        <v>83.602639999999994</v>
      </c>
      <c r="H121" t="s">
        <v>6</v>
      </c>
      <c r="I121" s="8">
        <v>77.415300000000002</v>
      </c>
      <c r="J121" t="s">
        <v>6</v>
      </c>
      <c r="K121" s="8">
        <v>69.061000000000007</v>
      </c>
      <c r="L121" t="s">
        <v>6</v>
      </c>
      <c r="M121" s="8">
        <v>74.650000000000006</v>
      </c>
      <c r="N121" t="s">
        <v>6</v>
      </c>
      <c r="O121" s="8">
        <v>79.747600000000006</v>
      </c>
      <c r="P121" t="s">
        <v>6</v>
      </c>
      <c r="Q121" s="8">
        <v>101.5582</v>
      </c>
      <c r="R121" t="s">
        <v>6</v>
      </c>
      <c r="S121" s="8">
        <v>95.028080000000003</v>
      </c>
      <c r="T121" t="s">
        <v>6</v>
      </c>
      <c r="U121" s="8">
        <v>205.6</v>
      </c>
      <c r="V121" t="s">
        <v>6</v>
      </c>
      <c r="W121" s="8">
        <v>89.963658429999995</v>
      </c>
      <c r="X121" t="s">
        <v>6</v>
      </c>
      <c r="Y121" s="8">
        <v>137.52058</v>
      </c>
      <c r="Z121" t="s">
        <v>6</v>
      </c>
      <c r="AA121" s="8">
        <v>82.849000000000004</v>
      </c>
      <c r="AB121" t="s">
        <v>6</v>
      </c>
      <c r="AC121" s="8">
        <v>68.471999999999994</v>
      </c>
      <c r="AD121" t="s">
        <v>6</v>
      </c>
      <c r="AE121" s="8">
        <v>98.590599999999995</v>
      </c>
      <c r="AF121" t="s">
        <v>6</v>
      </c>
      <c r="AG121" s="8">
        <v>94.309820740000006</v>
      </c>
      <c r="AH121" t="s">
        <v>6</v>
      </c>
      <c r="AI121" s="8">
        <v>87.040164230000002</v>
      </c>
      <c r="AJ121" t="s">
        <v>6</v>
      </c>
      <c r="AK121" s="8">
        <v>121.8</v>
      </c>
      <c r="AL121" t="s">
        <v>6</v>
      </c>
    </row>
    <row r="122" spans="1:40" x14ac:dyDescent="0.2">
      <c r="A122" s="7" t="s">
        <v>55</v>
      </c>
      <c r="B122" t="s">
        <v>6</v>
      </c>
      <c r="C122" s="8">
        <v>28.202079980000001</v>
      </c>
      <c r="D122" s="10">
        <f t="shared" si="16"/>
        <v>0.99661498464723608</v>
      </c>
      <c r="E122" s="8">
        <v>67.793170000000003</v>
      </c>
      <c r="F122" s="10">
        <f t="shared" si="17"/>
        <v>0.99869949743265651</v>
      </c>
      <c r="G122" s="8">
        <v>83.978849999999994</v>
      </c>
      <c r="H122" t="s">
        <v>6</v>
      </c>
      <c r="I122" s="8">
        <v>78.096900000000005</v>
      </c>
      <c r="J122" t="s">
        <v>6</v>
      </c>
      <c r="K122" s="8">
        <v>69.301000000000002</v>
      </c>
      <c r="L122" t="s">
        <v>6</v>
      </c>
      <c r="M122" s="8">
        <v>75.427999999999997</v>
      </c>
      <c r="N122" t="s">
        <v>6</v>
      </c>
      <c r="O122" s="8">
        <v>79.772800000000004</v>
      </c>
      <c r="P122" t="s">
        <v>6</v>
      </c>
      <c r="Q122" s="8">
        <v>101.07559999999999</v>
      </c>
      <c r="R122" t="s">
        <v>6</v>
      </c>
      <c r="S122" s="8">
        <v>95.501350000000002</v>
      </c>
      <c r="T122" t="s">
        <v>6</v>
      </c>
      <c r="U122" s="8">
        <v>206.9</v>
      </c>
      <c r="V122" t="s">
        <v>6</v>
      </c>
      <c r="W122" s="8">
        <v>90.576706920000007</v>
      </c>
      <c r="X122" t="s">
        <v>6</v>
      </c>
      <c r="Y122" s="8">
        <v>137.20669000000001</v>
      </c>
      <c r="Z122" t="s">
        <v>6</v>
      </c>
      <c r="AA122" s="8">
        <v>82.849000000000004</v>
      </c>
      <c r="AB122" t="s">
        <v>6</v>
      </c>
      <c r="AC122" s="8">
        <v>68.665000000000006</v>
      </c>
      <c r="AD122" t="s">
        <v>6</v>
      </c>
      <c r="AE122" s="8">
        <v>99.194999999999993</v>
      </c>
      <c r="AF122" t="s">
        <v>6</v>
      </c>
      <c r="AG122" s="8">
        <v>93.324053289999995</v>
      </c>
      <c r="AH122" t="s">
        <v>6</v>
      </c>
      <c r="AI122" s="8">
        <v>87.328234159999994</v>
      </c>
      <c r="AJ122" t="s">
        <v>6</v>
      </c>
      <c r="AK122" s="8">
        <v>124.7</v>
      </c>
      <c r="AL122" t="s">
        <v>6</v>
      </c>
    </row>
    <row r="123" spans="1:40" x14ac:dyDescent="0.2">
      <c r="A123" s="7" t="s">
        <v>56</v>
      </c>
      <c r="B123" t="s">
        <v>6</v>
      </c>
      <c r="C123" s="8">
        <v>28.297868699999999</v>
      </c>
      <c r="D123" s="10">
        <f t="shared" si="16"/>
        <v>1</v>
      </c>
      <c r="E123" s="8">
        <v>67.881450000000001</v>
      </c>
      <c r="F123" s="10">
        <f t="shared" si="17"/>
        <v>1</v>
      </c>
      <c r="G123" s="8">
        <v>84.281180000000006</v>
      </c>
      <c r="H123" t="s">
        <v>6</v>
      </c>
      <c r="I123" s="8">
        <v>77.995000000000005</v>
      </c>
      <c r="J123" t="s">
        <v>6</v>
      </c>
      <c r="K123" s="8">
        <v>69.494</v>
      </c>
      <c r="L123" t="s">
        <v>6</v>
      </c>
      <c r="M123" s="8">
        <v>76.358000000000004</v>
      </c>
      <c r="N123" t="s">
        <v>6</v>
      </c>
      <c r="O123" s="8">
        <v>79.644599999999997</v>
      </c>
      <c r="P123" t="s">
        <v>6</v>
      </c>
      <c r="Q123" s="8">
        <v>100.4413</v>
      </c>
      <c r="R123" t="s">
        <v>6</v>
      </c>
      <c r="S123" s="8">
        <v>95.511750000000006</v>
      </c>
      <c r="T123" t="s">
        <v>6</v>
      </c>
      <c r="U123" s="8">
        <v>206.5</v>
      </c>
      <c r="V123" t="s">
        <v>6</v>
      </c>
      <c r="W123" s="8">
        <v>91.606269780000005</v>
      </c>
      <c r="X123" t="s">
        <v>6</v>
      </c>
      <c r="Y123" s="8">
        <v>136.62199000000001</v>
      </c>
      <c r="Z123" t="s">
        <v>6</v>
      </c>
      <c r="AA123" s="8">
        <v>82.376999999999995</v>
      </c>
      <c r="AB123" t="s">
        <v>6</v>
      </c>
      <c r="AC123" s="8">
        <v>68.923000000000002</v>
      </c>
      <c r="AD123" t="s">
        <v>6</v>
      </c>
      <c r="AE123" s="8">
        <v>99.501599999999996</v>
      </c>
      <c r="AF123" t="s">
        <v>6</v>
      </c>
      <c r="AG123" s="8">
        <v>90.264481119999999</v>
      </c>
      <c r="AH123" t="s">
        <v>6</v>
      </c>
      <c r="AI123" s="8">
        <v>87.490480450000007</v>
      </c>
      <c r="AJ123" t="s">
        <v>6</v>
      </c>
      <c r="AK123" s="8">
        <v>127.6</v>
      </c>
      <c r="AL123" t="s">
        <v>6</v>
      </c>
    </row>
    <row r="124" spans="1:40" x14ac:dyDescent="0.2">
      <c r="A124" s="7" t="s">
        <v>57</v>
      </c>
      <c r="B124" t="s">
        <v>6</v>
      </c>
      <c r="C124" s="8">
        <v>28.39365742</v>
      </c>
      <c r="D124" s="10">
        <f t="shared" si="16"/>
        <v>1.0033850153527641</v>
      </c>
      <c r="E124" s="8">
        <v>68.169799999999995</v>
      </c>
      <c r="F124" s="10">
        <f t="shared" si="17"/>
        <v>1.0042478467976155</v>
      </c>
      <c r="G124" s="8">
        <v>84.517160000000004</v>
      </c>
      <c r="H124" t="s">
        <v>6</v>
      </c>
      <c r="I124" s="8">
        <v>77.060599999999994</v>
      </c>
      <c r="J124" t="s">
        <v>6</v>
      </c>
      <c r="K124" s="8">
        <v>69.801000000000002</v>
      </c>
      <c r="L124" t="s">
        <v>6</v>
      </c>
      <c r="M124" s="8">
        <v>76.036000000000001</v>
      </c>
      <c r="N124" t="s">
        <v>6</v>
      </c>
      <c r="O124" s="8">
        <v>79.877700000000004</v>
      </c>
      <c r="P124" t="s">
        <v>6</v>
      </c>
      <c r="Q124" s="8">
        <v>100.1931</v>
      </c>
      <c r="R124" t="s">
        <v>6</v>
      </c>
      <c r="S124" s="8">
        <v>95.1477</v>
      </c>
      <c r="T124" t="s">
        <v>6</v>
      </c>
      <c r="U124" s="8">
        <v>206.7</v>
      </c>
      <c r="V124" t="s">
        <v>6</v>
      </c>
      <c r="W124" s="8">
        <v>92.24069566</v>
      </c>
      <c r="X124" t="s">
        <v>6</v>
      </c>
      <c r="Y124" s="8">
        <v>135.41567000000001</v>
      </c>
      <c r="Z124" t="s">
        <v>6</v>
      </c>
      <c r="AA124" s="8">
        <v>82.039000000000001</v>
      </c>
      <c r="AB124" t="s">
        <v>6</v>
      </c>
      <c r="AC124" s="8">
        <v>69.31</v>
      </c>
      <c r="AD124" t="s">
        <v>6</v>
      </c>
      <c r="AE124" s="8">
        <v>99.86</v>
      </c>
      <c r="AF124" t="s">
        <v>6</v>
      </c>
      <c r="AG124" s="8">
        <v>88.997471660000002</v>
      </c>
      <c r="AH124" t="s">
        <v>6</v>
      </c>
      <c r="AI124" s="8">
        <v>88.305023009999999</v>
      </c>
      <c r="AJ124" t="s">
        <v>6</v>
      </c>
      <c r="AK124" s="8">
        <v>130.9</v>
      </c>
      <c r="AL124" t="s">
        <v>6</v>
      </c>
    </row>
    <row r="125" spans="1:40" x14ac:dyDescent="0.2">
      <c r="A125" s="7" t="s">
        <v>66</v>
      </c>
      <c r="B125" t="s">
        <v>6</v>
      </c>
      <c r="C125" t="s">
        <v>45</v>
      </c>
      <c r="D125" s="11">
        <f>SUM(D126:D137)</f>
        <v>11.64775293658567</v>
      </c>
      <c r="E125" t="s">
        <v>45</v>
      </c>
      <c r="F125" s="11">
        <f>SUM(F126:F137)</f>
        <v>11.973852285281817</v>
      </c>
      <c r="G125" t="s">
        <v>45</v>
      </c>
      <c r="H125" t="s">
        <v>6</v>
      </c>
      <c r="I125" t="s">
        <v>45</v>
      </c>
      <c r="J125" t="s">
        <v>6</v>
      </c>
      <c r="K125" t="s">
        <v>45</v>
      </c>
      <c r="L125" t="s">
        <v>6</v>
      </c>
      <c r="M125" t="s">
        <v>45</v>
      </c>
      <c r="N125" t="s">
        <v>6</v>
      </c>
      <c r="O125" t="s">
        <v>45</v>
      </c>
      <c r="P125" t="s">
        <v>6</v>
      </c>
      <c r="Q125" t="s">
        <v>45</v>
      </c>
      <c r="R125" t="s">
        <v>6</v>
      </c>
      <c r="S125" t="s">
        <v>45</v>
      </c>
      <c r="T125" t="s">
        <v>6</v>
      </c>
      <c r="U125" t="s">
        <v>45</v>
      </c>
      <c r="V125" t="s">
        <v>6</v>
      </c>
      <c r="W125" t="s">
        <v>45</v>
      </c>
      <c r="X125" t="s">
        <v>6</v>
      </c>
      <c r="Y125" t="s">
        <v>45</v>
      </c>
      <c r="Z125" t="s">
        <v>6</v>
      </c>
      <c r="AA125" t="s">
        <v>45</v>
      </c>
      <c r="AB125" t="s">
        <v>6</v>
      </c>
      <c r="AC125" t="s">
        <v>45</v>
      </c>
      <c r="AD125" t="s">
        <v>6</v>
      </c>
      <c r="AE125" t="s">
        <v>45</v>
      </c>
      <c r="AF125" t="s">
        <v>6</v>
      </c>
      <c r="AG125" t="s">
        <v>45</v>
      </c>
      <c r="AH125" t="s">
        <v>6</v>
      </c>
      <c r="AI125" t="s">
        <v>45</v>
      </c>
      <c r="AJ125" t="s">
        <v>6</v>
      </c>
      <c r="AK125" t="s">
        <v>45</v>
      </c>
      <c r="AL125" t="s">
        <v>6</v>
      </c>
      <c r="AM125" t="s">
        <v>45</v>
      </c>
      <c r="AN125" t="s">
        <v>6</v>
      </c>
    </row>
    <row r="126" spans="1:40" x14ac:dyDescent="0.2">
      <c r="A126" s="7" t="s">
        <v>46</v>
      </c>
      <c r="B126" t="s">
        <v>6</v>
      </c>
      <c r="C126" s="8">
        <v>28.544182549999999</v>
      </c>
      <c r="D126" s="10">
        <f t="shared" ref="D126:D137" si="18">C126/C$136</f>
        <v>0.94215785926140383</v>
      </c>
      <c r="E126" s="8">
        <v>68.416960000000003</v>
      </c>
      <c r="F126" s="10">
        <f t="shared" ref="F126:F137" si="19">E126/E$136</f>
        <v>1.0032792058579327</v>
      </c>
      <c r="G126" s="8">
        <v>84.922849999999997</v>
      </c>
      <c r="H126" t="s">
        <v>6</v>
      </c>
      <c r="I126" s="8">
        <v>76.475099999999998</v>
      </c>
      <c r="J126" t="s">
        <v>6</v>
      </c>
      <c r="K126" s="8">
        <v>70.212999999999994</v>
      </c>
      <c r="L126" t="s">
        <v>6</v>
      </c>
      <c r="M126" s="8">
        <v>76.322999999999993</v>
      </c>
      <c r="N126" t="s">
        <v>6</v>
      </c>
      <c r="O126" s="8">
        <v>80.442800000000005</v>
      </c>
      <c r="P126" t="s">
        <v>6</v>
      </c>
      <c r="Q126" s="8">
        <v>99.811499999999995</v>
      </c>
      <c r="R126" t="s">
        <v>6</v>
      </c>
      <c r="S126" s="8">
        <v>94.752440000000007</v>
      </c>
      <c r="T126" t="s">
        <v>6</v>
      </c>
      <c r="U126" s="8">
        <v>206.6</v>
      </c>
      <c r="V126" t="s">
        <v>6</v>
      </c>
      <c r="W126" s="8">
        <v>92.454469599999996</v>
      </c>
      <c r="X126" t="s">
        <v>6</v>
      </c>
      <c r="Y126" s="8">
        <v>135.43414000000001</v>
      </c>
      <c r="Z126" t="s">
        <v>6</v>
      </c>
      <c r="AA126" s="8">
        <v>81.769000000000005</v>
      </c>
      <c r="AB126" t="s">
        <v>6</v>
      </c>
      <c r="AC126" s="8">
        <v>69.375</v>
      </c>
      <c r="AD126" t="s">
        <v>6</v>
      </c>
      <c r="AE126" s="8">
        <v>99.965599999999995</v>
      </c>
      <c r="AF126" t="s">
        <v>6</v>
      </c>
      <c r="AG126" s="8">
        <v>89.247464559999997</v>
      </c>
      <c r="AH126" t="s">
        <v>6</v>
      </c>
      <c r="AI126" s="8">
        <v>89.003675369999996</v>
      </c>
      <c r="AJ126" t="s">
        <v>6</v>
      </c>
      <c r="AK126" s="8">
        <v>133.9</v>
      </c>
      <c r="AL126" t="s">
        <v>6</v>
      </c>
    </row>
    <row r="127" spans="1:40" x14ac:dyDescent="0.2">
      <c r="A127" s="7" t="s">
        <v>47</v>
      </c>
      <c r="B127" t="s">
        <v>6</v>
      </c>
      <c r="C127" s="8">
        <v>28.667339470000002</v>
      </c>
      <c r="D127" s="10">
        <f t="shared" si="18"/>
        <v>0.94622289983130559</v>
      </c>
      <c r="E127" s="8">
        <v>68.369889999999998</v>
      </c>
      <c r="F127" s="10">
        <f t="shared" si="19"/>
        <v>1.002588962499857</v>
      </c>
      <c r="G127" s="8">
        <v>85.389920000000004</v>
      </c>
      <c r="H127" t="s">
        <v>6</v>
      </c>
      <c r="I127" s="8">
        <v>76.197000000000003</v>
      </c>
      <c r="J127" t="s">
        <v>6</v>
      </c>
      <c r="K127" s="8">
        <v>70.802000000000007</v>
      </c>
      <c r="L127" t="s">
        <v>6</v>
      </c>
      <c r="M127" s="8">
        <v>76.662999999999997</v>
      </c>
      <c r="N127" t="s">
        <v>6</v>
      </c>
      <c r="O127" s="8">
        <v>80.817800000000005</v>
      </c>
      <c r="P127" t="s">
        <v>6</v>
      </c>
      <c r="Q127" s="8">
        <v>99.949399999999997</v>
      </c>
      <c r="R127" t="s">
        <v>6</v>
      </c>
      <c r="S127" s="8">
        <v>94.185559999999995</v>
      </c>
      <c r="T127" t="s">
        <v>6</v>
      </c>
      <c r="U127" s="8">
        <v>208.2</v>
      </c>
      <c r="V127" t="s">
        <v>6</v>
      </c>
      <c r="W127" s="8">
        <v>92.658589230000004</v>
      </c>
      <c r="X127" t="s">
        <v>6</v>
      </c>
      <c r="Y127" s="8">
        <v>136.48043999999999</v>
      </c>
      <c r="Z127" t="s">
        <v>6</v>
      </c>
      <c r="AA127" s="8">
        <v>82.039000000000001</v>
      </c>
      <c r="AB127" t="s">
        <v>6</v>
      </c>
      <c r="AC127" s="8">
        <v>69.180999999999997</v>
      </c>
      <c r="AD127" t="s">
        <v>6</v>
      </c>
      <c r="AE127" s="8">
        <v>99.890900000000002</v>
      </c>
      <c r="AF127" t="s">
        <v>6</v>
      </c>
      <c r="AG127" s="8">
        <v>89.520184090000001</v>
      </c>
      <c r="AH127" t="s">
        <v>6</v>
      </c>
      <c r="AI127" s="8">
        <v>88.765272670000002</v>
      </c>
      <c r="AJ127" t="s">
        <v>6</v>
      </c>
      <c r="AK127" s="8">
        <v>135.6</v>
      </c>
      <c r="AL127" t="s">
        <v>6</v>
      </c>
    </row>
    <row r="128" spans="1:40" x14ac:dyDescent="0.2">
      <c r="A128" s="7" t="s">
        <v>48</v>
      </c>
      <c r="B128" t="s">
        <v>6</v>
      </c>
      <c r="C128" s="8">
        <v>28.8512196</v>
      </c>
      <c r="D128" s="10">
        <f t="shared" si="18"/>
        <v>0.95229223144863395</v>
      </c>
      <c r="E128" s="8">
        <v>68.034450000000007</v>
      </c>
      <c r="F128" s="10">
        <f t="shared" si="19"/>
        <v>0.99767000707107178</v>
      </c>
      <c r="G128" s="8">
        <v>85.560699999999997</v>
      </c>
      <c r="H128" t="s">
        <v>6</v>
      </c>
      <c r="I128" s="8">
        <v>76.490200000000002</v>
      </c>
      <c r="J128" t="s">
        <v>6</v>
      </c>
      <c r="K128" s="8">
        <v>71.155000000000001</v>
      </c>
      <c r="L128" t="s">
        <v>6</v>
      </c>
      <c r="M128" s="8">
        <v>76.674000000000007</v>
      </c>
      <c r="N128" t="s">
        <v>6</v>
      </c>
      <c r="O128" s="8">
        <v>81.699700000000007</v>
      </c>
      <c r="P128" t="s">
        <v>6</v>
      </c>
      <c r="Q128" s="8">
        <v>100.717</v>
      </c>
      <c r="R128" t="s">
        <v>6</v>
      </c>
      <c r="S128" s="8">
        <v>93.951530000000005</v>
      </c>
      <c r="T128" t="s">
        <v>6</v>
      </c>
      <c r="U128" s="8">
        <v>208.2</v>
      </c>
      <c r="V128" t="s">
        <v>6</v>
      </c>
      <c r="W128" s="8">
        <v>93.191644890000006</v>
      </c>
      <c r="X128" t="s">
        <v>6</v>
      </c>
      <c r="Y128" s="8">
        <v>135.68033</v>
      </c>
      <c r="Z128" t="s">
        <v>6</v>
      </c>
      <c r="AA128" s="8">
        <v>82.578999999999994</v>
      </c>
      <c r="AB128" t="s">
        <v>6</v>
      </c>
      <c r="AC128" s="8">
        <v>69.052000000000007</v>
      </c>
      <c r="AD128" t="s">
        <v>6</v>
      </c>
      <c r="AE128" s="8">
        <v>100.25069999999999</v>
      </c>
      <c r="AF128" t="s">
        <v>6</v>
      </c>
      <c r="AG128" s="8">
        <v>89.531547399999994</v>
      </c>
      <c r="AH128" t="s">
        <v>6</v>
      </c>
      <c r="AI128" s="8">
        <v>89.447369289999997</v>
      </c>
      <c r="AJ128" t="s">
        <v>6</v>
      </c>
      <c r="AK128" s="8">
        <v>137.19999999999999</v>
      </c>
      <c r="AL128" t="s">
        <v>6</v>
      </c>
    </row>
    <row r="129" spans="1:40" x14ac:dyDescent="0.2">
      <c r="A129" s="7" t="s">
        <v>49</v>
      </c>
      <c r="B129" t="s">
        <v>6</v>
      </c>
      <c r="C129" s="8">
        <v>28.947008310000001</v>
      </c>
      <c r="D129" s="10">
        <f t="shared" si="18"/>
        <v>0.95545392948629637</v>
      </c>
      <c r="E129" s="8">
        <v>67.740210000000005</v>
      </c>
      <c r="F129" s="10">
        <f t="shared" si="19"/>
        <v>0.99335521621319611</v>
      </c>
      <c r="G129" s="8">
        <v>85.97139</v>
      </c>
      <c r="H129" t="s">
        <v>6</v>
      </c>
      <c r="I129" s="8">
        <v>76.374799999999993</v>
      </c>
      <c r="J129" t="s">
        <v>6</v>
      </c>
      <c r="K129" s="8">
        <v>71.379000000000005</v>
      </c>
      <c r="L129" t="s">
        <v>6</v>
      </c>
      <c r="M129" s="8">
        <v>76.926000000000002</v>
      </c>
      <c r="N129" t="s">
        <v>6</v>
      </c>
      <c r="O129" s="8">
        <v>82.234800000000007</v>
      </c>
      <c r="P129" t="s">
        <v>6</v>
      </c>
      <c r="Q129" s="8">
        <v>100.547</v>
      </c>
      <c r="R129" t="s">
        <v>6</v>
      </c>
      <c r="S129" s="8">
        <v>94.019139999999993</v>
      </c>
      <c r="T129" t="s">
        <v>6</v>
      </c>
      <c r="U129" s="8">
        <v>208.9</v>
      </c>
      <c r="V129" t="s">
        <v>6</v>
      </c>
      <c r="W129" s="8">
        <v>93.517822539999997</v>
      </c>
      <c r="X129" t="s">
        <v>6</v>
      </c>
      <c r="Y129" s="8">
        <v>135.53261000000001</v>
      </c>
      <c r="Z129" t="s">
        <v>6</v>
      </c>
      <c r="AA129" s="8">
        <v>82.917000000000002</v>
      </c>
      <c r="AB129" t="s">
        <v>6</v>
      </c>
      <c r="AC129" s="8">
        <v>68.665000000000006</v>
      </c>
      <c r="AD129" t="s">
        <v>6</v>
      </c>
      <c r="AE129" s="8">
        <v>100.2698</v>
      </c>
      <c r="AF129" t="s">
        <v>6</v>
      </c>
      <c r="AG129" s="8">
        <v>89.787221950000003</v>
      </c>
      <c r="AH129" t="s">
        <v>6</v>
      </c>
      <c r="AI129" s="8">
        <v>89.410946659999993</v>
      </c>
      <c r="AJ129" t="s">
        <v>6</v>
      </c>
      <c r="AK129" s="8">
        <v>139.69999999999999</v>
      </c>
      <c r="AL129" t="s">
        <v>6</v>
      </c>
    </row>
    <row r="130" spans="1:40" x14ac:dyDescent="0.2">
      <c r="A130" s="7" t="s">
        <v>50</v>
      </c>
      <c r="B130" t="s">
        <v>6</v>
      </c>
      <c r="C130" s="8">
        <v>29.042797029999999</v>
      </c>
      <c r="D130" s="10">
        <f t="shared" si="18"/>
        <v>0.95861562785402865</v>
      </c>
      <c r="E130" s="8">
        <v>67.610740000000007</v>
      </c>
      <c r="F130" s="10">
        <f t="shared" si="19"/>
        <v>0.991456643713301</v>
      </c>
      <c r="G130" s="8">
        <v>86.375460000000004</v>
      </c>
      <c r="H130" t="s">
        <v>6</v>
      </c>
      <c r="I130" s="8">
        <v>76.181899999999999</v>
      </c>
      <c r="J130" t="s">
        <v>6</v>
      </c>
      <c r="K130" s="8">
        <v>71.393000000000001</v>
      </c>
      <c r="L130" t="s">
        <v>6</v>
      </c>
      <c r="M130" s="8">
        <v>76.825999999999993</v>
      </c>
      <c r="N130" t="s">
        <v>6</v>
      </c>
      <c r="O130" s="8">
        <v>82.227599999999995</v>
      </c>
      <c r="P130" t="s">
        <v>6</v>
      </c>
      <c r="Q130" s="8">
        <v>100.6113</v>
      </c>
      <c r="R130" t="s">
        <v>6</v>
      </c>
      <c r="S130" s="8">
        <v>94.143960000000007</v>
      </c>
      <c r="T130" t="s">
        <v>6</v>
      </c>
      <c r="U130" s="8">
        <v>208.9</v>
      </c>
      <c r="V130" t="s">
        <v>6</v>
      </c>
      <c r="W130" s="8">
        <v>93.245433169999998</v>
      </c>
      <c r="X130" t="s">
        <v>6</v>
      </c>
      <c r="Y130" s="8">
        <v>135.84035</v>
      </c>
      <c r="Z130" t="s">
        <v>6</v>
      </c>
      <c r="AA130" s="8">
        <v>82.647000000000006</v>
      </c>
      <c r="AB130" t="s">
        <v>6</v>
      </c>
      <c r="AC130" s="8">
        <v>68.665000000000006</v>
      </c>
      <c r="AD130" t="s">
        <v>6</v>
      </c>
      <c r="AE130" s="8">
        <v>100.2266</v>
      </c>
      <c r="AF130" t="s">
        <v>6</v>
      </c>
      <c r="AG130" s="8">
        <v>89.88949178</v>
      </c>
      <c r="AH130" t="s">
        <v>6</v>
      </c>
      <c r="AI130" s="8">
        <v>89.775173010000003</v>
      </c>
      <c r="AJ130" t="s">
        <v>6</v>
      </c>
      <c r="AK130" s="8">
        <v>142.5</v>
      </c>
      <c r="AL130" t="s">
        <v>6</v>
      </c>
    </row>
    <row r="131" spans="1:40" x14ac:dyDescent="0.2">
      <c r="A131" s="7" t="s">
        <v>51</v>
      </c>
      <c r="B131" t="s">
        <v>6</v>
      </c>
      <c r="C131" s="8">
        <v>29.165953949999999</v>
      </c>
      <c r="D131" s="10">
        <f t="shared" si="18"/>
        <v>0.9626806684239303</v>
      </c>
      <c r="E131" s="8">
        <v>67.746089999999995</v>
      </c>
      <c r="F131" s="10">
        <f t="shared" si="19"/>
        <v>0.99344144164224824</v>
      </c>
      <c r="G131" s="8">
        <v>86.686409999999995</v>
      </c>
      <c r="H131" t="s">
        <v>6</v>
      </c>
      <c r="I131" s="8">
        <v>76.443899999999999</v>
      </c>
      <c r="J131" t="s">
        <v>6</v>
      </c>
      <c r="K131" s="8">
        <v>71.350999999999999</v>
      </c>
      <c r="L131" t="s">
        <v>6</v>
      </c>
      <c r="M131" s="8">
        <v>76.960999999999999</v>
      </c>
      <c r="N131" t="s">
        <v>6</v>
      </c>
      <c r="O131" s="8">
        <v>82.165400000000005</v>
      </c>
      <c r="P131" t="s">
        <v>6</v>
      </c>
      <c r="Q131" s="8">
        <v>100.7906</v>
      </c>
      <c r="R131" t="s">
        <v>6</v>
      </c>
      <c r="S131" s="8">
        <v>94.107550000000003</v>
      </c>
      <c r="T131" t="s">
        <v>6</v>
      </c>
      <c r="U131" s="8">
        <v>210</v>
      </c>
      <c r="V131" t="s">
        <v>6</v>
      </c>
      <c r="W131" s="8">
        <v>93.417141909999998</v>
      </c>
      <c r="X131" t="s">
        <v>6</v>
      </c>
      <c r="Y131" s="8">
        <v>136.25271000000001</v>
      </c>
      <c r="Z131" t="s">
        <v>6</v>
      </c>
      <c r="AA131" s="8">
        <v>83.052000000000007</v>
      </c>
      <c r="AB131" t="s">
        <v>6</v>
      </c>
      <c r="AC131" s="8">
        <v>69.245999999999995</v>
      </c>
      <c r="AD131" t="s">
        <v>6</v>
      </c>
      <c r="AE131" s="8">
        <v>99.886300000000006</v>
      </c>
      <c r="AF131" t="s">
        <v>6</v>
      </c>
      <c r="AG131" s="8">
        <v>91.832618389999993</v>
      </c>
      <c r="AH131" t="s">
        <v>6</v>
      </c>
      <c r="AI131" s="8">
        <v>90.795006790000002</v>
      </c>
      <c r="AJ131" t="s">
        <v>6</v>
      </c>
      <c r="AK131" s="8">
        <v>145</v>
      </c>
      <c r="AL131" t="s">
        <v>6</v>
      </c>
    </row>
    <row r="132" spans="1:40" x14ac:dyDescent="0.2">
      <c r="A132" s="7" t="s">
        <v>52</v>
      </c>
      <c r="B132" t="s">
        <v>6</v>
      </c>
      <c r="C132" s="8">
        <v>29.346413049999999</v>
      </c>
      <c r="D132" s="10">
        <f t="shared" si="18"/>
        <v>0.96863708210095245</v>
      </c>
      <c r="E132" s="8">
        <v>67.610740000000007</v>
      </c>
      <c r="F132" s="10">
        <f t="shared" si="19"/>
        <v>0.991456643713301</v>
      </c>
      <c r="G132" s="8">
        <v>86.894459999999995</v>
      </c>
      <c r="H132" t="s">
        <v>6</v>
      </c>
      <c r="I132" s="8">
        <v>76.112799999999993</v>
      </c>
      <c r="J132" t="s">
        <v>6</v>
      </c>
      <c r="K132" s="8">
        <v>71.322999999999993</v>
      </c>
      <c r="L132" t="s">
        <v>6</v>
      </c>
      <c r="M132" s="8">
        <v>77.662999999999997</v>
      </c>
      <c r="N132" t="s">
        <v>6</v>
      </c>
      <c r="O132" s="8">
        <v>82.105099999999993</v>
      </c>
      <c r="P132" t="s">
        <v>6</v>
      </c>
      <c r="Q132" s="8">
        <v>100.6297</v>
      </c>
      <c r="R132" t="s">
        <v>6</v>
      </c>
      <c r="S132" s="8">
        <v>94.414400000000001</v>
      </c>
      <c r="T132" t="s">
        <v>6</v>
      </c>
      <c r="U132" s="8">
        <v>211.5</v>
      </c>
      <c r="V132" t="s">
        <v>6</v>
      </c>
      <c r="W132" s="8">
        <v>93.671601859999996</v>
      </c>
      <c r="X132" t="s">
        <v>6</v>
      </c>
      <c r="Y132" s="8">
        <v>135.57570000000001</v>
      </c>
      <c r="Z132" t="s">
        <v>6</v>
      </c>
      <c r="AA132" s="8">
        <v>83.456999999999994</v>
      </c>
      <c r="AB132" t="s">
        <v>6</v>
      </c>
      <c r="AC132" s="8">
        <v>69.052000000000007</v>
      </c>
      <c r="AD132" t="s">
        <v>6</v>
      </c>
      <c r="AE132" s="8">
        <v>100.0728</v>
      </c>
      <c r="AF132" t="s">
        <v>6</v>
      </c>
      <c r="AG132" s="8">
        <v>91.943410700000001</v>
      </c>
      <c r="AH132" t="s">
        <v>6</v>
      </c>
      <c r="AI132" s="8">
        <v>91.692328070000002</v>
      </c>
      <c r="AJ132" t="s">
        <v>6</v>
      </c>
      <c r="AK132" s="8">
        <v>148</v>
      </c>
      <c r="AL132" t="s">
        <v>6</v>
      </c>
    </row>
    <row r="133" spans="1:40" x14ac:dyDescent="0.2">
      <c r="A133" s="7" t="s">
        <v>53</v>
      </c>
      <c r="B133" t="s">
        <v>6</v>
      </c>
      <c r="C133" s="8">
        <v>29.590161129999998</v>
      </c>
      <c r="D133" s="10">
        <f t="shared" si="18"/>
        <v>0.97668247519811358</v>
      </c>
      <c r="E133" s="8">
        <v>68.034450000000007</v>
      </c>
      <c r="F133" s="10">
        <f t="shared" si="19"/>
        <v>0.99767000707107178</v>
      </c>
      <c r="G133" s="8">
        <v>87.024799999999999</v>
      </c>
      <c r="H133" t="s">
        <v>6</v>
      </c>
      <c r="I133" s="8">
        <v>75.835599999999999</v>
      </c>
      <c r="J133" t="s">
        <v>6</v>
      </c>
      <c r="K133" s="8">
        <v>71.358000000000004</v>
      </c>
      <c r="L133" t="s">
        <v>6</v>
      </c>
      <c r="M133" s="8">
        <v>78.171999999999997</v>
      </c>
      <c r="N133" t="s">
        <v>6</v>
      </c>
      <c r="O133" s="8">
        <v>81.860600000000005</v>
      </c>
      <c r="P133" t="s">
        <v>6</v>
      </c>
      <c r="Q133" s="8">
        <v>100.39530000000001</v>
      </c>
      <c r="R133" t="s">
        <v>6</v>
      </c>
      <c r="S133" s="8">
        <v>94.476799999999997</v>
      </c>
      <c r="T133" t="s">
        <v>6</v>
      </c>
      <c r="U133" s="8">
        <v>211.7</v>
      </c>
      <c r="V133" t="s">
        <v>6</v>
      </c>
      <c r="W133" s="8">
        <v>93.895719690000007</v>
      </c>
      <c r="X133" t="s">
        <v>6</v>
      </c>
      <c r="Y133" s="8">
        <v>136.32657</v>
      </c>
      <c r="Z133" t="s">
        <v>6</v>
      </c>
      <c r="AA133" s="8">
        <v>83.727000000000004</v>
      </c>
      <c r="AB133" t="s">
        <v>6</v>
      </c>
      <c r="AC133" s="8">
        <v>69.760999999999996</v>
      </c>
      <c r="AD133" t="s">
        <v>6</v>
      </c>
      <c r="AE133" s="8">
        <v>99.865200000000002</v>
      </c>
      <c r="AF133" t="s">
        <v>6</v>
      </c>
      <c r="AG133" s="8">
        <v>92.727479329999994</v>
      </c>
      <c r="AH133" t="s">
        <v>6</v>
      </c>
      <c r="AI133" s="8">
        <v>92.821429749999993</v>
      </c>
      <c r="AJ133" t="s">
        <v>6</v>
      </c>
      <c r="AK133" s="8">
        <v>151.30000000000001</v>
      </c>
      <c r="AL133" t="s">
        <v>6</v>
      </c>
    </row>
    <row r="134" spans="1:40" x14ac:dyDescent="0.2">
      <c r="A134" s="7" t="s">
        <v>54</v>
      </c>
      <c r="B134" t="s">
        <v>6</v>
      </c>
      <c r="C134" s="8">
        <v>29.80910677</v>
      </c>
      <c r="D134" s="10">
        <f t="shared" si="18"/>
        <v>0.98390921413574772</v>
      </c>
      <c r="E134" s="8">
        <v>68.105069999999998</v>
      </c>
      <c r="F134" s="10">
        <f t="shared" si="19"/>
        <v>0.99870559207101439</v>
      </c>
      <c r="G134" s="8">
        <v>87.23366</v>
      </c>
      <c r="H134" t="s">
        <v>6</v>
      </c>
      <c r="I134" s="8">
        <v>76.582899999999995</v>
      </c>
      <c r="J134" t="s">
        <v>6</v>
      </c>
      <c r="K134" s="8">
        <v>71.281000000000006</v>
      </c>
      <c r="L134" t="s">
        <v>6</v>
      </c>
      <c r="M134" s="8">
        <v>78.260000000000005</v>
      </c>
      <c r="N134" t="s">
        <v>6</v>
      </c>
      <c r="O134" s="8">
        <v>82.372600000000006</v>
      </c>
      <c r="P134" t="s">
        <v>6</v>
      </c>
      <c r="Q134" s="8">
        <v>100.19759999999999</v>
      </c>
      <c r="R134" t="s">
        <v>6</v>
      </c>
      <c r="S134" s="8">
        <v>95.059290000000004</v>
      </c>
      <c r="T134" t="s">
        <v>6</v>
      </c>
      <c r="U134" s="8">
        <v>211.9</v>
      </c>
      <c r="V134" t="s">
        <v>6</v>
      </c>
      <c r="W134" s="8">
        <v>94.366711949999996</v>
      </c>
      <c r="X134" t="s">
        <v>6</v>
      </c>
      <c r="Y134" s="8">
        <v>136.6343</v>
      </c>
      <c r="Z134" t="s">
        <v>6</v>
      </c>
      <c r="AA134" s="8">
        <v>83.254999999999995</v>
      </c>
      <c r="AB134" t="s">
        <v>6</v>
      </c>
      <c r="AC134" s="8">
        <v>70.019000000000005</v>
      </c>
      <c r="AD134" t="s">
        <v>6</v>
      </c>
      <c r="AE134" s="8">
        <v>99.778099999999995</v>
      </c>
      <c r="AF134" t="s">
        <v>6</v>
      </c>
      <c r="AG134" s="8">
        <v>92.829749149999998</v>
      </c>
      <c r="AH134" t="s">
        <v>6</v>
      </c>
      <c r="AI134" s="8">
        <v>93.036654420000005</v>
      </c>
      <c r="AJ134" t="s">
        <v>6</v>
      </c>
      <c r="AK134" s="8">
        <v>155.1</v>
      </c>
      <c r="AL134" t="s">
        <v>6</v>
      </c>
    </row>
    <row r="135" spans="1:40" x14ac:dyDescent="0.2">
      <c r="A135" s="7" t="s">
        <v>55</v>
      </c>
      <c r="B135" t="s">
        <v>6</v>
      </c>
      <c r="C135" s="8">
        <v>30.047723309999999</v>
      </c>
      <c r="D135" s="10">
        <f t="shared" si="18"/>
        <v>0.99178523048748457</v>
      </c>
      <c r="E135" s="8">
        <v>68.322810000000004</v>
      </c>
      <c r="F135" s="10">
        <f t="shared" si="19"/>
        <v>1.0018985724998952</v>
      </c>
      <c r="G135" s="8">
        <v>87.477909999999994</v>
      </c>
      <c r="H135" t="s">
        <v>6</v>
      </c>
      <c r="I135" s="8">
        <v>76.582899999999995</v>
      </c>
      <c r="J135" t="s">
        <v>6</v>
      </c>
      <c r="K135" s="8">
        <v>71.183000000000007</v>
      </c>
      <c r="L135" t="s">
        <v>6</v>
      </c>
      <c r="M135" s="8">
        <v>78.441000000000003</v>
      </c>
      <c r="N135" t="s">
        <v>6</v>
      </c>
      <c r="O135" s="8">
        <v>82.567899999999995</v>
      </c>
      <c r="P135" t="s">
        <v>6</v>
      </c>
      <c r="Q135" s="8">
        <v>99.457599999999999</v>
      </c>
      <c r="R135" t="s">
        <v>6</v>
      </c>
      <c r="S135" s="8">
        <v>94.877260000000007</v>
      </c>
      <c r="T135" t="s">
        <v>6</v>
      </c>
      <c r="U135" s="8">
        <v>212.4</v>
      </c>
      <c r="V135" t="s">
        <v>6</v>
      </c>
      <c r="W135" s="8">
        <v>94.652203600000007</v>
      </c>
      <c r="X135" t="s">
        <v>6</v>
      </c>
      <c r="Y135" s="8">
        <v>137.04667000000001</v>
      </c>
      <c r="Z135" t="s">
        <v>6</v>
      </c>
      <c r="AA135" s="8">
        <v>83.456999999999994</v>
      </c>
      <c r="AB135" t="s">
        <v>6</v>
      </c>
      <c r="AC135" s="8">
        <v>70.599999999999994</v>
      </c>
      <c r="AD135" t="s">
        <v>6</v>
      </c>
      <c r="AE135" s="8">
        <v>99.900499999999994</v>
      </c>
      <c r="AF135" t="s">
        <v>6</v>
      </c>
      <c r="AG135" s="8">
        <v>93.042811279999995</v>
      </c>
      <c r="AH135" t="s">
        <v>6</v>
      </c>
      <c r="AI135" s="8">
        <v>93.02672097</v>
      </c>
      <c r="AJ135" t="s">
        <v>6</v>
      </c>
      <c r="AK135" s="8">
        <v>158</v>
      </c>
      <c r="AL135" t="s">
        <v>6</v>
      </c>
    </row>
    <row r="136" spans="1:40" x14ac:dyDescent="0.2">
      <c r="A136" s="7" t="s">
        <v>56</v>
      </c>
      <c r="B136" t="s">
        <v>6</v>
      </c>
      <c r="C136" s="8">
        <v>30.296602920000002</v>
      </c>
      <c r="D136" s="10">
        <f t="shared" si="18"/>
        <v>1</v>
      </c>
      <c r="E136" s="8">
        <v>68.193340000000006</v>
      </c>
      <c r="F136" s="10">
        <f t="shared" si="19"/>
        <v>1</v>
      </c>
      <c r="G136" s="8">
        <v>87.836569999999995</v>
      </c>
      <c r="H136" t="s">
        <v>6</v>
      </c>
      <c r="I136" s="8">
        <v>76.228200000000001</v>
      </c>
      <c r="J136" t="s">
        <v>6</v>
      </c>
      <c r="K136" s="8">
        <v>71.141000000000005</v>
      </c>
      <c r="L136" t="s">
        <v>6</v>
      </c>
      <c r="M136" s="8">
        <v>78.317999999999998</v>
      </c>
      <c r="N136" t="s">
        <v>6</v>
      </c>
      <c r="O136" s="8">
        <v>82.845100000000002</v>
      </c>
      <c r="P136" t="s">
        <v>6</v>
      </c>
      <c r="Q136" s="8">
        <v>99.057699999999997</v>
      </c>
      <c r="R136" t="s">
        <v>6</v>
      </c>
      <c r="S136" s="8">
        <v>94.929270000000002</v>
      </c>
      <c r="T136" t="s">
        <v>6</v>
      </c>
      <c r="U136" s="8">
        <v>212.9</v>
      </c>
      <c r="V136" t="s">
        <v>6</v>
      </c>
      <c r="W136" s="8">
        <v>95.143194059999999</v>
      </c>
      <c r="X136" t="s">
        <v>6</v>
      </c>
      <c r="Y136" s="8">
        <v>137.60675000000001</v>
      </c>
      <c r="Z136" t="s">
        <v>6</v>
      </c>
      <c r="AA136" s="8">
        <v>83.525000000000006</v>
      </c>
      <c r="AB136" t="s">
        <v>6</v>
      </c>
      <c r="AC136" s="8">
        <v>70.277000000000001</v>
      </c>
      <c r="AD136" t="s">
        <v>6</v>
      </c>
      <c r="AE136" s="8">
        <v>99.788499999999999</v>
      </c>
      <c r="AF136" t="s">
        <v>6</v>
      </c>
      <c r="AG136" s="8">
        <v>94.037101219999997</v>
      </c>
      <c r="AH136" t="s">
        <v>6</v>
      </c>
      <c r="AI136" s="8">
        <v>93.079699349999999</v>
      </c>
      <c r="AJ136" t="s">
        <v>6</v>
      </c>
      <c r="AK136" s="8">
        <v>161</v>
      </c>
      <c r="AL136" t="s">
        <v>6</v>
      </c>
    </row>
    <row r="137" spans="1:40" x14ac:dyDescent="0.2">
      <c r="A137" s="7" t="s">
        <v>57</v>
      </c>
      <c r="B137" t="s">
        <v>6</v>
      </c>
      <c r="C137" s="8">
        <v>30.578837539999999</v>
      </c>
      <c r="D137" s="10">
        <f t="shared" si="18"/>
        <v>1.0093157183577728</v>
      </c>
      <c r="E137" s="8">
        <v>68.352230000000006</v>
      </c>
      <c r="F137" s="10">
        <f t="shared" si="19"/>
        <v>1.0023299929289282</v>
      </c>
      <c r="G137" s="8">
        <v>88.161569999999998</v>
      </c>
      <c r="H137" t="s">
        <v>6</v>
      </c>
      <c r="I137" s="8">
        <v>75.997399999999999</v>
      </c>
      <c r="J137" t="s">
        <v>6</v>
      </c>
      <c r="K137" s="8">
        <v>71.197000000000003</v>
      </c>
      <c r="L137" t="s">
        <v>6</v>
      </c>
      <c r="M137" s="8">
        <v>79.114000000000004</v>
      </c>
      <c r="N137" t="s">
        <v>6</v>
      </c>
      <c r="O137" s="8">
        <v>83.321899999999999</v>
      </c>
      <c r="P137" t="s">
        <v>6</v>
      </c>
      <c r="Q137" s="8">
        <v>100</v>
      </c>
      <c r="R137" t="s">
        <v>6</v>
      </c>
      <c r="S137" s="8">
        <v>94.882459999999995</v>
      </c>
      <c r="T137" t="s">
        <v>6</v>
      </c>
      <c r="U137" s="8">
        <v>212.8</v>
      </c>
      <c r="V137" t="s">
        <v>6</v>
      </c>
      <c r="W137" s="8">
        <v>95.536951860000002</v>
      </c>
      <c r="X137" t="s">
        <v>6</v>
      </c>
      <c r="Y137" s="8">
        <v>137.89601999999999</v>
      </c>
      <c r="Z137" t="s">
        <v>6</v>
      </c>
      <c r="AA137" s="8">
        <v>83.591999999999999</v>
      </c>
      <c r="AB137" t="s">
        <v>6</v>
      </c>
      <c r="AC137" s="8">
        <v>70.599999999999994</v>
      </c>
      <c r="AD137" t="s">
        <v>6</v>
      </c>
      <c r="AE137" s="8">
        <v>100.105</v>
      </c>
      <c r="AF137" t="s">
        <v>6</v>
      </c>
      <c r="AG137" s="8">
        <v>94.071191159999998</v>
      </c>
      <c r="AH137" t="s">
        <v>6</v>
      </c>
      <c r="AI137" s="8">
        <v>93.516770969999996</v>
      </c>
      <c r="AJ137" t="s">
        <v>6</v>
      </c>
      <c r="AK137" s="8">
        <v>163.69999999999999</v>
      </c>
      <c r="AL137" t="s">
        <v>6</v>
      </c>
    </row>
    <row r="138" spans="1:40" x14ac:dyDescent="0.2">
      <c r="A138" s="7" t="s">
        <v>67</v>
      </c>
      <c r="B138" t="s">
        <v>6</v>
      </c>
      <c r="C138" t="s">
        <v>45</v>
      </c>
      <c r="D138" s="11">
        <f>SUM(D139:D150)</f>
        <v>11.588675022604299</v>
      </c>
      <c r="E138" t="s">
        <v>45</v>
      </c>
      <c r="F138" s="11">
        <f>SUM(F139:F150)</f>
        <v>11.626248454625012</v>
      </c>
      <c r="G138" t="s">
        <v>45</v>
      </c>
      <c r="H138" t="s">
        <v>6</v>
      </c>
      <c r="I138" t="s">
        <v>45</v>
      </c>
      <c r="J138" t="s">
        <v>6</v>
      </c>
      <c r="K138" t="s">
        <v>45</v>
      </c>
      <c r="L138" t="s">
        <v>6</v>
      </c>
      <c r="M138" t="s">
        <v>45</v>
      </c>
      <c r="N138" t="s">
        <v>6</v>
      </c>
      <c r="O138" t="s">
        <v>45</v>
      </c>
      <c r="P138" t="s">
        <v>6</v>
      </c>
      <c r="Q138" t="s">
        <v>45</v>
      </c>
      <c r="R138" t="s">
        <v>6</v>
      </c>
      <c r="S138" t="s">
        <v>45</v>
      </c>
      <c r="T138" t="s">
        <v>6</v>
      </c>
      <c r="U138" t="s">
        <v>45</v>
      </c>
      <c r="V138" t="s">
        <v>6</v>
      </c>
      <c r="W138" t="s">
        <v>45</v>
      </c>
      <c r="X138" t="s">
        <v>6</v>
      </c>
      <c r="Y138" t="s">
        <v>45</v>
      </c>
      <c r="Z138" t="s">
        <v>6</v>
      </c>
      <c r="AA138" t="s">
        <v>45</v>
      </c>
      <c r="AB138" t="s">
        <v>6</v>
      </c>
      <c r="AC138" t="s">
        <v>45</v>
      </c>
      <c r="AD138" t="s">
        <v>6</v>
      </c>
      <c r="AE138" t="s">
        <v>45</v>
      </c>
      <c r="AF138" t="s">
        <v>6</v>
      </c>
      <c r="AG138" t="s">
        <v>45</v>
      </c>
      <c r="AH138" t="s">
        <v>6</v>
      </c>
      <c r="AI138" t="s">
        <v>45</v>
      </c>
      <c r="AJ138" t="s">
        <v>6</v>
      </c>
      <c r="AK138" t="s">
        <v>45</v>
      </c>
      <c r="AL138" t="s">
        <v>6</v>
      </c>
      <c r="AM138" t="s">
        <v>45</v>
      </c>
      <c r="AN138" t="s">
        <v>6</v>
      </c>
    </row>
    <row r="139" spans="1:40" x14ac:dyDescent="0.2">
      <c r="A139" s="7" t="s">
        <v>46</v>
      </c>
      <c r="B139" t="s">
        <v>6</v>
      </c>
      <c r="C139" s="8">
        <v>30.896137660000001</v>
      </c>
      <c r="D139" s="10">
        <f t="shared" ref="D139:D150" si="20">C139/C$149</f>
        <v>0.91853339758951624</v>
      </c>
      <c r="E139" s="8">
        <v>68.47</v>
      </c>
      <c r="F139" s="10">
        <f t="shared" ref="F139:F150" si="21">E139/E$149</f>
        <v>0.95111753184514292</v>
      </c>
      <c r="G139" s="8">
        <v>88.822999999999993</v>
      </c>
      <c r="H139" t="s">
        <v>6</v>
      </c>
      <c r="I139" s="8">
        <v>76.394199999999998</v>
      </c>
      <c r="J139" t="s">
        <v>6</v>
      </c>
      <c r="K139" s="8">
        <v>71.686000000000007</v>
      </c>
      <c r="L139" t="s">
        <v>6</v>
      </c>
      <c r="M139" s="8">
        <v>80.400999999999996</v>
      </c>
      <c r="N139" t="s">
        <v>6</v>
      </c>
      <c r="O139" s="8">
        <v>84.013999999999996</v>
      </c>
      <c r="P139" t="s">
        <v>6</v>
      </c>
      <c r="Q139" s="8">
        <v>100.44</v>
      </c>
      <c r="R139" t="s">
        <v>6</v>
      </c>
      <c r="S139" s="8">
        <v>96.109840000000005</v>
      </c>
      <c r="T139" t="s">
        <v>6</v>
      </c>
      <c r="U139" s="8">
        <v>214</v>
      </c>
      <c r="V139" t="s">
        <v>6</v>
      </c>
      <c r="W139" s="8">
        <v>96.575479439999995</v>
      </c>
      <c r="X139" t="s">
        <v>6</v>
      </c>
      <c r="Y139" s="8">
        <v>139.27498</v>
      </c>
      <c r="Z139" t="s">
        <v>6</v>
      </c>
      <c r="AA139" s="8">
        <v>84.266999999999996</v>
      </c>
      <c r="AB139" t="s">
        <v>6</v>
      </c>
      <c r="AC139" s="8">
        <v>71.308999999999997</v>
      </c>
      <c r="AD139" t="s">
        <v>6</v>
      </c>
      <c r="AE139" s="8">
        <v>100.4012</v>
      </c>
      <c r="AF139" t="s">
        <v>6</v>
      </c>
      <c r="AG139" s="8">
        <v>95.36</v>
      </c>
      <c r="AH139" t="s">
        <v>6</v>
      </c>
      <c r="AI139" s="8">
        <v>94.39</v>
      </c>
      <c r="AJ139" t="s">
        <v>6</v>
      </c>
      <c r="AK139" s="8">
        <v>166.5</v>
      </c>
      <c r="AL139" t="s">
        <v>6</v>
      </c>
    </row>
    <row r="140" spans="1:40" x14ac:dyDescent="0.2">
      <c r="A140" s="7" t="s">
        <v>47</v>
      </c>
      <c r="B140" t="s">
        <v>6</v>
      </c>
      <c r="C140" s="8">
        <v>31.279292529999999</v>
      </c>
      <c r="D140" s="10">
        <f t="shared" si="20"/>
        <v>0.92992448305194642</v>
      </c>
      <c r="E140" s="8">
        <v>68.581999999999994</v>
      </c>
      <c r="F140" s="10">
        <f t="shared" si="21"/>
        <v>0.95267332509133329</v>
      </c>
      <c r="G140" s="8">
        <v>89.516000000000005</v>
      </c>
      <c r="H140" t="s">
        <v>6</v>
      </c>
      <c r="I140" s="8">
        <v>76.608199999999997</v>
      </c>
      <c r="J140" t="s">
        <v>6</v>
      </c>
      <c r="K140" s="8">
        <v>72.278999999999996</v>
      </c>
      <c r="L140" t="s">
        <v>6</v>
      </c>
      <c r="M140" s="8">
        <v>80.950999999999993</v>
      </c>
      <c r="N140" t="s">
        <v>6</v>
      </c>
      <c r="O140" s="8">
        <v>84.300299999999993</v>
      </c>
      <c r="P140" t="s">
        <v>6</v>
      </c>
      <c r="Q140" s="8">
        <v>100.57</v>
      </c>
      <c r="R140" t="s">
        <v>6</v>
      </c>
      <c r="S140" s="8">
        <v>96.525899999999993</v>
      </c>
      <c r="T140" t="s">
        <v>6</v>
      </c>
      <c r="U140" s="8">
        <v>215.5</v>
      </c>
      <c r="V140" t="s">
        <v>6</v>
      </c>
      <c r="W140" s="8">
        <v>97.134050049999999</v>
      </c>
      <c r="X140" t="s">
        <v>6</v>
      </c>
      <c r="Y140" s="8">
        <v>141.12733</v>
      </c>
      <c r="Z140" t="s">
        <v>6</v>
      </c>
      <c r="AA140" s="8">
        <v>84.47</v>
      </c>
      <c r="AB140" t="s">
        <v>6</v>
      </c>
      <c r="AC140" s="8">
        <v>71.244</v>
      </c>
      <c r="AD140" t="s">
        <v>6</v>
      </c>
      <c r="AE140" s="8">
        <v>100.72499999999999</v>
      </c>
      <c r="AF140" t="s">
        <v>6</v>
      </c>
      <c r="AG140" s="8">
        <v>95.5</v>
      </c>
      <c r="AH140" t="s">
        <v>6</v>
      </c>
      <c r="AI140" s="8">
        <v>94.92</v>
      </c>
      <c r="AJ140" t="s">
        <v>6</v>
      </c>
      <c r="AK140" s="8">
        <v>169.1</v>
      </c>
      <c r="AL140" t="s">
        <v>6</v>
      </c>
    </row>
    <row r="141" spans="1:40" x14ac:dyDescent="0.2">
      <c r="A141" s="7" t="s">
        <v>48</v>
      </c>
      <c r="B141" t="s">
        <v>6</v>
      </c>
      <c r="C141" s="8">
        <v>31.638500220000001</v>
      </c>
      <c r="D141" s="10">
        <f t="shared" si="20"/>
        <v>0.94060362565439382</v>
      </c>
      <c r="E141" s="8">
        <v>68.498999999999995</v>
      </c>
      <c r="F141" s="10">
        <f t="shared" si="21"/>
        <v>0.95152037116781718</v>
      </c>
      <c r="G141" s="8">
        <v>89.980999999999995</v>
      </c>
      <c r="H141" t="s">
        <v>6</v>
      </c>
      <c r="I141" s="8">
        <v>76.668800000000005</v>
      </c>
      <c r="J141" t="s">
        <v>6</v>
      </c>
      <c r="K141" s="8">
        <v>72.460999999999999</v>
      </c>
      <c r="L141" t="s">
        <v>6</v>
      </c>
      <c r="M141" s="8">
        <v>81.150000000000006</v>
      </c>
      <c r="N141" t="s">
        <v>6</v>
      </c>
      <c r="O141" s="8">
        <v>84.437700000000007</v>
      </c>
      <c r="P141" t="s">
        <v>6</v>
      </c>
      <c r="Q141" s="8">
        <v>100.89</v>
      </c>
      <c r="R141" t="s">
        <v>6</v>
      </c>
      <c r="S141" s="8">
        <v>97.659660000000002</v>
      </c>
      <c r="T141" t="s">
        <v>6</v>
      </c>
      <c r="U141" s="8">
        <v>216.5</v>
      </c>
      <c r="V141" t="s">
        <v>6</v>
      </c>
      <c r="W141" s="8">
        <v>97.823643399999995</v>
      </c>
      <c r="X141" t="s">
        <v>6</v>
      </c>
      <c r="Y141" s="8">
        <v>142.67973000000001</v>
      </c>
      <c r="Z141" t="s">
        <v>6</v>
      </c>
      <c r="AA141" s="8">
        <v>84.808000000000007</v>
      </c>
      <c r="AB141" t="s">
        <v>6</v>
      </c>
      <c r="AC141" s="8">
        <v>71.888999999999996</v>
      </c>
      <c r="AD141" t="s">
        <v>6</v>
      </c>
      <c r="AE141" s="8">
        <v>101.00790000000001</v>
      </c>
      <c r="AF141" t="s">
        <v>6</v>
      </c>
      <c r="AG141" s="8">
        <v>96.32</v>
      </c>
      <c r="AH141" t="s">
        <v>6</v>
      </c>
      <c r="AI141" s="8">
        <v>95.82</v>
      </c>
      <c r="AJ141" t="s">
        <v>6</v>
      </c>
      <c r="AK141" s="8">
        <v>173.2</v>
      </c>
      <c r="AL141" t="s">
        <v>6</v>
      </c>
    </row>
    <row r="142" spans="1:40" x14ac:dyDescent="0.2">
      <c r="A142" s="7" t="s">
        <v>49</v>
      </c>
      <c r="B142" t="s">
        <v>6</v>
      </c>
      <c r="C142" s="8">
        <v>31.90106394</v>
      </c>
      <c r="D142" s="10">
        <f t="shared" si="20"/>
        <v>0.94840957047731511</v>
      </c>
      <c r="E142" s="8">
        <v>68.563999999999993</v>
      </c>
      <c r="F142" s="10">
        <f t="shared" si="21"/>
        <v>0.9524232868910526</v>
      </c>
      <c r="G142" s="8">
        <v>90.494</v>
      </c>
      <c r="H142" t="s">
        <v>6</v>
      </c>
      <c r="I142" s="8">
        <v>77.027799999999999</v>
      </c>
      <c r="J142" t="s">
        <v>6</v>
      </c>
      <c r="K142" s="8">
        <v>72.796000000000006</v>
      </c>
      <c r="L142" t="s">
        <v>6</v>
      </c>
      <c r="M142" s="8">
        <v>81.197000000000003</v>
      </c>
      <c r="N142" t="s">
        <v>6</v>
      </c>
      <c r="O142" s="8">
        <v>84.874499999999998</v>
      </c>
      <c r="P142" t="s">
        <v>6</v>
      </c>
      <c r="Q142" s="8">
        <v>100.71</v>
      </c>
      <c r="R142" t="s">
        <v>6</v>
      </c>
      <c r="S142" s="8">
        <v>97.545249999999996</v>
      </c>
      <c r="T142" t="s">
        <v>6</v>
      </c>
      <c r="U142" s="8">
        <v>217.6</v>
      </c>
      <c r="V142" t="s">
        <v>6</v>
      </c>
      <c r="W142" s="8">
        <v>97.511947199999994</v>
      </c>
      <c r="X142" t="s">
        <v>6</v>
      </c>
      <c r="Y142" s="8">
        <v>143.12204</v>
      </c>
      <c r="Z142" t="s">
        <v>6</v>
      </c>
      <c r="AA142" s="8">
        <v>85.078000000000003</v>
      </c>
      <c r="AB142" t="s">
        <v>6</v>
      </c>
      <c r="AC142" s="8">
        <v>72.468999999999994</v>
      </c>
      <c r="AD142" t="s">
        <v>6</v>
      </c>
      <c r="AE142" s="8">
        <v>101.0335</v>
      </c>
      <c r="AF142" t="s">
        <v>6</v>
      </c>
      <c r="AG142" s="8">
        <v>96.66</v>
      </c>
      <c r="AH142" t="s">
        <v>6</v>
      </c>
      <c r="AI142" s="8">
        <v>95.99</v>
      </c>
      <c r="AJ142" t="s">
        <v>6</v>
      </c>
      <c r="AK142" s="8">
        <v>182.2</v>
      </c>
      <c r="AL142" t="s">
        <v>6</v>
      </c>
    </row>
    <row r="143" spans="1:40" x14ac:dyDescent="0.2">
      <c r="A143" s="7" t="s">
        <v>50</v>
      </c>
      <c r="B143" t="s">
        <v>6</v>
      </c>
      <c r="C143" s="8">
        <v>32.138825220000001</v>
      </c>
      <c r="D143" s="10">
        <f t="shared" si="20"/>
        <v>0.95547814580336232</v>
      </c>
      <c r="E143" s="8">
        <v>68.552000000000007</v>
      </c>
      <c r="F143" s="10">
        <f t="shared" si="21"/>
        <v>0.95225659475753244</v>
      </c>
      <c r="G143" s="8">
        <v>90.882999999999996</v>
      </c>
      <c r="H143" t="s">
        <v>6</v>
      </c>
      <c r="I143" s="8">
        <v>77.303299999999993</v>
      </c>
      <c r="J143" t="s">
        <v>6</v>
      </c>
      <c r="K143" s="8">
        <v>72.873000000000005</v>
      </c>
      <c r="L143" t="s">
        <v>6</v>
      </c>
      <c r="M143" s="8">
        <v>81.619</v>
      </c>
      <c r="N143" t="s">
        <v>6</v>
      </c>
      <c r="O143" s="8">
        <v>84.8887</v>
      </c>
      <c r="P143" t="s">
        <v>6</v>
      </c>
      <c r="Q143" s="8">
        <v>100.5</v>
      </c>
      <c r="R143" t="s">
        <v>6</v>
      </c>
      <c r="S143" s="8">
        <v>97.446430000000007</v>
      </c>
      <c r="T143" t="s">
        <v>6</v>
      </c>
      <c r="U143" s="8">
        <v>218</v>
      </c>
      <c r="V143" t="s">
        <v>6</v>
      </c>
      <c r="W143" s="8">
        <v>96.897519529999997</v>
      </c>
      <c r="X143" t="s">
        <v>6</v>
      </c>
      <c r="Y143" s="8">
        <v>143.17929000000001</v>
      </c>
      <c r="Z143" t="s">
        <v>6</v>
      </c>
      <c r="AA143" s="8">
        <v>85.28</v>
      </c>
      <c r="AB143" t="s">
        <v>6</v>
      </c>
      <c r="AC143" s="8">
        <v>71.760000000000005</v>
      </c>
      <c r="AD143" t="s">
        <v>6</v>
      </c>
      <c r="AE143" s="8">
        <v>101.27379999999999</v>
      </c>
      <c r="AF143" t="s">
        <v>6</v>
      </c>
      <c r="AG143" s="8">
        <v>96.99</v>
      </c>
      <c r="AH143" t="s">
        <v>6</v>
      </c>
      <c r="AI143" s="8">
        <v>96.14</v>
      </c>
      <c r="AJ143" t="s">
        <v>6</v>
      </c>
      <c r="AK143" s="8">
        <v>187</v>
      </c>
      <c r="AL143" t="s">
        <v>6</v>
      </c>
    </row>
    <row r="144" spans="1:40" x14ac:dyDescent="0.2">
      <c r="A144" s="7" t="s">
        <v>51</v>
      </c>
      <c r="B144" t="s">
        <v>6</v>
      </c>
      <c r="C144" s="8">
        <v>32.37487599</v>
      </c>
      <c r="D144" s="10">
        <f t="shared" si="20"/>
        <v>0.96249586815292409</v>
      </c>
      <c r="E144" s="8">
        <v>68.646000000000001</v>
      </c>
      <c r="F144" s="10">
        <f t="shared" si="21"/>
        <v>0.95356234980344212</v>
      </c>
      <c r="G144" s="8">
        <v>90.882999999999996</v>
      </c>
      <c r="H144" t="s">
        <v>6</v>
      </c>
      <c r="I144" s="8">
        <v>77.303299999999993</v>
      </c>
      <c r="J144" t="s">
        <v>6</v>
      </c>
      <c r="K144" s="8">
        <v>72.956000000000003</v>
      </c>
      <c r="L144" t="s">
        <v>6</v>
      </c>
      <c r="M144" s="8">
        <v>81.816999999999993</v>
      </c>
      <c r="N144" t="s">
        <v>6</v>
      </c>
      <c r="O144" s="8">
        <v>84.880899999999997</v>
      </c>
      <c r="P144" t="s">
        <v>6</v>
      </c>
      <c r="Q144" s="8">
        <v>100.96</v>
      </c>
      <c r="R144" t="s">
        <v>6</v>
      </c>
      <c r="S144" s="8">
        <v>97.935299999999998</v>
      </c>
      <c r="T144" t="s">
        <v>6</v>
      </c>
      <c r="U144" s="8">
        <v>218.9</v>
      </c>
      <c r="V144" t="s">
        <v>6</v>
      </c>
      <c r="W144" s="8">
        <v>96.867177429999998</v>
      </c>
      <c r="X144" t="s">
        <v>6</v>
      </c>
      <c r="Y144" s="8">
        <v>143.22627</v>
      </c>
      <c r="Z144" t="s">
        <v>6</v>
      </c>
      <c r="AA144" s="8">
        <v>85.347999999999999</v>
      </c>
      <c r="AB144" t="s">
        <v>6</v>
      </c>
      <c r="AC144" s="8">
        <v>72.210999999999999</v>
      </c>
      <c r="AD144" t="s">
        <v>6</v>
      </c>
      <c r="AE144" s="8">
        <v>101.5278</v>
      </c>
      <c r="AF144" t="s">
        <v>6</v>
      </c>
      <c r="AG144" s="8">
        <v>96.83</v>
      </c>
      <c r="AH144" t="s">
        <v>6</v>
      </c>
      <c r="AI144" s="8">
        <v>96.41</v>
      </c>
      <c r="AJ144" t="s">
        <v>6</v>
      </c>
      <c r="AK144" s="8">
        <v>190.4</v>
      </c>
      <c r="AL144" t="s">
        <v>6</v>
      </c>
    </row>
    <row r="145" spans="1:40" x14ac:dyDescent="0.2">
      <c r="A145" s="7" t="s">
        <v>52</v>
      </c>
      <c r="B145" t="s">
        <v>6</v>
      </c>
      <c r="C145" s="8">
        <v>32.634873939999999</v>
      </c>
      <c r="D145" s="10">
        <f t="shared" si="20"/>
        <v>0.97022553336246886</v>
      </c>
      <c r="E145" s="8">
        <v>69.069999999999993</v>
      </c>
      <c r="F145" s="10">
        <f t="shared" si="21"/>
        <v>0.95945213852116285</v>
      </c>
      <c r="G145" s="8">
        <v>90.891999999999996</v>
      </c>
      <c r="H145" t="s">
        <v>6</v>
      </c>
      <c r="I145" s="8">
        <v>77.799499999999995</v>
      </c>
      <c r="J145" t="s">
        <v>6</v>
      </c>
      <c r="K145" s="8">
        <v>72.921000000000006</v>
      </c>
      <c r="L145" t="s">
        <v>6</v>
      </c>
      <c r="M145" s="8">
        <v>82.075000000000003</v>
      </c>
      <c r="N145" t="s">
        <v>6</v>
      </c>
      <c r="O145" s="8">
        <v>84.897499999999994</v>
      </c>
      <c r="P145" t="s">
        <v>6</v>
      </c>
      <c r="Q145" s="8">
        <v>100.98</v>
      </c>
      <c r="R145" t="s">
        <v>6</v>
      </c>
      <c r="S145" s="8">
        <v>98.304559999999995</v>
      </c>
      <c r="T145" t="s">
        <v>6</v>
      </c>
      <c r="U145" s="8">
        <v>220.3</v>
      </c>
      <c r="V145" t="s">
        <v>6</v>
      </c>
      <c r="W145" s="8">
        <v>97.077503399999998</v>
      </c>
      <c r="X145" t="s">
        <v>6</v>
      </c>
      <c r="Y145" s="8">
        <v>144.46821</v>
      </c>
      <c r="Z145" t="s">
        <v>6</v>
      </c>
      <c r="AA145" s="8">
        <v>86.293000000000006</v>
      </c>
      <c r="AB145" t="s">
        <v>6</v>
      </c>
      <c r="AC145" s="8">
        <v>72.275999999999996</v>
      </c>
      <c r="AD145" t="s">
        <v>6</v>
      </c>
      <c r="AE145" s="8">
        <v>101.8973</v>
      </c>
      <c r="AF145" t="s">
        <v>6</v>
      </c>
      <c r="AG145" s="8">
        <v>97.16</v>
      </c>
      <c r="AH145" t="s">
        <v>6</v>
      </c>
      <c r="AI145" s="8">
        <v>97.45</v>
      </c>
      <c r="AJ145" t="s">
        <v>6</v>
      </c>
      <c r="AK145" s="8">
        <v>193.1</v>
      </c>
      <c r="AL145" t="s">
        <v>6</v>
      </c>
    </row>
    <row r="146" spans="1:40" x14ac:dyDescent="0.2">
      <c r="A146" s="7" t="s">
        <v>53</v>
      </c>
      <c r="B146" t="s">
        <v>6</v>
      </c>
      <c r="C146" s="8">
        <v>32.875200990000003</v>
      </c>
      <c r="D146" s="10">
        <f t="shared" si="20"/>
        <v>0.97737038830189271</v>
      </c>
      <c r="E146" s="8">
        <v>69.8</v>
      </c>
      <c r="F146" s="10">
        <f t="shared" si="21"/>
        <v>0.96959257664365384</v>
      </c>
      <c r="G146" s="8">
        <v>90.929000000000002</v>
      </c>
      <c r="H146" t="s">
        <v>6</v>
      </c>
      <c r="I146" s="8">
        <v>77.722800000000007</v>
      </c>
      <c r="J146" t="s">
        <v>6</v>
      </c>
      <c r="K146" s="8">
        <v>73.004999999999995</v>
      </c>
      <c r="L146" t="s">
        <v>6</v>
      </c>
      <c r="M146" s="8">
        <v>82.245000000000005</v>
      </c>
      <c r="N146" t="s">
        <v>6</v>
      </c>
      <c r="O146" s="8">
        <v>84.987899999999996</v>
      </c>
      <c r="P146" t="s">
        <v>6</v>
      </c>
      <c r="Q146" s="8">
        <v>100.81</v>
      </c>
      <c r="R146" t="s">
        <v>6</v>
      </c>
      <c r="S146" s="8">
        <v>98.346159999999998</v>
      </c>
      <c r="T146" t="s">
        <v>6</v>
      </c>
      <c r="U146" s="8">
        <v>221.3</v>
      </c>
      <c r="V146" t="s">
        <v>6</v>
      </c>
      <c r="W146" s="8">
        <v>97.347134389999994</v>
      </c>
      <c r="X146" t="s">
        <v>6</v>
      </c>
      <c r="Y146" s="8">
        <v>143.56944999999999</v>
      </c>
      <c r="Z146" t="s">
        <v>6</v>
      </c>
      <c r="AA146" s="8">
        <v>86.766000000000005</v>
      </c>
      <c r="AB146" t="s">
        <v>6</v>
      </c>
      <c r="AC146" s="8">
        <v>72.921000000000006</v>
      </c>
      <c r="AD146" t="s">
        <v>6</v>
      </c>
      <c r="AE146" s="8">
        <v>102.17100000000001</v>
      </c>
      <c r="AF146" t="s">
        <v>6</v>
      </c>
      <c r="AG146" s="8">
        <v>97.37</v>
      </c>
      <c r="AH146" t="s">
        <v>6</v>
      </c>
      <c r="AI146" s="8">
        <v>98.62</v>
      </c>
      <c r="AJ146" t="s">
        <v>6</v>
      </c>
      <c r="AK146" s="8">
        <v>196.2</v>
      </c>
      <c r="AL146" t="s">
        <v>6</v>
      </c>
    </row>
    <row r="147" spans="1:40" x14ac:dyDescent="0.2">
      <c r="A147" s="7" t="s">
        <v>54</v>
      </c>
      <c r="B147" t="s">
        <v>6</v>
      </c>
      <c r="C147" s="8">
        <v>33.113817519999998</v>
      </c>
      <c r="D147" s="10">
        <f t="shared" si="20"/>
        <v>0.98446438996753383</v>
      </c>
      <c r="E147" s="8">
        <v>70.334999999999994</v>
      </c>
      <c r="F147" s="10">
        <f t="shared" si="21"/>
        <v>0.97702426759643823</v>
      </c>
      <c r="G147" s="8">
        <v>91.337999999999994</v>
      </c>
      <c r="H147" t="s">
        <v>6</v>
      </c>
      <c r="I147" s="8">
        <v>78.036299999999997</v>
      </c>
      <c r="J147" t="s">
        <v>6</v>
      </c>
      <c r="K147" s="8">
        <v>72.906999999999996</v>
      </c>
      <c r="L147" t="s">
        <v>6</v>
      </c>
      <c r="M147" s="8">
        <v>82.174000000000007</v>
      </c>
      <c r="N147" t="s">
        <v>6</v>
      </c>
      <c r="O147" s="8">
        <v>85.206299999999999</v>
      </c>
      <c r="P147" t="s">
        <v>6</v>
      </c>
      <c r="Q147" s="8">
        <v>101.11</v>
      </c>
      <c r="R147" t="s">
        <v>6</v>
      </c>
      <c r="S147" s="8">
        <v>98.632199999999997</v>
      </c>
      <c r="T147" t="s">
        <v>6</v>
      </c>
      <c r="U147" s="8">
        <v>222.6</v>
      </c>
      <c r="V147" t="s">
        <v>6</v>
      </c>
      <c r="W147" s="8">
        <v>97.857433470000004</v>
      </c>
      <c r="X147" t="s">
        <v>6</v>
      </c>
      <c r="Y147" s="8">
        <v>144.28729000000001</v>
      </c>
      <c r="Z147" t="s">
        <v>6</v>
      </c>
      <c r="AA147" s="8">
        <v>86.766000000000005</v>
      </c>
      <c r="AB147" t="s">
        <v>6</v>
      </c>
      <c r="AC147" s="8">
        <v>72.662999999999997</v>
      </c>
      <c r="AD147" t="s">
        <v>6</v>
      </c>
      <c r="AE147" s="8">
        <v>102.1383</v>
      </c>
      <c r="AF147" t="s">
        <v>6</v>
      </c>
      <c r="AG147" s="8">
        <v>98.12</v>
      </c>
      <c r="AH147" t="s">
        <v>6</v>
      </c>
      <c r="AI147" s="8">
        <v>98.92</v>
      </c>
      <c r="AJ147" t="s">
        <v>6</v>
      </c>
      <c r="AK147" s="8">
        <v>198.4</v>
      </c>
      <c r="AL147" t="s">
        <v>6</v>
      </c>
    </row>
    <row r="148" spans="1:40" x14ac:dyDescent="0.2">
      <c r="A148" s="7" t="s">
        <v>55</v>
      </c>
      <c r="B148" t="s">
        <v>6</v>
      </c>
      <c r="C148" s="8">
        <v>33.393486369999998</v>
      </c>
      <c r="D148" s="10">
        <f t="shared" si="20"/>
        <v>0.99277886544719973</v>
      </c>
      <c r="E148" s="8">
        <v>71.194999999999993</v>
      </c>
      <c r="F148" s="10">
        <f t="shared" si="21"/>
        <v>0.98897053716540007</v>
      </c>
      <c r="G148" s="8">
        <v>92.022999999999996</v>
      </c>
      <c r="H148" t="s">
        <v>6</v>
      </c>
      <c r="I148" s="8">
        <v>78.112099999999998</v>
      </c>
      <c r="J148" t="s">
        <v>6</v>
      </c>
      <c r="K148" s="8">
        <v>72.844999999999999</v>
      </c>
      <c r="L148" t="s">
        <v>6</v>
      </c>
      <c r="M148" s="8">
        <v>82.566000000000003</v>
      </c>
      <c r="N148" t="s">
        <v>6</v>
      </c>
      <c r="O148" s="8">
        <v>85.423000000000002</v>
      </c>
      <c r="P148" t="s">
        <v>6</v>
      </c>
      <c r="Q148" s="8">
        <v>101.78</v>
      </c>
      <c r="R148" t="s">
        <v>6</v>
      </c>
      <c r="S148" s="8">
        <v>99.152280000000005</v>
      </c>
      <c r="T148" t="s">
        <v>6</v>
      </c>
      <c r="U148" s="8">
        <v>224.7</v>
      </c>
      <c r="V148" t="s">
        <v>6</v>
      </c>
      <c r="W148" s="8">
        <v>98.461517240000006</v>
      </c>
      <c r="X148" t="s">
        <v>6</v>
      </c>
      <c r="Y148" s="8">
        <v>147.53376</v>
      </c>
      <c r="Z148" t="s">
        <v>6</v>
      </c>
      <c r="AA148" s="8">
        <v>86.900999999999996</v>
      </c>
      <c r="AB148" t="s">
        <v>6</v>
      </c>
      <c r="AC148" s="8">
        <v>74.275000000000006</v>
      </c>
      <c r="AD148" t="s">
        <v>6</v>
      </c>
      <c r="AE148" s="8">
        <v>101.9935</v>
      </c>
      <c r="AF148" t="s">
        <v>6</v>
      </c>
      <c r="AG148" s="8">
        <v>98.78</v>
      </c>
      <c r="AH148" t="s">
        <v>6</v>
      </c>
      <c r="AI148" s="8">
        <v>99.55</v>
      </c>
      <c r="AJ148" t="s">
        <v>6</v>
      </c>
      <c r="AK148" s="8">
        <v>201.4</v>
      </c>
      <c r="AL148" t="s">
        <v>6</v>
      </c>
    </row>
    <row r="149" spans="1:40" x14ac:dyDescent="0.2">
      <c r="A149" s="7" t="s">
        <v>56</v>
      </c>
      <c r="B149" t="s">
        <v>6</v>
      </c>
      <c r="C149" s="8">
        <v>33.63637919</v>
      </c>
      <c r="D149" s="10">
        <f t="shared" si="20"/>
        <v>1</v>
      </c>
      <c r="E149" s="8">
        <v>71.989000000000004</v>
      </c>
      <c r="F149" s="10">
        <f t="shared" si="21"/>
        <v>1</v>
      </c>
      <c r="G149" s="8">
        <v>92.787000000000006</v>
      </c>
      <c r="H149" t="s">
        <v>6</v>
      </c>
      <c r="I149" s="8">
        <v>78.165999999999997</v>
      </c>
      <c r="J149" t="s">
        <v>6</v>
      </c>
      <c r="K149" s="8">
        <v>72.983999999999995</v>
      </c>
      <c r="L149" t="s">
        <v>6</v>
      </c>
      <c r="M149" s="8">
        <v>83.105000000000004</v>
      </c>
      <c r="N149" t="s">
        <v>6</v>
      </c>
      <c r="O149" s="8">
        <v>85.654300000000006</v>
      </c>
      <c r="P149" t="s">
        <v>6</v>
      </c>
      <c r="Q149" s="8">
        <v>102.24</v>
      </c>
      <c r="R149" t="s">
        <v>6</v>
      </c>
      <c r="S149" s="8">
        <v>99.916790000000006</v>
      </c>
      <c r="T149" t="s">
        <v>6</v>
      </c>
      <c r="U149" s="8">
        <v>226.6</v>
      </c>
      <c r="V149" t="s">
        <v>6</v>
      </c>
      <c r="W149" s="8">
        <v>99.250412030000007</v>
      </c>
      <c r="X149" t="s">
        <v>6</v>
      </c>
      <c r="Y149" s="8">
        <v>149.71726000000001</v>
      </c>
      <c r="Z149" t="s">
        <v>6</v>
      </c>
      <c r="AA149" s="8">
        <v>87.102999999999994</v>
      </c>
      <c r="AB149" t="s">
        <v>6</v>
      </c>
      <c r="AC149" s="8">
        <v>74.596999999999994</v>
      </c>
      <c r="AD149" t="s">
        <v>6</v>
      </c>
      <c r="AE149" s="8">
        <v>102.0016</v>
      </c>
      <c r="AF149" t="s">
        <v>6</v>
      </c>
      <c r="AG149" s="8">
        <v>99.09</v>
      </c>
      <c r="AH149" t="s">
        <v>6</v>
      </c>
      <c r="AI149" s="8">
        <v>99.48</v>
      </c>
      <c r="AJ149" t="s">
        <v>6</v>
      </c>
      <c r="AK149" s="8">
        <v>204.5</v>
      </c>
      <c r="AL149" t="s">
        <v>6</v>
      </c>
    </row>
    <row r="150" spans="1:40" x14ac:dyDescent="0.2">
      <c r="A150" s="7" t="s">
        <v>57</v>
      </c>
      <c r="B150" t="s">
        <v>6</v>
      </c>
      <c r="C150" s="8">
        <v>33.918613800000003</v>
      </c>
      <c r="D150" s="10">
        <f t="shared" si="20"/>
        <v>1.0083907547957454</v>
      </c>
      <c r="E150" s="8">
        <v>73.260000000000005</v>
      </c>
      <c r="F150" s="10">
        <f t="shared" si="21"/>
        <v>1.0176554751420357</v>
      </c>
      <c r="G150" s="8">
        <v>93.370999999999995</v>
      </c>
      <c r="H150" t="s">
        <v>6</v>
      </c>
      <c r="I150" s="8">
        <v>78.257800000000003</v>
      </c>
      <c r="J150" t="s">
        <v>6</v>
      </c>
      <c r="K150" s="8">
        <v>73.459000000000003</v>
      </c>
      <c r="L150" t="s">
        <v>6</v>
      </c>
      <c r="M150" s="8">
        <v>83.724999999999994</v>
      </c>
      <c r="N150" t="s">
        <v>6</v>
      </c>
      <c r="O150" s="8">
        <v>86.094800000000006</v>
      </c>
      <c r="P150" t="s">
        <v>6</v>
      </c>
      <c r="Q150" s="8">
        <v>102.13</v>
      </c>
      <c r="R150" t="s">
        <v>6</v>
      </c>
      <c r="S150" s="8">
        <v>100</v>
      </c>
      <c r="T150" t="s">
        <v>6</v>
      </c>
      <c r="U150" s="8">
        <v>226.6</v>
      </c>
      <c r="V150" t="s">
        <v>6</v>
      </c>
      <c r="W150" s="8">
        <v>99.74209209</v>
      </c>
      <c r="X150" t="s">
        <v>6</v>
      </c>
      <c r="Y150" s="8">
        <v>150.37601000000001</v>
      </c>
      <c r="Z150" t="s">
        <v>6</v>
      </c>
      <c r="AA150" s="8">
        <v>87.710999999999999</v>
      </c>
      <c r="AB150" t="s">
        <v>6</v>
      </c>
      <c r="AC150" s="8">
        <v>75.692999999999998</v>
      </c>
      <c r="AD150" t="s">
        <v>6</v>
      </c>
      <c r="AE150" s="8">
        <v>102.1836</v>
      </c>
      <c r="AF150" t="s">
        <v>6</v>
      </c>
      <c r="AG150" s="8">
        <v>100</v>
      </c>
      <c r="AH150" t="s">
        <v>6</v>
      </c>
      <c r="AI150" s="8">
        <v>100</v>
      </c>
      <c r="AJ150" t="s">
        <v>6</v>
      </c>
      <c r="AK150" s="8">
        <v>208.2</v>
      </c>
      <c r="AL150" t="s">
        <v>6</v>
      </c>
    </row>
    <row r="151" spans="1:40" x14ac:dyDescent="0.2">
      <c r="A151" s="7" t="s">
        <v>68</v>
      </c>
      <c r="B151" t="s">
        <v>6</v>
      </c>
      <c r="C151" t="s">
        <v>45</v>
      </c>
      <c r="D151" s="11">
        <f>SUM(D152:D163)</f>
        <v>11.61706555838103</v>
      </c>
      <c r="E151" t="s">
        <v>45</v>
      </c>
      <c r="F151" s="11">
        <f>SUM(F152:F163)</f>
        <v>11.800010264437576</v>
      </c>
      <c r="G151" t="s">
        <v>45</v>
      </c>
      <c r="H151" t="s">
        <v>6</v>
      </c>
      <c r="I151" t="s">
        <v>45</v>
      </c>
      <c r="J151" t="s">
        <v>6</v>
      </c>
      <c r="K151" t="s">
        <v>45</v>
      </c>
      <c r="L151" t="s">
        <v>6</v>
      </c>
      <c r="M151" t="s">
        <v>45</v>
      </c>
      <c r="N151" t="s">
        <v>6</v>
      </c>
      <c r="O151" t="s">
        <v>45</v>
      </c>
      <c r="P151" t="s">
        <v>6</v>
      </c>
      <c r="Q151" t="s">
        <v>45</v>
      </c>
      <c r="R151" t="s">
        <v>6</v>
      </c>
      <c r="S151" t="s">
        <v>45</v>
      </c>
      <c r="T151" t="s">
        <v>6</v>
      </c>
      <c r="U151" t="s">
        <v>45</v>
      </c>
      <c r="V151" t="s">
        <v>6</v>
      </c>
      <c r="W151" t="s">
        <v>45</v>
      </c>
      <c r="X151" t="s">
        <v>6</v>
      </c>
      <c r="Y151" t="s">
        <v>45</v>
      </c>
      <c r="Z151" t="s">
        <v>6</v>
      </c>
      <c r="AA151" t="s">
        <v>45</v>
      </c>
      <c r="AB151" t="s">
        <v>6</v>
      </c>
      <c r="AC151" t="s">
        <v>45</v>
      </c>
      <c r="AD151" t="s">
        <v>6</v>
      </c>
      <c r="AE151" t="s">
        <v>45</v>
      </c>
      <c r="AF151" t="s">
        <v>6</v>
      </c>
      <c r="AG151" t="s">
        <v>45</v>
      </c>
      <c r="AH151" t="s">
        <v>6</v>
      </c>
      <c r="AI151" t="s">
        <v>45</v>
      </c>
      <c r="AJ151" t="s">
        <v>6</v>
      </c>
      <c r="AK151" t="s">
        <v>45</v>
      </c>
      <c r="AL151" t="s">
        <v>6</v>
      </c>
      <c r="AM151" t="s">
        <v>45</v>
      </c>
      <c r="AN151" t="s">
        <v>6</v>
      </c>
    </row>
    <row r="152" spans="1:40" x14ac:dyDescent="0.2">
      <c r="A152" s="7" t="s">
        <v>46</v>
      </c>
      <c r="B152" t="s">
        <v>6</v>
      </c>
      <c r="C152" s="8">
        <v>34.165817369999999</v>
      </c>
      <c r="D152" s="10">
        <f t="shared" ref="D152:D163" si="22">C152/C$162</f>
        <v>0.92753084603986291</v>
      </c>
      <c r="E152" s="8">
        <v>74.207999999999998</v>
      </c>
      <c r="F152" s="10">
        <f t="shared" ref="F152:F163" si="23">E152/E$162</f>
        <v>0.95212922926904375</v>
      </c>
      <c r="G152" s="8">
        <v>94.146000000000001</v>
      </c>
      <c r="H152" t="s">
        <v>6</v>
      </c>
      <c r="I152" s="8">
        <v>78.479399999999998</v>
      </c>
      <c r="J152" t="s">
        <v>6</v>
      </c>
      <c r="K152" s="8">
        <v>74.122</v>
      </c>
      <c r="L152" t="s">
        <v>6</v>
      </c>
      <c r="M152" s="8">
        <v>84.287000000000006</v>
      </c>
      <c r="N152" t="s">
        <v>6</v>
      </c>
      <c r="O152" s="8">
        <v>86.679599999999994</v>
      </c>
      <c r="P152" t="s">
        <v>6</v>
      </c>
      <c r="Q152" s="8">
        <v>102.77</v>
      </c>
      <c r="R152" t="s">
        <v>6</v>
      </c>
      <c r="S152" s="8">
        <v>100.82172</v>
      </c>
      <c r="T152" t="s">
        <v>6</v>
      </c>
      <c r="U152" s="8">
        <v>227.6</v>
      </c>
      <c r="V152" t="s">
        <v>6</v>
      </c>
      <c r="W152" s="8">
        <v>100.22799999999999</v>
      </c>
      <c r="X152" t="s">
        <v>6</v>
      </c>
      <c r="Y152" s="8">
        <v>150.73699999999999</v>
      </c>
      <c r="Z152" t="s">
        <v>6</v>
      </c>
      <c r="AA152" s="8">
        <v>88.319000000000003</v>
      </c>
      <c r="AB152" t="s">
        <v>6</v>
      </c>
      <c r="AC152" s="8">
        <v>76.853999999999999</v>
      </c>
      <c r="AD152" t="s">
        <v>6</v>
      </c>
      <c r="AE152" s="8">
        <v>102.58256</v>
      </c>
      <c r="AF152" t="s">
        <v>6</v>
      </c>
      <c r="AG152" s="8">
        <v>101.24</v>
      </c>
      <c r="AH152" t="s">
        <v>6</v>
      </c>
      <c r="AI152" s="8">
        <v>101.25</v>
      </c>
      <c r="AJ152" t="s">
        <v>6</v>
      </c>
      <c r="AK152" s="8">
        <v>213.9</v>
      </c>
      <c r="AL152" t="s">
        <v>6</v>
      </c>
    </row>
    <row r="153" spans="1:40" x14ac:dyDescent="0.2">
      <c r="A153" s="7" t="s">
        <v>47</v>
      </c>
      <c r="B153" t="s">
        <v>6</v>
      </c>
      <c r="C153" s="8">
        <v>34.417700949999997</v>
      </c>
      <c r="D153" s="10">
        <f t="shared" si="22"/>
        <v>0.93436896109301226</v>
      </c>
      <c r="E153" s="8">
        <v>75.438000000000002</v>
      </c>
      <c r="F153" s="10">
        <f t="shared" si="23"/>
        <v>0.96791080203749102</v>
      </c>
      <c r="G153" s="8">
        <v>94.899000000000001</v>
      </c>
      <c r="H153" t="s">
        <v>6</v>
      </c>
      <c r="I153" s="8">
        <v>78.647099999999995</v>
      </c>
      <c r="J153" t="s">
        <v>6</v>
      </c>
      <c r="K153" s="8">
        <v>74.569000000000003</v>
      </c>
      <c r="L153" t="s">
        <v>6</v>
      </c>
      <c r="M153" s="8">
        <v>84.655000000000001</v>
      </c>
      <c r="N153" t="s">
        <v>6</v>
      </c>
      <c r="O153" s="8">
        <v>87.160600000000002</v>
      </c>
      <c r="P153" t="s">
        <v>6</v>
      </c>
      <c r="Q153" s="8">
        <v>102.96</v>
      </c>
      <c r="R153" t="s">
        <v>6</v>
      </c>
      <c r="S153" s="8">
        <v>101.58103</v>
      </c>
      <c r="T153" t="s">
        <v>6</v>
      </c>
      <c r="U153" s="8">
        <v>229.2</v>
      </c>
      <c r="V153" t="s">
        <v>6</v>
      </c>
      <c r="W153" s="8">
        <v>100.604</v>
      </c>
      <c r="X153" t="s">
        <v>6</v>
      </c>
      <c r="Y153" s="8">
        <v>151.792</v>
      </c>
      <c r="Z153" t="s">
        <v>6</v>
      </c>
      <c r="AA153" s="8">
        <v>88.656000000000006</v>
      </c>
      <c r="AB153" t="s">
        <v>6</v>
      </c>
      <c r="AC153" s="8">
        <v>78.013999999999996</v>
      </c>
      <c r="AD153" t="s">
        <v>6</v>
      </c>
      <c r="AE153" s="8">
        <v>102.97476</v>
      </c>
      <c r="AF153" t="s">
        <v>6</v>
      </c>
      <c r="AG153" s="8">
        <v>102.46</v>
      </c>
      <c r="AH153" t="s">
        <v>6</v>
      </c>
      <c r="AI153" s="8">
        <v>102.2</v>
      </c>
      <c r="AJ153" t="s">
        <v>6</v>
      </c>
      <c r="AK153" s="8">
        <v>217.6</v>
      </c>
      <c r="AL153" t="s">
        <v>6</v>
      </c>
    </row>
    <row r="154" spans="1:40" x14ac:dyDescent="0.2">
      <c r="A154" s="7" t="s">
        <v>48</v>
      </c>
      <c r="B154" t="s">
        <v>6</v>
      </c>
      <c r="C154" s="8">
        <v>34.707914639999998</v>
      </c>
      <c r="D154" s="10">
        <f t="shared" si="22"/>
        <v>0.94224765887164097</v>
      </c>
      <c r="E154" s="8">
        <v>76.108000000000004</v>
      </c>
      <c r="F154" s="10">
        <f t="shared" si="23"/>
        <v>0.97650726850485647</v>
      </c>
      <c r="G154" s="8">
        <v>95.649000000000001</v>
      </c>
      <c r="H154" t="s">
        <v>6</v>
      </c>
      <c r="I154" s="8">
        <v>79.250299999999996</v>
      </c>
      <c r="J154" t="s">
        <v>6</v>
      </c>
      <c r="K154" s="8">
        <v>74.771000000000001</v>
      </c>
      <c r="L154" t="s">
        <v>6</v>
      </c>
      <c r="M154" s="8">
        <v>84.872</v>
      </c>
      <c r="N154" t="s">
        <v>6</v>
      </c>
      <c r="O154" s="8">
        <v>87.4542</v>
      </c>
      <c r="P154" t="s">
        <v>6</v>
      </c>
      <c r="Q154" s="8">
        <v>103.63</v>
      </c>
      <c r="R154" t="s">
        <v>6</v>
      </c>
      <c r="S154" s="8">
        <v>102.51716</v>
      </c>
      <c r="T154" t="s">
        <v>6</v>
      </c>
      <c r="U154" s="8">
        <v>230.8</v>
      </c>
      <c r="V154" t="s">
        <v>6</v>
      </c>
      <c r="W154" s="8">
        <v>100.797</v>
      </c>
      <c r="X154" t="s">
        <v>6</v>
      </c>
      <c r="Y154" s="8">
        <v>152.88499999999999</v>
      </c>
      <c r="Z154" t="s">
        <v>6</v>
      </c>
      <c r="AA154" s="8">
        <v>89.466999999999999</v>
      </c>
      <c r="AB154" t="s">
        <v>6</v>
      </c>
      <c r="AC154" s="8">
        <v>79.304000000000002</v>
      </c>
      <c r="AD154" t="s">
        <v>6</v>
      </c>
      <c r="AE154" s="8">
        <v>103.69812</v>
      </c>
      <c r="AF154" t="s">
        <v>6</v>
      </c>
      <c r="AG154" s="8">
        <v>103.65</v>
      </c>
      <c r="AH154" t="s">
        <v>6</v>
      </c>
      <c r="AI154" s="8">
        <v>103.65</v>
      </c>
      <c r="AJ154" t="s">
        <v>6</v>
      </c>
      <c r="AK154" s="8">
        <v>220.7</v>
      </c>
      <c r="AL154" t="s">
        <v>6</v>
      </c>
    </row>
    <row r="155" spans="1:40" x14ac:dyDescent="0.2">
      <c r="A155" s="7" t="s">
        <v>49</v>
      </c>
      <c r="B155" t="s">
        <v>6</v>
      </c>
      <c r="C155" s="8">
        <v>34.99812833</v>
      </c>
      <c r="D155" s="10">
        <f t="shared" si="22"/>
        <v>0.95012635665026968</v>
      </c>
      <c r="E155" s="8">
        <v>76.126000000000005</v>
      </c>
      <c r="F155" s="10">
        <f t="shared" si="23"/>
        <v>0.97673821835024843</v>
      </c>
      <c r="G155" s="8">
        <v>96.385000000000005</v>
      </c>
      <c r="H155" t="s">
        <v>6</v>
      </c>
      <c r="I155" s="8">
        <v>79.502300000000005</v>
      </c>
      <c r="J155" t="s">
        <v>6</v>
      </c>
      <c r="K155" s="8">
        <v>74.861999999999995</v>
      </c>
      <c r="L155" t="s">
        <v>6</v>
      </c>
      <c r="M155" s="8">
        <v>85.001000000000005</v>
      </c>
      <c r="N155" t="s">
        <v>6</v>
      </c>
      <c r="O155" s="8">
        <v>88.171400000000006</v>
      </c>
      <c r="P155" t="s">
        <v>6</v>
      </c>
      <c r="Q155" s="8">
        <v>106.71</v>
      </c>
      <c r="R155" t="s">
        <v>6</v>
      </c>
      <c r="S155" s="8">
        <v>103.17</v>
      </c>
      <c r="T155" t="s">
        <v>6</v>
      </c>
      <c r="U155" s="8">
        <v>233.4</v>
      </c>
      <c r="V155" t="s">
        <v>6</v>
      </c>
      <c r="W155" s="8">
        <v>100.789</v>
      </c>
      <c r="X155" t="s">
        <v>6</v>
      </c>
      <c r="Y155" s="8">
        <v>154.01599999999999</v>
      </c>
      <c r="Z155" t="s">
        <v>6</v>
      </c>
      <c r="AA155" s="8">
        <v>90.412000000000006</v>
      </c>
      <c r="AB155" t="s">
        <v>6</v>
      </c>
      <c r="AC155" s="8">
        <v>79.046000000000006</v>
      </c>
      <c r="AD155" t="s">
        <v>6</v>
      </c>
      <c r="AE155" s="8">
        <v>104.40422</v>
      </c>
      <c r="AF155" t="s">
        <v>6</v>
      </c>
      <c r="AG155" s="8">
        <v>104.55</v>
      </c>
      <c r="AH155" t="s">
        <v>6</v>
      </c>
      <c r="AI155" s="8">
        <v>104</v>
      </c>
      <c r="AJ155" t="s">
        <v>6</v>
      </c>
      <c r="AK155" s="8">
        <v>223.9</v>
      </c>
      <c r="AL155" t="s">
        <v>6</v>
      </c>
    </row>
    <row r="156" spans="1:40" x14ac:dyDescent="0.2">
      <c r="A156" s="7" t="s">
        <v>50</v>
      </c>
      <c r="B156" t="s">
        <v>6</v>
      </c>
      <c r="C156" s="8">
        <v>35.255487639999998</v>
      </c>
      <c r="D156" s="10">
        <f t="shared" si="22"/>
        <v>0.95711312637848744</v>
      </c>
      <c r="E156" s="8">
        <v>76.278999999999996</v>
      </c>
      <c r="F156" s="10">
        <f t="shared" si="23"/>
        <v>0.97870129203607958</v>
      </c>
      <c r="G156" s="8">
        <v>96.837999999999994</v>
      </c>
      <c r="H156" t="s">
        <v>6</v>
      </c>
      <c r="I156" s="8">
        <v>79.823300000000003</v>
      </c>
      <c r="J156" t="s">
        <v>6</v>
      </c>
      <c r="K156" s="8">
        <v>75.070999999999998</v>
      </c>
      <c r="L156" t="s">
        <v>6</v>
      </c>
      <c r="M156" s="8">
        <v>85.573999999999998</v>
      </c>
      <c r="N156" t="s">
        <v>6</v>
      </c>
      <c r="O156" s="8">
        <v>88.476299999999995</v>
      </c>
      <c r="P156" t="s">
        <v>6</v>
      </c>
      <c r="Q156" s="8">
        <v>107.23</v>
      </c>
      <c r="R156" t="s">
        <v>6</v>
      </c>
      <c r="S156" s="8">
        <v>103.68</v>
      </c>
      <c r="T156" t="s">
        <v>6</v>
      </c>
      <c r="U156" s="8">
        <v>234.8</v>
      </c>
      <c r="V156" t="s">
        <v>6</v>
      </c>
      <c r="W156" s="8">
        <v>100.04600000000001</v>
      </c>
      <c r="X156" t="s">
        <v>6</v>
      </c>
      <c r="Y156" s="8">
        <v>155.58699999999999</v>
      </c>
      <c r="Z156" t="s">
        <v>6</v>
      </c>
      <c r="AA156" s="8">
        <v>90.75</v>
      </c>
      <c r="AB156" t="s">
        <v>6</v>
      </c>
      <c r="AC156" s="8">
        <v>79.046000000000006</v>
      </c>
      <c r="AD156" t="s">
        <v>6</v>
      </c>
      <c r="AE156" s="8">
        <v>104.37</v>
      </c>
      <c r="AF156" t="s">
        <v>6</v>
      </c>
      <c r="AG156" s="8">
        <v>104.78</v>
      </c>
      <c r="AH156" t="s">
        <v>6</v>
      </c>
      <c r="AI156" s="8">
        <v>104.34</v>
      </c>
      <c r="AJ156" t="s">
        <v>6</v>
      </c>
      <c r="AK156" s="8">
        <v>229.6</v>
      </c>
      <c r="AL156" t="s">
        <v>6</v>
      </c>
    </row>
    <row r="157" spans="1:40" x14ac:dyDescent="0.2">
      <c r="A157" s="7" t="s">
        <v>51</v>
      </c>
      <c r="B157" t="s">
        <v>6</v>
      </c>
      <c r="C157" s="8">
        <v>35.507371220000003</v>
      </c>
      <c r="D157" s="10">
        <f t="shared" si="22"/>
        <v>0.96395124143163691</v>
      </c>
      <c r="E157" s="8">
        <v>76.385000000000005</v>
      </c>
      <c r="F157" s="10">
        <f t="shared" si="23"/>
        <v>0.98006133001449869</v>
      </c>
      <c r="G157" s="8">
        <v>96.983999999999995</v>
      </c>
      <c r="H157" t="s">
        <v>6</v>
      </c>
      <c r="I157" s="8">
        <v>79.960599999999999</v>
      </c>
      <c r="J157" t="s">
        <v>6</v>
      </c>
      <c r="K157" s="8">
        <v>75.316000000000003</v>
      </c>
      <c r="L157" t="s">
        <v>6</v>
      </c>
      <c r="M157" s="8">
        <v>86.054000000000002</v>
      </c>
      <c r="N157" t="s">
        <v>6</v>
      </c>
      <c r="O157" s="8">
        <v>88.511499999999998</v>
      </c>
      <c r="P157" t="s">
        <v>6</v>
      </c>
      <c r="Q157" s="8">
        <v>107.29</v>
      </c>
      <c r="R157" t="s">
        <v>6</v>
      </c>
      <c r="S157" s="8">
        <v>104.23</v>
      </c>
      <c r="T157" t="s">
        <v>6</v>
      </c>
      <c r="U157" s="8">
        <v>235.8</v>
      </c>
      <c r="V157" t="s">
        <v>6</v>
      </c>
      <c r="W157" s="8">
        <v>100.041</v>
      </c>
      <c r="X157" t="s">
        <v>6</v>
      </c>
      <c r="Y157" s="8">
        <v>156.42699999999999</v>
      </c>
      <c r="Z157" t="s">
        <v>6</v>
      </c>
      <c r="AA157" s="8">
        <v>90.885000000000005</v>
      </c>
      <c r="AB157" t="s">
        <v>6</v>
      </c>
      <c r="AC157" s="8">
        <v>78.593999999999994</v>
      </c>
      <c r="AD157" t="s">
        <v>6</v>
      </c>
      <c r="AE157" s="8">
        <v>104.482</v>
      </c>
      <c r="AF157" t="s">
        <v>6</v>
      </c>
      <c r="AG157" s="8">
        <v>105.85</v>
      </c>
      <c r="AH157" t="s">
        <v>6</v>
      </c>
      <c r="AI157" s="8">
        <v>104.71</v>
      </c>
      <c r="AJ157" t="s">
        <v>6</v>
      </c>
      <c r="AK157" s="8">
        <v>235.3</v>
      </c>
      <c r="AL157" t="s">
        <v>6</v>
      </c>
    </row>
    <row r="158" spans="1:40" x14ac:dyDescent="0.2">
      <c r="A158" s="7" t="s">
        <v>52</v>
      </c>
      <c r="B158" t="s">
        <v>6</v>
      </c>
      <c r="C158" s="8">
        <v>35.78937131</v>
      </c>
      <c r="D158" s="10">
        <f t="shared" si="22"/>
        <v>0.97160695706192324</v>
      </c>
      <c r="E158" s="8">
        <v>76.790999999999997</v>
      </c>
      <c r="F158" s="10">
        <f t="shared" si="23"/>
        <v>0.9852705320827827</v>
      </c>
      <c r="G158" s="8">
        <v>97.138999999999996</v>
      </c>
      <c r="H158" t="s">
        <v>6</v>
      </c>
      <c r="I158" s="8">
        <v>80.06</v>
      </c>
      <c r="J158" t="s">
        <v>6</v>
      </c>
      <c r="K158" s="8">
        <v>75.42</v>
      </c>
      <c r="L158" t="s">
        <v>6</v>
      </c>
      <c r="M158" s="8">
        <v>86.34</v>
      </c>
      <c r="N158" t="s">
        <v>6</v>
      </c>
      <c r="O158" s="8">
        <v>88.667100000000005</v>
      </c>
      <c r="P158" t="s">
        <v>6</v>
      </c>
      <c r="Q158" s="8">
        <v>107.57</v>
      </c>
      <c r="R158" t="s">
        <v>6</v>
      </c>
      <c r="S158" s="8">
        <v>105.22</v>
      </c>
      <c r="T158" t="s">
        <v>6</v>
      </c>
      <c r="U158" s="8">
        <v>237.4</v>
      </c>
      <c r="V158" t="s">
        <v>6</v>
      </c>
      <c r="W158" s="8">
        <v>100.521</v>
      </c>
      <c r="X158" t="s">
        <v>6</v>
      </c>
      <c r="Y158" s="8">
        <v>157.11600000000001</v>
      </c>
      <c r="Z158" t="s">
        <v>6</v>
      </c>
      <c r="AA158" s="8">
        <v>90.951999999999998</v>
      </c>
      <c r="AB158" t="s">
        <v>6</v>
      </c>
      <c r="AC158" s="8">
        <v>78.593999999999994</v>
      </c>
      <c r="AD158" t="s">
        <v>6</v>
      </c>
      <c r="AE158" s="8">
        <v>105.31144999999999</v>
      </c>
      <c r="AF158" t="s">
        <v>6</v>
      </c>
      <c r="AG158" s="8">
        <v>106.75</v>
      </c>
      <c r="AH158" t="s">
        <v>6</v>
      </c>
      <c r="AI158" s="8">
        <v>105.5</v>
      </c>
      <c r="AJ158" t="s">
        <v>6</v>
      </c>
      <c r="AK158" s="8">
        <v>241.6</v>
      </c>
      <c r="AL158" t="s">
        <v>6</v>
      </c>
    </row>
    <row r="159" spans="1:40" x14ac:dyDescent="0.2">
      <c r="A159" s="7" t="s">
        <v>53</v>
      </c>
      <c r="B159" t="s">
        <v>6</v>
      </c>
      <c r="C159" s="8">
        <v>36.087798599999999</v>
      </c>
      <c r="D159" s="10">
        <f t="shared" si="22"/>
        <v>0.9797086369888941</v>
      </c>
      <c r="E159" s="8">
        <v>77.084999999999994</v>
      </c>
      <c r="F159" s="10">
        <f t="shared" si="23"/>
        <v>0.98904271289085055</v>
      </c>
      <c r="G159" s="8">
        <v>97.498000000000005</v>
      </c>
      <c r="H159" t="s">
        <v>6</v>
      </c>
      <c r="I159" s="8">
        <v>80.189800000000005</v>
      </c>
      <c r="J159" t="s">
        <v>6</v>
      </c>
      <c r="K159" s="8">
        <v>75.391999999999996</v>
      </c>
      <c r="L159" t="s">
        <v>6</v>
      </c>
      <c r="M159" s="8">
        <v>86.563000000000002</v>
      </c>
      <c r="N159" t="s">
        <v>6</v>
      </c>
      <c r="O159" s="8">
        <v>89.097999999999999</v>
      </c>
      <c r="P159" t="s">
        <v>6</v>
      </c>
      <c r="Q159" s="8">
        <v>107.69</v>
      </c>
      <c r="R159" t="s">
        <v>6</v>
      </c>
      <c r="S159" s="8">
        <v>105.85</v>
      </c>
      <c r="T159" t="s">
        <v>6</v>
      </c>
      <c r="U159" s="8">
        <v>238.3</v>
      </c>
      <c r="V159" t="s">
        <v>6</v>
      </c>
      <c r="W159" s="8">
        <v>100.68</v>
      </c>
      <c r="X159" t="s">
        <v>6</v>
      </c>
      <c r="Y159" s="8">
        <v>158.26300000000001</v>
      </c>
      <c r="Z159" t="s">
        <v>6</v>
      </c>
      <c r="AA159" s="8">
        <v>91.356999999999999</v>
      </c>
      <c r="AB159" t="s">
        <v>6</v>
      </c>
      <c r="AC159" s="8">
        <v>79.367999999999995</v>
      </c>
      <c r="AD159" t="s">
        <v>6</v>
      </c>
      <c r="AE159" s="8">
        <v>105.59139</v>
      </c>
      <c r="AF159" t="s">
        <v>6</v>
      </c>
      <c r="AG159" s="8">
        <v>107.28</v>
      </c>
      <c r="AH159" t="s">
        <v>6</v>
      </c>
      <c r="AI159" s="8">
        <v>106.09</v>
      </c>
      <c r="AJ159" t="s">
        <v>6</v>
      </c>
      <c r="AK159" s="8">
        <v>246.9</v>
      </c>
      <c r="AL159" t="s">
        <v>6</v>
      </c>
    </row>
    <row r="160" spans="1:40" x14ac:dyDescent="0.2">
      <c r="A160" s="7" t="s">
        <v>54</v>
      </c>
      <c r="B160" t="s">
        <v>6</v>
      </c>
      <c r="C160" s="8">
        <v>36.388963750000002</v>
      </c>
      <c r="D160" s="10">
        <f t="shared" si="22"/>
        <v>0.98788464411765975</v>
      </c>
      <c r="E160" s="8">
        <v>77.320999999999998</v>
      </c>
      <c r="F160" s="10">
        <f t="shared" si="23"/>
        <v>0.99207072197487789</v>
      </c>
      <c r="G160" s="8">
        <v>98.015000000000001</v>
      </c>
      <c r="H160" t="s">
        <v>6</v>
      </c>
      <c r="I160" s="8">
        <v>80.586600000000004</v>
      </c>
      <c r="J160" t="s">
        <v>6</v>
      </c>
      <c r="K160" s="8">
        <v>75.63</v>
      </c>
      <c r="L160" t="s">
        <v>6</v>
      </c>
      <c r="M160" s="8">
        <v>86.427999999999997</v>
      </c>
      <c r="N160" t="s">
        <v>6</v>
      </c>
      <c r="O160" s="8">
        <v>89.802700000000002</v>
      </c>
      <c r="P160" t="s">
        <v>6</v>
      </c>
      <c r="Q160" s="8">
        <v>107.4</v>
      </c>
      <c r="R160" t="s">
        <v>6</v>
      </c>
      <c r="S160" s="8">
        <v>105.78</v>
      </c>
      <c r="T160" t="s">
        <v>6</v>
      </c>
      <c r="U160" s="8">
        <v>237.8</v>
      </c>
      <c r="V160" t="s">
        <v>6</v>
      </c>
      <c r="W160" s="8">
        <v>100.92700000000001</v>
      </c>
      <c r="X160" t="s">
        <v>6</v>
      </c>
      <c r="Y160" s="8">
        <v>158.73699999999999</v>
      </c>
      <c r="Z160" t="s">
        <v>6</v>
      </c>
      <c r="AA160" s="8">
        <v>92.031999999999996</v>
      </c>
      <c r="AB160" t="s">
        <v>6</v>
      </c>
      <c r="AC160" s="8">
        <v>79.497</v>
      </c>
      <c r="AD160" t="s">
        <v>6</v>
      </c>
      <c r="AE160" s="8">
        <v>105.94426</v>
      </c>
      <c r="AF160" t="s">
        <v>6</v>
      </c>
      <c r="AG160" s="8">
        <v>107.51</v>
      </c>
      <c r="AH160" t="s">
        <v>6</v>
      </c>
      <c r="AI160" s="8">
        <v>106.63</v>
      </c>
      <c r="AJ160" t="s">
        <v>6</v>
      </c>
      <c r="AK160" s="8">
        <v>250.9</v>
      </c>
      <c r="AL160" t="s">
        <v>6</v>
      </c>
    </row>
    <row r="161" spans="1:40" x14ac:dyDescent="0.2">
      <c r="A161" s="7" t="s">
        <v>55</v>
      </c>
      <c r="B161" t="s">
        <v>6</v>
      </c>
      <c r="C161" s="8">
        <v>36.618944409999997</v>
      </c>
      <c r="D161" s="10">
        <f t="shared" si="22"/>
        <v>0.9941281404705351</v>
      </c>
      <c r="E161" s="8">
        <v>77.686000000000007</v>
      </c>
      <c r="F161" s="10">
        <f t="shared" si="23"/>
        <v>0.99675387161754725</v>
      </c>
      <c r="G161" s="8">
        <v>98.436999999999998</v>
      </c>
      <c r="H161" t="s">
        <v>6</v>
      </c>
      <c r="I161" s="8">
        <v>80.976699999999994</v>
      </c>
      <c r="J161" t="s">
        <v>6</v>
      </c>
      <c r="K161" s="8">
        <v>75.769000000000005</v>
      </c>
      <c r="L161" t="s">
        <v>6</v>
      </c>
      <c r="M161" s="8">
        <v>86.632999999999996</v>
      </c>
      <c r="N161" t="s">
        <v>6</v>
      </c>
      <c r="O161" s="8">
        <v>90.118899999999996</v>
      </c>
      <c r="P161" t="s">
        <v>6</v>
      </c>
      <c r="Q161" s="8">
        <v>107.32</v>
      </c>
      <c r="R161" t="s">
        <v>6</v>
      </c>
      <c r="S161" s="8">
        <v>105.74</v>
      </c>
      <c r="T161" t="s">
        <v>6</v>
      </c>
      <c r="U161" s="8">
        <v>238</v>
      </c>
      <c r="V161" t="s">
        <v>6</v>
      </c>
      <c r="W161" s="8">
        <v>101.608</v>
      </c>
      <c r="X161" t="s">
        <v>6</v>
      </c>
      <c r="Y161" s="8">
        <v>159.53100000000001</v>
      </c>
      <c r="Z161" t="s">
        <v>6</v>
      </c>
      <c r="AA161" s="8">
        <v>92.234999999999999</v>
      </c>
      <c r="AB161" t="s">
        <v>6</v>
      </c>
      <c r="AC161" s="8">
        <v>78.852000000000004</v>
      </c>
      <c r="AD161" t="s">
        <v>6</v>
      </c>
      <c r="AE161" s="8">
        <v>106.27782000000001</v>
      </c>
      <c r="AF161" t="s">
        <v>6</v>
      </c>
      <c r="AG161" s="8">
        <v>107.54</v>
      </c>
      <c r="AH161" t="s">
        <v>6</v>
      </c>
      <c r="AI161" s="8">
        <v>107.39</v>
      </c>
      <c r="AJ161" t="s">
        <v>6</v>
      </c>
      <c r="AK161" s="8">
        <v>255.5</v>
      </c>
      <c r="AL161" t="s">
        <v>6</v>
      </c>
    </row>
    <row r="162" spans="1:40" x14ac:dyDescent="0.2">
      <c r="A162" s="7" t="s">
        <v>56</v>
      </c>
      <c r="B162" t="s">
        <v>6</v>
      </c>
      <c r="C162" s="8">
        <v>36.835235740000002</v>
      </c>
      <c r="D162" s="10">
        <f t="shared" si="22"/>
        <v>1</v>
      </c>
      <c r="E162" s="8">
        <v>77.938999999999993</v>
      </c>
      <c r="F162" s="10">
        <f t="shared" si="23"/>
        <v>1</v>
      </c>
      <c r="G162" s="8">
        <v>98.947999999999993</v>
      </c>
      <c r="H162" t="s">
        <v>6</v>
      </c>
      <c r="I162" s="8">
        <v>81.236199999999997</v>
      </c>
      <c r="J162" t="s">
        <v>6</v>
      </c>
      <c r="K162" s="8">
        <v>75.873999999999995</v>
      </c>
      <c r="L162" t="s">
        <v>6</v>
      </c>
      <c r="M162" s="8">
        <v>86.89</v>
      </c>
      <c r="N162" t="s">
        <v>6</v>
      </c>
      <c r="O162" s="8">
        <v>90.392300000000006</v>
      </c>
      <c r="P162" t="s">
        <v>6</v>
      </c>
      <c r="Q162" s="8">
        <v>107.48</v>
      </c>
      <c r="R162" t="s">
        <v>6</v>
      </c>
      <c r="S162" s="8">
        <v>105.97</v>
      </c>
      <c r="T162" t="s">
        <v>6</v>
      </c>
      <c r="U162" s="8">
        <v>238.9</v>
      </c>
      <c r="V162" t="s">
        <v>6</v>
      </c>
      <c r="W162" s="8">
        <v>102.70699999999999</v>
      </c>
      <c r="X162" t="s">
        <v>6</v>
      </c>
      <c r="Y162" s="8">
        <v>161.50899999999999</v>
      </c>
      <c r="Z162" t="s">
        <v>6</v>
      </c>
      <c r="AA162" s="8">
        <v>93.045000000000002</v>
      </c>
      <c r="AB162" t="s">
        <v>6</v>
      </c>
      <c r="AC162" s="8">
        <v>78.787999999999997</v>
      </c>
      <c r="AD162" t="s">
        <v>6</v>
      </c>
      <c r="AE162" s="8">
        <v>106.736</v>
      </c>
      <c r="AF162" t="s">
        <v>6</v>
      </c>
      <c r="AG162" s="8">
        <v>107.64</v>
      </c>
      <c r="AH162" t="s">
        <v>6</v>
      </c>
      <c r="AI162" s="8">
        <v>107.84</v>
      </c>
      <c r="AJ162" t="s">
        <v>6</v>
      </c>
      <c r="AK162" s="8">
        <v>261</v>
      </c>
      <c r="AL162" t="s">
        <v>6</v>
      </c>
    </row>
    <row r="163" spans="1:40" x14ac:dyDescent="0.2">
      <c r="A163" s="7" t="s">
        <v>57</v>
      </c>
      <c r="B163" t="s">
        <v>6</v>
      </c>
      <c r="C163" s="8">
        <v>37.144614490000002</v>
      </c>
      <c r="D163" s="10">
        <f t="shared" si="22"/>
        <v>1.0083989892771079</v>
      </c>
      <c r="E163" s="8">
        <v>78.314999999999998</v>
      </c>
      <c r="F163" s="10">
        <f t="shared" si="23"/>
        <v>1.0048242856592977</v>
      </c>
      <c r="G163" s="8">
        <v>99.442999999999998</v>
      </c>
      <c r="H163" t="s">
        <v>6</v>
      </c>
      <c r="I163" s="8">
        <v>81.732399999999998</v>
      </c>
      <c r="J163" t="s">
        <v>6</v>
      </c>
      <c r="K163" s="8">
        <v>76.194999999999993</v>
      </c>
      <c r="L163" t="s">
        <v>6</v>
      </c>
      <c r="M163" s="8">
        <v>87.686999999999998</v>
      </c>
      <c r="N163" t="s">
        <v>6</v>
      </c>
      <c r="O163" s="8">
        <v>90.751999999999995</v>
      </c>
      <c r="P163" t="s">
        <v>6</v>
      </c>
      <c r="Q163" s="8">
        <v>107.29</v>
      </c>
      <c r="R163" t="s">
        <v>6</v>
      </c>
      <c r="S163" s="8">
        <v>106.2</v>
      </c>
      <c r="T163" t="s">
        <v>6</v>
      </c>
      <c r="U163" s="8">
        <v>239.3</v>
      </c>
      <c r="V163" t="s">
        <v>6</v>
      </c>
      <c r="W163" s="8">
        <v>103.551</v>
      </c>
      <c r="X163" t="s">
        <v>6</v>
      </c>
      <c r="Y163" s="8">
        <v>163.25399999999999</v>
      </c>
      <c r="Z163" t="s">
        <v>6</v>
      </c>
      <c r="AA163" s="8">
        <v>93.248000000000005</v>
      </c>
      <c r="AB163" t="s">
        <v>6</v>
      </c>
      <c r="AC163" s="8">
        <v>79.433000000000007</v>
      </c>
      <c r="AD163" t="s">
        <v>6</v>
      </c>
      <c r="AE163" s="8">
        <v>107.02500000000001</v>
      </c>
      <c r="AF163" t="s">
        <v>6</v>
      </c>
      <c r="AG163" s="8">
        <v>107.76</v>
      </c>
      <c r="AH163" t="s">
        <v>6</v>
      </c>
      <c r="AI163" s="8">
        <v>108.6</v>
      </c>
      <c r="AJ163" t="s">
        <v>6</v>
      </c>
      <c r="AK163" s="8">
        <v>265.60000000000002</v>
      </c>
      <c r="AL163" t="s">
        <v>6</v>
      </c>
    </row>
    <row r="164" spans="1:40" x14ac:dyDescent="0.2">
      <c r="A164" s="7" t="s">
        <v>69</v>
      </c>
      <c r="B164" t="s">
        <v>6</v>
      </c>
      <c r="C164" t="s">
        <v>45</v>
      </c>
      <c r="D164" s="11">
        <f>SUM(D165:D176)</f>
        <v>11.556339448195786</v>
      </c>
      <c r="E164" t="s">
        <v>45</v>
      </c>
      <c r="F164" s="11">
        <f>SUM(F165:F176)</f>
        <v>11.85556350714409</v>
      </c>
      <c r="G164" t="s">
        <v>45</v>
      </c>
      <c r="H164" t="s">
        <v>6</v>
      </c>
      <c r="I164" t="s">
        <v>45</v>
      </c>
      <c r="J164" t="s">
        <v>6</v>
      </c>
      <c r="K164" t="s">
        <v>45</v>
      </c>
      <c r="L164" t="s">
        <v>6</v>
      </c>
      <c r="M164" t="s">
        <v>45</v>
      </c>
      <c r="N164" t="s">
        <v>6</v>
      </c>
      <c r="O164" t="s">
        <v>45</v>
      </c>
      <c r="P164" t="s">
        <v>6</v>
      </c>
      <c r="Q164" t="s">
        <v>45</v>
      </c>
      <c r="R164" t="s">
        <v>6</v>
      </c>
      <c r="S164" t="s">
        <v>45</v>
      </c>
      <c r="T164" t="s">
        <v>6</v>
      </c>
      <c r="U164" t="s">
        <v>45</v>
      </c>
      <c r="V164" t="s">
        <v>6</v>
      </c>
      <c r="W164" t="s">
        <v>45</v>
      </c>
      <c r="X164" t="s">
        <v>6</v>
      </c>
      <c r="Y164" t="s">
        <v>45</v>
      </c>
      <c r="Z164" t="s">
        <v>6</v>
      </c>
      <c r="AA164" t="s">
        <v>45</v>
      </c>
      <c r="AB164" t="s">
        <v>6</v>
      </c>
      <c r="AC164" t="s">
        <v>45</v>
      </c>
      <c r="AD164" t="s">
        <v>6</v>
      </c>
      <c r="AE164" t="s">
        <v>45</v>
      </c>
      <c r="AF164" t="s">
        <v>6</v>
      </c>
      <c r="AG164" t="s">
        <v>45</v>
      </c>
      <c r="AH164" t="s">
        <v>6</v>
      </c>
      <c r="AI164" t="s">
        <v>45</v>
      </c>
      <c r="AJ164" t="s">
        <v>6</v>
      </c>
      <c r="AK164" t="s">
        <v>45</v>
      </c>
      <c r="AL164" t="s">
        <v>6</v>
      </c>
      <c r="AM164" t="s">
        <v>45</v>
      </c>
      <c r="AN164" t="s">
        <v>6</v>
      </c>
    </row>
    <row r="165" spans="1:40" x14ac:dyDescent="0.2">
      <c r="A165" s="7" t="s">
        <v>46</v>
      </c>
      <c r="B165" t="s">
        <v>6</v>
      </c>
      <c r="C165" s="8">
        <v>37.484109750000002</v>
      </c>
      <c r="D165" s="10">
        <f t="shared" ref="D165:D176" si="24">C165/C$175</f>
        <v>0.91990862064260326</v>
      </c>
      <c r="E165" s="8">
        <v>78.557000000000002</v>
      </c>
      <c r="F165" s="10">
        <f t="shared" ref="F165:F176" si="25">E165/E$175</f>
        <v>0.96928904572711794</v>
      </c>
      <c r="G165" s="8">
        <v>100</v>
      </c>
      <c r="H165" t="s">
        <v>6</v>
      </c>
      <c r="I165" s="8">
        <v>81.801500000000004</v>
      </c>
      <c r="J165" t="s">
        <v>6</v>
      </c>
      <c r="K165" s="8">
        <v>76.753</v>
      </c>
      <c r="L165" t="s">
        <v>6</v>
      </c>
      <c r="M165" s="8">
        <v>87.837999999999994</v>
      </c>
      <c r="N165" t="s">
        <v>6</v>
      </c>
      <c r="O165" s="8">
        <v>91.2667</v>
      </c>
      <c r="P165" t="s">
        <v>6</v>
      </c>
      <c r="Q165" s="8">
        <v>107.65</v>
      </c>
      <c r="R165" t="s">
        <v>6</v>
      </c>
      <c r="S165" s="8">
        <v>106.3</v>
      </c>
      <c r="T165" t="s">
        <v>6</v>
      </c>
      <c r="U165" s="8">
        <v>239.8</v>
      </c>
      <c r="V165" t="s">
        <v>6</v>
      </c>
      <c r="W165" s="8">
        <v>104.28400000000001</v>
      </c>
      <c r="X165" t="s">
        <v>6</v>
      </c>
      <c r="Y165" s="8">
        <v>163.77600000000001</v>
      </c>
      <c r="Z165" t="s">
        <v>6</v>
      </c>
      <c r="AA165" s="8">
        <v>93.72</v>
      </c>
      <c r="AB165" t="s">
        <v>6</v>
      </c>
      <c r="AC165" s="8">
        <v>80.271000000000001</v>
      </c>
      <c r="AD165" t="s">
        <v>6</v>
      </c>
      <c r="AE165" s="8">
        <v>106.917</v>
      </c>
      <c r="AF165" t="s">
        <v>6</v>
      </c>
      <c r="AG165" s="8">
        <v>108.23</v>
      </c>
      <c r="AH165" t="s">
        <v>6</v>
      </c>
      <c r="AI165" s="8">
        <v>109.4</v>
      </c>
      <c r="AJ165" t="s">
        <v>6</v>
      </c>
      <c r="AK165" s="8">
        <v>269.60000000000002</v>
      </c>
      <c r="AL165" t="s">
        <v>6</v>
      </c>
    </row>
    <row r="166" spans="1:40" x14ac:dyDescent="0.2">
      <c r="A166" s="7" t="s">
        <v>47</v>
      </c>
      <c r="B166" t="s">
        <v>6</v>
      </c>
      <c r="C166" s="8">
        <v>37.760634109999998</v>
      </c>
      <c r="D166" s="10">
        <f t="shared" si="24"/>
        <v>0.92669488672383715</v>
      </c>
      <c r="E166" s="8">
        <v>78.944999999999993</v>
      </c>
      <c r="F166" s="10">
        <f t="shared" si="25"/>
        <v>0.97407645041087765</v>
      </c>
      <c r="G166" s="8">
        <v>100.45</v>
      </c>
      <c r="H166" t="s">
        <v>6</v>
      </c>
      <c r="I166" s="8">
        <v>82.121700000000004</v>
      </c>
      <c r="J166" t="s">
        <v>6</v>
      </c>
      <c r="K166" s="8">
        <v>77.221000000000004</v>
      </c>
      <c r="L166" t="s">
        <v>6</v>
      </c>
      <c r="M166" s="8">
        <v>88.09</v>
      </c>
      <c r="N166" t="s">
        <v>6</v>
      </c>
      <c r="O166" s="8">
        <v>91.976299999999995</v>
      </c>
      <c r="P166" t="s">
        <v>6</v>
      </c>
      <c r="Q166" s="8">
        <v>108</v>
      </c>
      <c r="R166" t="s">
        <v>6</v>
      </c>
      <c r="S166" s="8">
        <v>106.83</v>
      </c>
      <c r="T166" t="s">
        <v>6</v>
      </c>
      <c r="U166" s="8">
        <v>242.1</v>
      </c>
      <c r="V166" t="s">
        <v>6</v>
      </c>
      <c r="W166" s="8">
        <v>104.496</v>
      </c>
      <c r="X166" t="s">
        <v>6</v>
      </c>
      <c r="Y166" s="8">
        <v>165.59399999999999</v>
      </c>
      <c r="Z166" t="s">
        <v>6</v>
      </c>
      <c r="AA166" s="8">
        <v>94.328000000000003</v>
      </c>
      <c r="AB166" t="s">
        <v>6</v>
      </c>
      <c r="AC166" s="8">
        <v>81.495999999999995</v>
      </c>
      <c r="AD166" t="s">
        <v>6</v>
      </c>
      <c r="AE166" s="8">
        <v>107.264</v>
      </c>
      <c r="AF166" t="s">
        <v>6</v>
      </c>
      <c r="AG166" s="8">
        <v>108.61</v>
      </c>
      <c r="AH166" t="s">
        <v>6</v>
      </c>
      <c r="AI166" s="8">
        <v>110.31</v>
      </c>
      <c r="AJ166" t="s">
        <v>6</v>
      </c>
      <c r="AK166" s="8">
        <v>272.60000000000002</v>
      </c>
      <c r="AL166" t="s">
        <v>6</v>
      </c>
    </row>
    <row r="167" spans="1:40" x14ac:dyDescent="0.2">
      <c r="A167" s="7" t="s">
        <v>48</v>
      </c>
      <c r="B167" t="s">
        <v>6</v>
      </c>
      <c r="C167" s="8">
        <v>38.113818700000003</v>
      </c>
      <c r="D167" s="10">
        <f t="shared" si="24"/>
        <v>0.93536249417632922</v>
      </c>
      <c r="E167" s="8">
        <v>79.174000000000007</v>
      </c>
      <c r="F167" s="10">
        <f t="shared" si="25"/>
        <v>0.97690200626804535</v>
      </c>
      <c r="G167" s="8">
        <v>100.661</v>
      </c>
      <c r="H167" t="s">
        <v>6</v>
      </c>
      <c r="I167" s="8">
        <v>82.251400000000004</v>
      </c>
      <c r="J167" t="s">
        <v>6</v>
      </c>
      <c r="K167" s="8">
        <v>77.311999999999998</v>
      </c>
      <c r="L167" t="s">
        <v>6</v>
      </c>
      <c r="M167" s="8">
        <v>88.441000000000003</v>
      </c>
      <c r="N167" t="s">
        <v>6</v>
      </c>
      <c r="O167" s="8">
        <v>92.805000000000007</v>
      </c>
      <c r="P167" t="s">
        <v>6</v>
      </c>
      <c r="Q167" s="8">
        <v>108.16</v>
      </c>
      <c r="R167" t="s">
        <v>6</v>
      </c>
      <c r="S167" s="8">
        <v>107.18</v>
      </c>
      <c r="T167" t="s">
        <v>6</v>
      </c>
      <c r="U167" s="8">
        <v>243.9</v>
      </c>
      <c r="V167" t="s">
        <v>6</v>
      </c>
      <c r="W167" s="8">
        <v>104.556</v>
      </c>
      <c r="X167" t="s">
        <v>6</v>
      </c>
      <c r="Y167" s="8">
        <v>166.28899999999999</v>
      </c>
      <c r="Z167" t="s">
        <v>6</v>
      </c>
      <c r="AA167" s="8">
        <v>95.138000000000005</v>
      </c>
      <c r="AB167" t="s">
        <v>6</v>
      </c>
      <c r="AC167" s="8">
        <v>81.882999999999996</v>
      </c>
      <c r="AD167" t="s">
        <v>6</v>
      </c>
      <c r="AE167" s="8">
        <v>108.086</v>
      </c>
      <c r="AF167" t="s">
        <v>6</v>
      </c>
      <c r="AG167" s="8">
        <v>108.77</v>
      </c>
      <c r="AH167" t="s">
        <v>6</v>
      </c>
      <c r="AI167" s="8">
        <v>111.4</v>
      </c>
      <c r="AJ167" t="s">
        <v>6</v>
      </c>
      <c r="AK167" s="8">
        <v>275</v>
      </c>
      <c r="AL167" t="s">
        <v>6</v>
      </c>
    </row>
    <row r="168" spans="1:40" x14ac:dyDescent="0.2">
      <c r="A168" s="7" t="s">
        <v>49</v>
      </c>
      <c r="B168" t="s">
        <v>6</v>
      </c>
      <c r="C168" s="8">
        <v>38.43141104</v>
      </c>
      <c r="D168" s="10">
        <f t="shared" si="24"/>
        <v>0.94315662169768655</v>
      </c>
      <c r="E168" s="8">
        <v>79.298000000000002</v>
      </c>
      <c r="F168" s="10">
        <f t="shared" si="25"/>
        <v>0.97843200157934995</v>
      </c>
      <c r="G168" s="8">
        <v>101.30500000000001</v>
      </c>
      <c r="H168" t="s">
        <v>6</v>
      </c>
      <c r="I168" s="8">
        <v>82.297799999999995</v>
      </c>
      <c r="J168" t="s">
        <v>6</v>
      </c>
      <c r="K168" s="8">
        <v>77.424000000000007</v>
      </c>
      <c r="L168" t="s">
        <v>6</v>
      </c>
      <c r="M168" s="8">
        <v>89.003</v>
      </c>
      <c r="N168" t="s">
        <v>6</v>
      </c>
      <c r="O168" s="8">
        <v>92.951599999999999</v>
      </c>
      <c r="P168" t="s">
        <v>6</v>
      </c>
      <c r="Q168" s="8">
        <v>108.83</v>
      </c>
      <c r="R168" t="s">
        <v>6</v>
      </c>
      <c r="S168" s="8">
        <v>107.58</v>
      </c>
      <c r="T168" t="s">
        <v>6</v>
      </c>
      <c r="U168" s="8">
        <v>246.6</v>
      </c>
      <c r="V168" t="s">
        <v>6</v>
      </c>
      <c r="W168" s="8">
        <v>104.22799999999999</v>
      </c>
      <c r="X168" t="s">
        <v>6</v>
      </c>
      <c r="Y168" s="8">
        <v>167.98599999999999</v>
      </c>
      <c r="Z168" t="s">
        <v>6</v>
      </c>
      <c r="AA168" s="8">
        <v>95.813999999999993</v>
      </c>
      <c r="AB168" t="s">
        <v>6</v>
      </c>
      <c r="AC168" s="8">
        <v>81.688999999999993</v>
      </c>
      <c r="AD168" t="s">
        <v>6</v>
      </c>
      <c r="AE168" s="8">
        <v>108.661</v>
      </c>
      <c r="AF168" t="s">
        <v>6</v>
      </c>
      <c r="AG168" s="8">
        <v>108.78</v>
      </c>
      <c r="AH168" t="s">
        <v>6</v>
      </c>
      <c r="AI168" s="8">
        <v>112.31</v>
      </c>
      <c r="AJ168" t="s">
        <v>6</v>
      </c>
      <c r="AK168" s="8">
        <v>277.2</v>
      </c>
      <c r="AL168" t="s">
        <v>6</v>
      </c>
    </row>
    <row r="169" spans="1:40" x14ac:dyDescent="0.2">
      <c r="A169" s="7" t="s">
        <v>50</v>
      </c>
      <c r="B169" t="s">
        <v>6</v>
      </c>
      <c r="C169" s="8">
        <v>38.743527649999997</v>
      </c>
      <c r="D169" s="10">
        <f t="shared" si="24"/>
        <v>0.95081636771005495</v>
      </c>
      <c r="E169" s="8">
        <v>79.686000000000007</v>
      </c>
      <c r="F169" s="10">
        <f t="shared" si="25"/>
        <v>0.98321940626310989</v>
      </c>
      <c r="G169" s="8">
        <v>101.67</v>
      </c>
      <c r="H169" t="s">
        <v>6</v>
      </c>
      <c r="I169" s="8">
        <v>82.320499999999996</v>
      </c>
      <c r="J169" t="s">
        <v>6</v>
      </c>
      <c r="K169" s="8">
        <v>77.653999999999996</v>
      </c>
      <c r="L169" t="s">
        <v>6</v>
      </c>
      <c r="M169" s="8">
        <v>89.88</v>
      </c>
      <c r="N169" t="s">
        <v>6</v>
      </c>
      <c r="O169" s="8">
        <v>92.771199999999993</v>
      </c>
      <c r="P169" t="s">
        <v>6</v>
      </c>
      <c r="Q169" s="8">
        <v>108.53</v>
      </c>
      <c r="R169" t="s">
        <v>6</v>
      </c>
      <c r="S169" s="8">
        <v>107.72</v>
      </c>
      <c r="T169" t="s">
        <v>6</v>
      </c>
      <c r="U169" s="8">
        <v>246.9</v>
      </c>
      <c r="V169" t="s">
        <v>6</v>
      </c>
      <c r="W169" s="8">
        <v>103.889</v>
      </c>
      <c r="X169" t="s">
        <v>6</v>
      </c>
      <c r="Y169" s="8">
        <v>167.43100000000001</v>
      </c>
      <c r="Z169" t="s">
        <v>6</v>
      </c>
      <c r="AA169" s="8">
        <v>96.218999999999994</v>
      </c>
      <c r="AB169" t="s">
        <v>6</v>
      </c>
      <c r="AC169" s="8">
        <v>82.012</v>
      </c>
      <c r="AD169" t="s">
        <v>6</v>
      </c>
      <c r="AE169" s="8">
        <v>108.703</v>
      </c>
      <c r="AF169" t="s">
        <v>6</v>
      </c>
      <c r="AG169" s="8">
        <v>108.49</v>
      </c>
      <c r="AH169" t="s">
        <v>6</v>
      </c>
      <c r="AI169" s="8">
        <v>112.75</v>
      </c>
      <c r="AJ169" t="s">
        <v>6</v>
      </c>
      <c r="AK169" s="8">
        <v>281.5</v>
      </c>
      <c r="AL169" t="s">
        <v>6</v>
      </c>
    </row>
    <row r="170" spans="1:40" x14ac:dyDescent="0.2">
      <c r="A170" s="7" t="s">
        <v>51</v>
      </c>
      <c r="B170" t="s">
        <v>6</v>
      </c>
      <c r="C170" s="8">
        <v>39.022789879999998</v>
      </c>
      <c r="D170" s="10">
        <f t="shared" si="24"/>
        <v>0.95766982466848993</v>
      </c>
      <c r="E170" s="8">
        <v>79.856999999999999</v>
      </c>
      <c r="F170" s="10">
        <f t="shared" si="25"/>
        <v>0.98532931915208644</v>
      </c>
      <c r="G170" s="8">
        <v>101.751</v>
      </c>
      <c r="H170" t="s">
        <v>6</v>
      </c>
      <c r="I170" s="8">
        <v>82.0762</v>
      </c>
      <c r="J170" t="s">
        <v>6</v>
      </c>
      <c r="K170" s="8">
        <v>77.724000000000004</v>
      </c>
      <c r="L170" t="s">
        <v>6</v>
      </c>
      <c r="M170" s="8">
        <v>90.021000000000001</v>
      </c>
      <c r="N170" t="s">
        <v>6</v>
      </c>
      <c r="O170" s="8">
        <v>92.933599999999998</v>
      </c>
      <c r="P170" t="s">
        <v>6</v>
      </c>
      <c r="Q170" s="8">
        <v>107.94</v>
      </c>
      <c r="R170" t="s">
        <v>6</v>
      </c>
      <c r="S170" s="8">
        <v>107.85</v>
      </c>
      <c r="T170" t="s">
        <v>6</v>
      </c>
      <c r="U170" s="8">
        <v>246.9</v>
      </c>
      <c r="V170" t="s">
        <v>6</v>
      </c>
      <c r="W170" s="8">
        <v>104.378</v>
      </c>
      <c r="X170" t="s">
        <v>6</v>
      </c>
      <c r="Y170" s="8">
        <v>167.02</v>
      </c>
      <c r="Z170" t="s">
        <v>6</v>
      </c>
      <c r="AA170" s="8">
        <v>96.150999999999996</v>
      </c>
      <c r="AB170" t="s">
        <v>6</v>
      </c>
      <c r="AC170" s="8">
        <v>81.688999999999993</v>
      </c>
      <c r="AD170" t="s">
        <v>6</v>
      </c>
      <c r="AE170" s="8">
        <v>108.663</v>
      </c>
      <c r="AF170" t="s">
        <v>6</v>
      </c>
      <c r="AG170" s="8">
        <v>108.72</v>
      </c>
      <c r="AH170" t="s">
        <v>6</v>
      </c>
      <c r="AI170" s="8">
        <v>113.09</v>
      </c>
      <c r="AJ170" t="s">
        <v>6</v>
      </c>
      <c r="AK170" s="8">
        <v>285.5</v>
      </c>
      <c r="AL170" t="s">
        <v>6</v>
      </c>
    </row>
    <row r="171" spans="1:40" x14ac:dyDescent="0.2">
      <c r="A171" s="7" t="s">
        <v>52</v>
      </c>
      <c r="B171" t="s">
        <v>6</v>
      </c>
      <c r="C171" s="8">
        <v>39.332168619999997</v>
      </c>
      <c r="D171" s="10">
        <f t="shared" si="24"/>
        <v>0.96526237980365748</v>
      </c>
      <c r="E171" s="8">
        <v>80.162999999999997</v>
      </c>
      <c r="F171" s="10">
        <f t="shared" si="25"/>
        <v>0.98910495274288668</v>
      </c>
      <c r="G171" s="8">
        <v>102.18899999999999</v>
      </c>
      <c r="H171" t="s">
        <v>6</v>
      </c>
      <c r="I171" s="8">
        <v>82.068600000000004</v>
      </c>
      <c r="J171" t="s">
        <v>6</v>
      </c>
      <c r="K171" s="8">
        <v>77.703000000000003</v>
      </c>
      <c r="L171" t="s">
        <v>6</v>
      </c>
      <c r="M171" s="8">
        <v>89.751999999999995</v>
      </c>
      <c r="N171" t="s">
        <v>6</v>
      </c>
      <c r="O171" s="8">
        <v>93.176400000000001</v>
      </c>
      <c r="P171" t="s">
        <v>6</v>
      </c>
      <c r="Q171" s="8">
        <v>107.61</v>
      </c>
      <c r="R171" t="s">
        <v>6</v>
      </c>
      <c r="S171" s="8">
        <v>108.23</v>
      </c>
      <c r="T171" t="s">
        <v>6</v>
      </c>
      <c r="U171" s="8">
        <v>247.1</v>
      </c>
      <c r="V171" t="s">
        <v>6</v>
      </c>
      <c r="W171" s="8">
        <v>104.964</v>
      </c>
      <c r="X171" t="s">
        <v>6</v>
      </c>
      <c r="Y171" s="8">
        <v>167.71600000000001</v>
      </c>
      <c r="Z171" t="s">
        <v>6</v>
      </c>
      <c r="AA171" s="8">
        <v>96.421000000000006</v>
      </c>
      <c r="AB171" t="s">
        <v>6</v>
      </c>
      <c r="AC171" s="8">
        <v>81.754000000000005</v>
      </c>
      <c r="AD171" t="s">
        <v>6</v>
      </c>
      <c r="AE171" s="8">
        <v>108.762</v>
      </c>
      <c r="AF171" t="s">
        <v>6</v>
      </c>
      <c r="AG171" s="8">
        <v>108.5</v>
      </c>
      <c r="AH171" t="s">
        <v>6</v>
      </c>
      <c r="AI171" s="8">
        <v>113.29</v>
      </c>
      <c r="AJ171" t="s">
        <v>6</v>
      </c>
      <c r="AK171" s="8">
        <v>288.39999999999998</v>
      </c>
      <c r="AL171" t="s">
        <v>6</v>
      </c>
    </row>
    <row r="172" spans="1:40" x14ac:dyDescent="0.2">
      <c r="A172" s="7" t="s">
        <v>53</v>
      </c>
      <c r="B172" t="s">
        <v>6</v>
      </c>
      <c r="C172" s="8">
        <v>39.682615349999999</v>
      </c>
      <c r="D172" s="10">
        <f t="shared" si="24"/>
        <v>0.97386279662436137</v>
      </c>
      <c r="E172" s="8">
        <v>80.445999999999998</v>
      </c>
      <c r="F172" s="10">
        <f t="shared" si="25"/>
        <v>0.99259679688078362</v>
      </c>
      <c r="G172" s="8">
        <v>102.608</v>
      </c>
      <c r="H172" t="s">
        <v>6</v>
      </c>
      <c r="I172" s="8">
        <v>82.243799999999993</v>
      </c>
      <c r="J172" t="s">
        <v>6</v>
      </c>
      <c r="K172" s="8">
        <v>77.738</v>
      </c>
      <c r="L172" t="s">
        <v>6</v>
      </c>
      <c r="M172" s="8">
        <v>90.225999999999999</v>
      </c>
      <c r="N172" t="s">
        <v>6</v>
      </c>
      <c r="O172" s="8">
        <v>93.445400000000006</v>
      </c>
      <c r="P172" t="s">
        <v>6</v>
      </c>
      <c r="Q172" s="8">
        <v>107.8</v>
      </c>
      <c r="R172" t="s">
        <v>6</v>
      </c>
      <c r="S172" s="8">
        <v>108.72</v>
      </c>
      <c r="T172" t="s">
        <v>6</v>
      </c>
      <c r="U172" s="8">
        <v>248.6</v>
      </c>
      <c r="V172" t="s">
        <v>6</v>
      </c>
      <c r="W172" s="8">
        <v>105.279</v>
      </c>
      <c r="X172" t="s">
        <v>6</v>
      </c>
      <c r="Y172" s="8">
        <v>168.119</v>
      </c>
      <c r="Z172" t="s">
        <v>6</v>
      </c>
      <c r="AA172" s="8">
        <v>96.894000000000005</v>
      </c>
      <c r="AB172" t="s">
        <v>6</v>
      </c>
      <c r="AC172" s="8">
        <v>81.56</v>
      </c>
      <c r="AD172" t="s">
        <v>6</v>
      </c>
      <c r="AE172" s="8">
        <v>109.315</v>
      </c>
      <c r="AF172" t="s">
        <v>6</v>
      </c>
      <c r="AG172" s="8">
        <v>109.6</v>
      </c>
      <c r="AH172" t="s">
        <v>6</v>
      </c>
      <c r="AI172" s="8">
        <v>114.45</v>
      </c>
      <c r="AJ172" t="s">
        <v>6</v>
      </c>
      <c r="AK172" s="8">
        <v>291.5</v>
      </c>
      <c r="AL172" t="s">
        <v>6</v>
      </c>
    </row>
    <row r="173" spans="1:40" x14ac:dyDescent="0.2">
      <c r="A173" s="7" t="s">
        <v>54</v>
      </c>
      <c r="B173" t="s">
        <v>6</v>
      </c>
      <c r="C173" s="8">
        <v>40.03306207</v>
      </c>
      <c r="D173" s="10">
        <f t="shared" si="24"/>
        <v>0.98246321319965235</v>
      </c>
      <c r="E173" s="8">
        <v>80.745999999999995</v>
      </c>
      <c r="F173" s="10">
        <f t="shared" si="25"/>
        <v>0.9962983984403917</v>
      </c>
      <c r="G173" s="8">
        <v>103.193</v>
      </c>
      <c r="H173" t="s">
        <v>6</v>
      </c>
      <c r="I173" s="8">
        <v>82.878200000000007</v>
      </c>
      <c r="J173" t="s">
        <v>6</v>
      </c>
      <c r="K173" s="8">
        <v>77.960999999999999</v>
      </c>
      <c r="L173" t="s">
        <v>6</v>
      </c>
      <c r="M173" s="8">
        <v>90.29</v>
      </c>
      <c r="N173" t="s">
        <v>6</v>
      </c>
      <c r="O173" s="8">
        <v>94.493799999999993</v>
      </c>
      <c r="P173" t="s">
        <v>6</v>
      </c>
      <c r="Q173" s="8">
        <v>108.24</v>
      </c>
      <c r="R173" t="s">
        <v>6</v>
      </c>
      <c r="S173" s="8">
        <v>109.25</v>
      </c>
      <c r="T173" t="s">
        <v>6</v>
      </c>
      <c r="U173" s="8">
        <v>250.4</v>
      </c>
      <c r="V173" t="s">
        <v>6</v>
      </c>
      <c r="W173" s="8">
        <v>105.74299999999999</v>
      </c>
      <c r="X173" t="s">
        <v>6</v>
      </c>
      <c r="Y173" s="8">
        <v>169.58199999999999</v>
      </c>
      <c r="Z173" t="s">
        <v>6</v>
      </c>
      <c r="AA173" s="8">
        <v>96.962000000000003</v>
      </c>
      <c r="AB173" t="s">
        <v>6</v>
      </c>
      <c r="AC173" s="8">
        <v>81.688999999999993</v>
      </c>
      <c r="AD173" t="s">
        <v>6</v>
      </c>
      <c r="AE173" s="8">
        <v>109.908</v>
      </c>
      <c r="AF173" t="s">
        <v>6</v>
      </c>
      <c r="AG173" s="8">
        <v>110.31</v>
      </c>
      <c r="AH173" t="s">
        <v>6</v>
      </c>
      <c r="AI173" s="8">
        <v>115.84</v>
      </c>
      <c r="AJ173" t="s">
        <v>6</v>
      </c>
      <c r="AK173" s="8">
        <v>296.10000000000002</v>
      </c>
      <c r="AL173" t="s">
        <v>6</v>
      </c>
    </row>
    <row r="174" spans="1:40" x14ac:dyDescent="0.2">
      <c r="A174" s="7" t="s">
        <v>55</v>
      </c>
      <c r="B174" t="s">
        <v>6</v>
      </c>
      <c r="C174" s="8">
        <v>40.369819460000002</v>
      </c>
      <c r="D174" s="10">
        <f t="shared" si="24"/>
        <v>0.99072767587976451</v>
      </c>
      <c r="E174" s="8">
        <v>81.052000000000007</v>
      </c>
      <c r="F174" s="10">
        <f t="shared" si="25"/>
        <v>1.0000740320311923</v>
      </c>
      <c r="G174" s="8">
        <v>103.801</v>
      </c>
      <c r="H174" t="s">
        <v>6</v>
      </c>
      <c r="I174" s="8">
        <v>83.344200000000001</v>
      </c>
      <c r="J174" t="s">
        <v>6</v>
      </c>
      <c r="K174" s="8">
        <v>78.087000000000003</v>
      </c>
      <c r="L174" t="s">
        <v>6</v>
      </c>
      <c r="M174" s="8">
        <v>90.688000000000002</v>
      </c>
      <c r="N174" t="s">
        <v>6</v>
      </c>
      <c r="O174" s="8">
        <v>94.575000000000003</v>
      </c>
      <c r="P174" t="s">
        <v>6</v>
      </c>
      <c r="Q174" s="8">
        <v>108.34</v>
      </c>
      <c r="R174" t="s">
        <v>6</v>
      </c>
      <c r="S174" s="8">
        <v>109.28</v>
      </c>
      <c r="T174" t="s">
        <v>6</v>
      </c>
      <c r="U174" s="8">
        <v>251.5</v>
      </c>
      <c r="V174" t="s">
        <v>6</v>
      </c>
      <c r="W174" s="8">
        <v>106.27800000000001</v>
      </c>
      <c r="X174" t="s">
        <v>6</v>
      </c>
      <c r="Y174" s="8">
        <v>170.345</v>
      </c>
      <c r="Z174" t="s">
        <v>6</v>
      </c>
      <c r="AA174" s="8">
        <v>97.096999999999994</v>
      </c>
      <c r="AB174" t="s">
        <v>6</v>
      </c>
      <c r="AC174" s="8">
        <v>81.495999999999995</v>
      </c>
      <c r="AD174" t="s">
        <v>6</v>
      </c>
      <c r="AE174" s="8">
        <v>109.72799999999999</v>
      </c>
      <c r="AF174" t="s">
        <v>6</v>
      </c>
      <c r="AG174" s="8">
        <v>110.57</v>
      </c>
      <c r="AH174" t="s">
        <v>6</v>
      </c>
      <c r="AI174" s="8">
        <v>117.17</v>
      </c>
      <c r="AJ174" t="s">
        <v>6</v>
      </c>
      <c r="AK174" s="8">
        <v>301.2</v>
      </c>
      <c r="AL174" t="s">
        <v>6</v>
      </c>
    </row>
    <row r="175" spans="1:40" x14ac:dyDescent="0.2">
      <c r="A175" s="7" t="s">
        <v>56</v>
      </c>
      <c r="B175" t="s">
        <v>6</v>
      </c>
      <c r="C175" s="8">
        <v>40.747644829999999</v>
      </c>
      <c r="D175" s="10">
        <f t="shared" si="24"/>
        <v>1</v>
      </c>
      <c r="E175" s="8">
        <v>81.046000000000006</v>
      </c>
      <c r="F175" s="10">
        <f t="shared" si="25"/>
        <v>1</v>
      </c>
      <c r="G175" s="8">
        <v>104.42400000000001</v>
      </c>
      <c r="H175" t="s">
        <v>6</v>
      </c>
      <c r="I175" s="8">
        <v>82.970100000000002</v>
      </c>
      <c r="J175" t="s">
        <v>6</v>
      </c>
      <c r="K175" s="8">
        <v>77.981999999999999</v>
      </c>
      <c r="L175" t="s">
        <v>6</v>
      </c>
      <c r="M175" s="8">
        <v>91.424999999999997</v>
      </c>
      <c r="N175" t="s">
        <v>6</v>
      </c>
      <c r="O175" s="8">
        <v>94.706800000000001</v>
      </c>
      <c r="P175" t="s">
        <v>6</v>
      </c>
      <c r="Q175" s="8">
        <v>108.18</v>
      </c>
      <c r="R175" t="s">
        <v>6</v>
      </c>
      <c r="S175" s="8">
        <v>109.27</v>
      </c>
      <c r="T175" t="s">
        <v>6</v>
      </c>
      <c r="U175" s="8">
        <v>251.9</v>
      </c>
      <c r="V175" t="s">
        <v>6</v>
      </c>
      <c r="W175" s="8">
        <v>107</v>
      </c>
      <c r="X175" t="s">
        <v>6</v>
      </c>
      <c r="Y175" s="8">
        <v>172.03100000000001</v>
      </c>
      <c r="Z175" t="s">
        <v>6</v>
      </c>
      <c r="AA175" s="8">
        <v>97.231999999999999</v>
      </c>
      <c r="AB175" t="s">
        <v>6</v>
      </c>
      <c r="AC175" s="8">
        <v>82.012</v>
      </c>
      <c r="AD175" t="s">
        <v>6</v>
      </c>
      <c r="AE175" s="8">
        <v>109.577</v>
      </c>
      <c r="AF175" t="s">
        <v>6</v>
      </c>
      <c r="AG175" s="8">
        <v>111.27</v>
      </c>
      <c r="AH175" t="s">
        <v>6</v>
      </c>
      <c r="AI175" s="8">
        <v>117.58</v>
      </c>
      <c r="AJ175" t="s">
        <v>6</v>
      </c>
      <c r="AK175" s="8">
        <v>308.10000000000002</v>
      </c>
      <c r="AL175" t="s">
        <v>6</v>
      </c>
    </row>
    <row r="176" spans="1:40" x14ac:dyDescent="0.2">
      <c r="A176" s="7" t="s">
        <v>57</v>
      </c>
      <c r="B176" t="s">
        <v>6</v>
      </c>
      <c r="C176" s="8">
        <v>41.172013909999997</v>
      </c>
      <c r="D176" s="10">
        <f t="shared" si="24"/>
        <v>1.0104145670693478</v>
      </c>
      <c r="E176" s="8">
        <v>81.876000000000005</v>
      </c>
      <c r="F176" s="10">
        <f t="shared" si="25"/>
        <v>1.0102410976482492</v>
      </c>
      <c r="G176" s="8">
        <v>105.249</v>
      </c>
      <c r="H176" t="s">
        <v>6</v>
      </c>
      <c r="I176" s="8">
        <v>82.9465</v>
      </c>
      <c r="J176" t="s">
        <v>6</v>
      </c>
      <c r="K176" s="8">
        <v>78.052000000000007</v>
      </c>
      <c r="L176" t="s">
        <v>6</v>
      </c>
      <c r="M176" s="8">
        <v>91.677000000000007</v>
      </c>
      <c r="N176" t="s">
        <v>6</v>
      </c>
      <c r="O176" s="8">
        <v>94.530900000000003</v>
      </c>
      <c r="P176" t="s">
        <v>6</v>
      </c>
      <c r="Q176" s="8">
        <v>108.13</v>
      </c>
      <c r="R176" t="s">
        <v>6</v>
      </c>
      <c r="S176" s="8">
        <v>109.86</v>
      </c>
      <c r="T176" t="s">
        <v>6</v>
      </c>
      <c r="U176" s="8">
        <v>252.2</v>
      </c>
      <c r="V176" t="s">
        <v>6</v>
      </c>
      <c r="W176" s="8">
        <v>107.246</v>
      </c>
      <c r="X176" t="s">
        <v>6</v>
      </c>
      <c r="Y176" s="8">
        <v>174.767</v>
      </c>
      <c r="Z176" t="s">
        <v>6</v>
      </c>
      <c r="AA176" s="8">
        <v>97.569000000000003</v>
      </c>
      <c r="AB176" t="s">
        <v>6</v>
      </c>
      <c r="AC176" s="8">
        <v>82.591999999999999</v>
      </c>
      <c r="AD176" t="s">
        <v>6</v>
      </c>
      <c r="AE176" s="8">
        <v>109.861</v>
      </c>
      <c r="AF176" t="s">
        <v>6</v>
      </c>
      <c r="AG176" s="8">
        <v>111.97</v>
      </c>
      <c r="AH176" t="s">
        <v>6</v>
      </c>
      <c r="AI176" s="8">
        <v>116.72</v>
      </c>
      <c r="AJ176" t="s">
        <v>6</v>
      </c>
      <c r="AK176" s="8">
        <v>318.89999999999998</v>
      </c>
      <c r="AL176" t="s">
        <v>6</v>
      </c>
    </row>
    <row r="177" spans="1:40" x14ac:dyDescent="0.2">
      <c r="A177" s="7" t="s">
        <v>70</v>
      </c>
      <c r="B177" t="s">
        <v>6</v>
      </c>
      <c r="C177" t="s">
        <v>45</v>
      </c>
      <c r="D177" s="11">
        <f>SUM(D178:D189)</f>
        <v>11.565011244397432</v>
      </c>
      <c r="E177" t="s">
        <v>45</v>
      </c>
      <c r="F177" s="11">
        <f>SUM(F178:F189)</f>
        <v>11.668040455990909</v>
      </c>
      <c r="G177" t="s">
        <v>45</v>
      </c>
      <c r="H177" t="s">
        <v>6</v>
      </c>
      <c r="I177" t="s">
        <v>45</v>
      </c>
      <c r="J177" t="s">
        <v>6</v>
      </c>
      <c r="K177" t="s">
        <v>45</v>
      </c>
      <c r="L177" t="s">
        <v>6</v>
      </c>
      <c r="M177" t="s">
        <v>45</v>
      </c>
      <c r="N177" t="s">
        <v>6</v>
      </c>
      <c r="O177" t="s">
        <v>45</v>
      </c>
      <c r="P177" t="s">
        <v>6</v>
      </c>
      <c r="Q177" t="s">
        <v>45</v>
      </c>
      <c r="R177" t="s">
        <v>6</v>
      </c>
      <c r="S177" t="s">
        <v>45</v>
      </c>
      <c r="T177" t="s">
        <v>6</v>
      </c>
      <c r="U177" t="s">
        <v>45</v>
      </c>
      <c r="V177" t="s">
        <v>6</v>
      </c>
      <c r="W177" t="s">
        <v>45</v>
      </c>
      <c r="X177" t="s">
        <v>6</v>
      </c>
      <c r="Y177" t="s">
        <v>45</v>
      </c>
      <c r="Z177" t="s">
        <v>6</v>
      </c>
      <c r="AA177" t="s">
        <v>45</v>
      </c>
      <c r="AB177" t="s">
        <v>6</v>
      </c>
      <c r="AC177" t="s">
        <v>45</v>
      </c>
      <c r="AD177" t="s">
        <v>6</v>
      </c>
      <c r="AE177" t="s">
        <v>45</v>
      </c>
      <c r="AF177" t="s">
        <v>6</v>
      </c>
      <c r="AG177" t="s">
        <v>45</v>
      </c>
      <c r="AH177" t="s">
        <v>6</v>
      </c>
      <c r="AI177" t="s">
        <v>45</v>
      </c>
      <c r="AJ177" t="s">
        <v>6</v>
      </c>
      <c r="AK177" t="s">
        <v>45</v>
      </c>
      <c r="AL177" t="s">
        <v>6</v>
      </c>
      <c r="AM177" t="s">
        <v>45</v>
      </c>
      <c r="AN177" t="s">
        <v>6</v>
      </c>
    </row>
    <row r="178" spans="1:40" x14ac:dyDescent="0.2">
      <c r="A178" s="7" t="s">
        <v>46</v>
      </c>
      <c r="B178" t="s">
        <v>6</v>
      </c>
      <c r="C178" s="8">
        <v>41.640188819999999</v>
      </c>
      <c r="D178" s="10">
        <f t="shared" ref="D178:D189" si="26">C178/C$188</f>
        <v>0.92450306957561246</v>
      </c>
      <c r="E178" s="8">
        <v>82.417000000000002</v>
      </c>
      <c r="F178" s="10">
        <f t="shared" ref="F178:F189" si="27">E178/E$188</f>
        <v>0.94615817328113705</v>
      </c>
      <c r="G178" s="8">
        <v>106.154</v>
      </c>
      <c r="H178" t="s">
        <v>6</v>
      </c>
      <c r="I178" s="8">
        <v>83.169799999999995</v>
      </c>
      <c r="J178" t="s">
        <v>6</v>
      </c>
      <c r="K178" s="8">
        <v>78.281999999999996</v>
      </c>
      <c r="L178" t="s">
        <v>6</v>
      </c>
      <c r="M178" s="8">
        <v>92.882000000000005</v>
      </c>
      <c r="N178" t="s">
        <v>6</v>
      </c>
      <c r="O178" s="8">
        <v>95.006200000000007</v>
      </c>
      <c r="P178" t="s">
        <v>6</v>
      </c>
      <c r="Q178" s="8">
        <v>108.59</v>
      </c>
      <c r="R178" t="s">
        <v>6</v>
      </c>
      <c r="S178" s="8">
        <v>110.4</v>
      </c>
      <c r="T178" t="s">
        <v>6</v>
      </c>
      <c r="U178" s="8">
        <v>253.4</v>
      </c>
      <c r="V178" t="s">
        <v>6</v>
      </c>
      <c r="W178" s="8">
        <v>107.678</v>
      </c>
      <c r="X178" t="s">
        <v>6</v>
      </c>
      <c r="Y178" s="8">
        <v>176.14699999999999</v>
      </c>
      <c r="Z178" t="s">
        <v>6</v>
      </c>
      <c r="AA178" s="8">
        <v>98.108999999999995</v>
      </c>
      <c r="AB178" t="s">
        <v>6</v>
      </c>
      <c r="AC178" s="8">
        <v>83.558999999999997</v>
      </c>
      <c r="AD178" t="s">
        <v>6</v>
      </c>
      <c r="AE178" s="8">
        <v>109.988</v>
      </c>
      <c r="AF178" t="s">
        <v>6</v>
      </c>
      <c r="AG178" s="8">
        <v>113.38</v>
      </c>
      <c r="AH178" t="s">
        <v>6</v>
      </c>
      <c r="AI178" s="8">
        <v>118.94</v>
      </c>
      <c r="AJ178" t="s">
        <v>6</v>
      </c>
      <c r="AK178" s="8">
        <v>329.4</v>
      </c>
      <c r="AL178" t="s">
        <v>6</v>
      </c>
    </row>
    <row r="179" spans="1:40" x14ac:dyDescent="0.2">
      <c r="A179" s="7" t="s">
        <v>47</v>
      </c>
      <c r="B179" t="s">
        <v>6</v>
      </c>
      <c r="C179" s="8">
        <v>41.845528700000003</v>
      </c>
      <c r="D179" s="10">
        <f t="shared" si="26"/>
        <v>0.92906206305633143</v>
      </c>
      <c r="E179" s="8">
        <v>82.951999999999998</v>
      </c>
      <c r="F179" s="10">
        <f t="shared" si="27"/>
        <v>0.95230004477252117</v>
      </c>
      <c r="G179" s="8">
        <v>106.791</v>
      </c>
      <c r="H179" t="s">
        <v>6</v>
      </c>
      <c r="I179" s="8">
        <v>83.269199999999998</v>
      </c>
      <c r="J179" t="s">
        <v>6</v>
      </c>
      <c r="K179" s="8">
        <v>78.631</v>
      </c>
      <c r="L179" t="s">
        <v>6</v>
      </c>
      <c r="M179" s="8">
        <v>93.83</v>
      </c>
      <c r="N179" t="s">
        <v>6</v>
      </c>
      <c r="O179" s="8">
        <v>95.181700000000006</v>
      </c>
      <c r="P179" t="s">
        <v>6</v>
      </c>
      <c r="Q179" s="8">
        <v>109.05</v>
      </c>
      <c r="R179" t="s">
        <v>6</v>
      </c>
      <c r="S179" s="8">
        <v>111.3</v>
      </c>
      <c r="T179" t="s">
        <v>6</v>
      </c>
      <c r="U179" s="8">
        <v>256.10000000000002</v>
      </c>
      <c r="V179" t="s">
        <v>6</v>
      </c>
      <c r="W179" s="8">
        <v>108.208</v>
      </c>
      <c r="X179" t="s">
        <v>6</v>
      </c>
      <c r="Y179" s="8">
        <v>177.20400000000001</v>
      </c>
      <c r="Z179" t="s">
        <v>6</v>
      </c>
      <c r="AA179" s="8">
        <v>98.65</v>
      </c>
      <c r="AB179" t="s">
        <v>6</v>
      </c>
      <c r="AC179" s="8">
        <v>82.914000000000001</v>
      </c>
      <c r="AD179" t="s">
        <v>6</v>
      </c>
      <c r="AE179" s="8">
        <v>109.892</v>
      </c>
      <c r="AF179" t="s">
        <v>6</v>
      </c>
      <c r="AG179" s="8">
        <v>113.75</v>
      </c>
      <c r="AH179" t="s">
        <v>6</v>
      </c>
      <c r="AI179" s="8">
        <v>120.12</v>
      </c>
      <c r="AJ179" t="s">
        <v>6</v>
      </c>
      <c r="AK179" s="8">
        <v>334.8</v>
      </c>
      <c r="AL179" t="s">
        <v>6</v>
      </c>
    </row>
    <row r="180" spans="1:40" x14ac:dyDescent="0.2">
      <c r="A180" s="7" t="s">
        <v>48</v>
      </c>
      <c r="B180" t="s">
        <v>6</v>
      </c>
      <c r="C180" s="8">
        <v>42.146693849999998</v>
      </c>
      <c r="D180" s="10">
        <f t="shared" si="26"/>
        <v>0.93574858666523653</v>
      </c>
      <c r="E180" s="8">
        <v>83.158000000000001</v>
      </c>
      <c r="F180" s="10">
        <f t="shared" si="27"/>
        <v>0.95466495230004478</v>
      </c>
      <c r="G180" s="8">
        <v>107.29300000000001</v>
      </c>
      <c r="H180" t="s">
        <v>6</v>
      </c>
      <c r="I180" s="8">
        <v>83.590999999999994</v>
      </c>
      <c r="J180" t="s">
        <v>6</v>
      </c>
      <c r="K180" s="8">
        <v>78.792000000000002</v>
      </c>
      <c r="L180" t="s">
        <v>6</v>
      </c>
      <c r="M180" s="8">
        <v>93.929000000000002</v>
      </c>
      <c r="N180" t="s">
        <v>6</v>
      </c>
      <c r="O180" s="8">
        <v>95.5989</v>
      </c>
      <c r="P180" t="s">
        <v>6</v>
      </c>
      <c r="Q180" s="8">
        <v>109.54</v>
      </c>
      <c r="R180" t="s">
        <v>6</v>
      </c>
      <c r="S180" s="8">
        <v>111.83</v>
      </c>
      <c r="T180" t="s">
        <v>6</v>
      </c>
      <c r="U180" s="8">
        <v>257.5</v>
      </c>
      <c r="V180" t="s">
        <v>6</v>
      </c>
      <c r="W180" s="8">
        <v>109.002</v>
      </c>
      <c r="X180" t="s">
        <v>6</v>
      </c>
      <c r="Y180" s="8">
        <v>177.62899999999999</v>
      </c>
      <c r="Z180" t="s">
        <v>6</v>
      </c>
      <c r="AA180" s="8">
        <v>99.055000000000007</v>
      </c>
      <c r="AB180" t="s">
        <v>6</v>
      </c>
      <c r="AC180" s="8">
        <v>82.85</v>
      </c>
      <c r="AD180" t="s">
        <v>6</v>
      </c>
      <c r="AE180" s="8">
        <v>110.887</v>
      </c>
      <c r="AF180" t="s">
        <v>6</v>
      </c>
      <c r="AG180" s="8">
        <v>114.18</v>
      </c>
      <c r="AH180" t="s">
        <v>6</v>
      </c>
      <c r="AI180" s="8">
        <v>120.91</v>
      </c>
      <c r="AJ180" t="s">
        <v>6</v>
      </c>
      <c r="AK180" s="8">
        <v>344.1</v>
      </c>
      <c r="AL180" t="s">
        <v>6</v>
      </c>
    </row>
    <row r="181" spans="1:40" x14ac:dyDescent="0.2">
      <c r="A181" s="7" t="s">
        <v>49</v>
      </c>
      <c r="B181" t="s">
        <v>6</v>
      </c>
      <c r="C181" s="8">
        <v>42.456072589999998</v>
      </c>
      <c r="D181" s="10">
        <f t="shared" si="26"/>
        <v>0.94261746989791917</v>
      </c>
      <c r="E181" s="8">
        <v>83.216999999999999</v>
      </c>
      <c r="F181" s="10">
        <f t="shared" si="27"/>
        <v>0.95534228018414136</v>
      </c>
      <c r="G181" s="8">
        <v>107.883</v>
      </c>
      <c r="H181" t="s">
        <v>6</v>
      </c>
      <c r="I181" s="8">
        <v>83.1858</v>
      </c>
      <c r="J181" t="s">
        <v>6</v>
      </c>
      <c r="K181" s="8">
        <v>78.986999999999995</v>
      </c>
      <c r="L181" t="s">
        <v>6</v>
      </c>
      <c r="M181" s="8">
        <v>94.614000000000004</v>
      </c>
      <c r="N181" t="s">
        <v>6</v>
      </c>
      <c r="O181" s="8">
        <v>95.770099999999999</v>
      </c>
      <c r="P181" t="s">
        <v>6</v>
      </c>
      <c r="Q181" s="8">
        <v>108.85</v>
      </c>
      <c r="R181" t="s">
        <v>6</v>
      </c>
      <c r="S181" s="8">
        <v>112.02</v>
      </c>
      <c r="T181" t="s">
        <v>6</v>
      </c>
      <c r="U181" s="8">
        <v>258.10000000000002</v>
      </c>
      <c r="V181" t="s">
        <v>6</v>
      </c>
      <c r="W181" s="8">
        <v>109.074</v>
      </c>
      <c r="X181" t="s">
        <v>6</v>
      </c>
      <c r="Y181" s="8">
        <v>178.78399999999999</v>
      </c>
      <c r="Z181" t="s">
        <v>6</v>
      </c>
      <c r="AA181" s="8">
        <v>99.391999999999996</v>
      </c>
      <c r="AB181" t="s">
        <v>6</v>
      </c>
      <c r="AC181" s="8">
        <v>82.978999999999999</v>
      </c>
      <c r="AD181" t="s">
        <v>6</v>
      </c>
      <c r="AE181" s="8">
        <v>111.167</v>
      </c>
      <c r="AF181" t="s">
        <v>6</v>
      </c>
      <c r="AG181" s="8">
        <v>114.11</v>
      </c>
      <c r="AH181" t="s">
        <v>6</v>
      </c>
      <c r="AI181" s="8">
        <v>121.45</v>
      </c>
      <c r="AJ181" t="s">
        <v>6</v>
      </c>
      <c r="AK181" s="8">
        <v>358.8</v>
      </c>
      <c r="AL181" t="s">
        <v>6</v>
      </c>
    </row>
    <row r="182" spans="1:40" x14ac:dyDescent="0.2">
      <c r="A182" s="7" t="s">
        <v>50</v>
      </c>
      <c r="B182" t="s">
        <v>6</v>
      </c>
      <c r="C182" s="8">
        <v>42.749024149999997</v>
      </c>
      <c r="D182" s="10">
        <f t="shared" si="26"/>
        <v>0.94912163388304693</v>
      </c>
      <c r="E182" s="8">
        <v>83.447000000000003</v>
      </c>
      <c r="F182" s="10">
        <f t="shared" si="27"/>
        <v>0.95798271091875509</v>
      </c>
      <c r="G182" s="8">
        <v>108.282</v>
      </c>
      <c r="H182" t="s">
        <v>6</v>
      </c>
      <c r="I182" s="8">
        <v>83.178200000000004</v>
      </c>
      <c r="J182" t="s">
        <v>6</v>
      </c>
      <c r="K182" s="8">
        <v>79.209999999999994</v>
      </c>
      <c r="L182" t="s">
        <v>6</v>
      </c>
      <c r="M182" s="8">
        <v>94.632000000000005</v>
      </c>
      <c r="N182" t="s">
        <v>6</v>
      </c>
      <c r="O182" s="8">
        <v>95.561400000000006</v>
      </c>
      <c r="P182" t="s">
        <v>6</v>
      </c>
      <c r="Q182" s="8">
        <v>108.69</v>
      </c>
      <c r="R182" t="s">
        <v>6</v>
      </c>
      <c r="S182" s="8">
        <v>112.32</v>
      </c>
      <c r="T182" t="s">
        <v>6</v>
      </c>
      <c r="U182" s="8">
        <v>258.8</v>
      </c>
      <c r="V182" t="s">
        <v>6</v>
      </c>
      <c r="W182" s="8">
        <v>108.711</v>
      </c>
      <c r="X182" t="s">
        <v>6</v>
      </c>
      <c r="Y182" s="8">
        <v>180.768</v>
      </c>
      <c r="Z182" t="s">
        <v>6</v>
      </c>
      <c r="AA182" s="8">
        <v>99.796999999999997</v>
      </c>
      <c r="AB182" t="s">
        <v>6</v>
      </c>
      <c r="AC182" s="8">
        <v>82.721000000000004</v>
      </c>
      <c r="AD182" t="s">
        <v>6</v>
      </c>
      <c r="AE182" s="8">
        <v>111.383</v>
      </c>
      <c r="AF182" t="s">
        <v>6</v>
      </c>
      <c r="AG182" s="8">
        <v>113.9</v>
      </c>
      <c r="AH182" t="s">
        <v>6</v>
      </c>
      <c r="AI182" s="8">
        <v>121.84</v>
      </c>
      <c r="AJ182" t="s">
        <v>6</v>
      </c>
      <c r="AK182" s="8">
        <v>380.7</v>
      </c>
      <c r="AL182" t="s">
        <v>6</v>
      </c>
    </row>
    <row r="183" spans="1:40" x14ac:dyDescent="0.2">
      <c r="A183" s="7" t="s">
        <v>51</v>
      </c>
      <c r="B183" t="s">
        <v>6</v>
      </c>
      <c r="C183" s="8">
        <v>43.104946599999998</v>
      </c>
      <c r="D183" s="10">
        <f t="shared" si="26"/>
        <v>0.95702388905720759</v>
      </c>
      <c r="E183" s="8">
        <v>83.7</v>
      </c>
      <c r="F183" s="10">
        <f t="shared" si="27"/>
        <v>0.96088718472683021</v>
      </c>
      <c r="G183" s="8">
        <v>108.56399999999999</v>
      </c>
      <c r="H183" t="s">
        <v>6</v>
      </c>
      <c r="I183" s="8">
        <v>83.713200000000001</v>
      </c>
      <c r="J183" t="s">
        <v>6</v>
      </c>
      <c r="K183" s="8">
        <v>79.399000000000001</v>
      </c>
      <c r="L183" t="s">
        <v>6</v>
      </c>
      <c r="M183" s="8">
        <v>94.649000000000001</v>
      </c>
      <c r="N183" t="s">
        <v>6</v>
      </c>
      <c r="O183" s="8">
        <v>95.423000000000002</v>
      </c>
      <c r="P183" t="s">
        <v>6</v>
      </c>
      <c r="Q183" s="8">
        <v>108.91</v>
      </c>
      <c r="R183" t="s">
        <v>6</v>
      </c>
      <c r="S183" s="8">
        <v>113.02</v>
      </c>
      <c r="T183" t="s">
        <v>6</v>
      </c>
      <c r="U183" s="8">
        <v>259.89999999999998</v>
      </c>
      <c r="V183" t="s">
        <v>6</v>
      </c>
      <c r="W183" s="8">
        <v>108.645</v>
      </c>
      <c r="X183" t="s">
        <v>6</v>
      </c>
      <c r="Y183" s="8">
        <v>181.07599999999999</v>
      </c>
      <c r="Z183" t="s">
        <v>6</v>
      </c>
      <c r="AA183" s="8">
        <v>100.13500000000001</v>
      </c>
      <c r="AB183" t="s">
        <v>6</v>
      </c>
      <c r="AC183" s="8">
        <v>83.108000000000004</v>
      </c>
      <c r="AD183" t="s">
        <v>6</v>
      </c>
      <c r="AE183" s="8">
        <v>111.67400000000001</v>
      </c>
      <c r="AF183" t="s">
        <v>6</v>
      </c>
      <c r="AG183" s="8">
        <v>113.94</v>
      </c>
      <c r="AH183" t="s">
        <v>6</v>
      </c>
      <c r="AI183" s="8">
        <v>122.37</v>
      </c>
      <c r="AJ183" t="s">
        <v>6</v>
      </c>
      <c r="AK183" s="8">
        <v>398.6</v>
      </c>
      <c r="AL183" t="s">
        <v>6</v>
      </c>
    </row>
    <row r="184" spans="1:40" x14ac:dyDescent="0.2">
      <c r="A184" s="7" t="s">
        <v>52</v>
      </c>
      <c r="B184" t="s">
        <v>6</v>
      </c>
      <c r="C184" s="8">
        <v>43.504674889999997</v>
      </c>
      <c r="D184" s="10">
        <f t="shared" si="26"/>
        <v>0.96589872948357269</v>
      </c>
      <c r="E184" s="8">
        <v>84.212000000000003</v>
      </c>
      <c r="F184" s="10">
        <f t="shared" si="27"/>
        <v>0.96676501314475305</v>
      </c>
      <c r="G184" s="8">
        <v>108.59699999999999</v>
      </c>
      <c r="H184" t="s">
        <v>6</v>
      </c>
      <c r="I184" s="8">
        <v>83.927199999999999</v>
      </c>
      <c r="J184" t="s">
        <v>6</v>
      </c>
      <c r="K184" s="8">
        <v>79.433999999999997</v>
      </c>
      <c r="L184" t="s">
        <v>6</v>
      </c>
      <c r="M184" s="8">
        <v>94.971000000000004</v>
      </c>
      <c r="N184" t="s">
        <v>6</v>
      </c>
      <c r="O184" s="8">
        <v>95.405000000000001</v>
      </c>
      <c r="P184" t="s">
        <v>6</v>
      </c>
      <c r="Q184" s="8">
        <v>108.78</v>
      </c>
      <c r="R184" t="s">
        <v>6</v>
      </c>
      <c r="S184" s="8">
        <v>113.36</v>
      </c>
      <c r="T184" t="s">
        <v>6</v>
      </c>
      <c r="U184" s="8">
        <v>261</v>
      </c>
      <c r="V184" t="s">
        <v>6</v>
      </c>
      <c r="W184" s="8">
        <v>108.60899999999999</v>
      </c>
      <c r="X184" t="s">
        <v>6</v>
      </c>
      <c r="Y184" s="8">
        <v>180.58699999999999</v>
      </c>
      <c r="Z184" t="s">
        <v>6</v>
      </c>
      <c r="AA184" s="8">
        <v>100.405</v>
      </c>
      <c r="AB184" t="s">
        <v>6</v>
      </c>
      <c r="AC184" s="8">
        <v>83.558999999999997</v>
      </c>
      <c r="AD184" t="s">
        <v>6</v>
      </c>
      <c r="AE184" s="8">
        <v>112.28700000000001</v>
      </c>
      <c r="AF184" t="s">
        <v>6</v>
      </c>
      <c r="AG184" s="8">
        <v>114.65</v>
      </c>
      <c r="AH184" t="s">
        <v>6</v>
      </c>
      <c r="AI184" s="8">
        <v>123.31</v>
      </c>
      <c r="AJ184" t="s">
        <v>6</v>
      </c>
      <c r="AK184" s="8">
        <v>411.3</v>
      </c>
      <c r="AL184" t="s">
        <v>6</v>
      </c>
    </row>
    <row r="185" spans="1:40" x14ac:dyDescent="0.2">
      <c r="A185" s="7" t="s">
        <v>53</v>
      </c>
      <c r="B185" t="s">
        <v>6</v>
      </c>
      <c r="C185" s="8">
        <v>43.868810930000002</v>
      </c>
      <c r="D185" s="10">
        <f t="shared" si="26"/>
        <v>0.9739833442815109</v>
      </c>
      <c r="E185" s="8">
        <v>85.341999999999999</v>
      </c>
      <c r="F185" s="10">
        <f t="shared" si="27"/>
        <v>0.9797375641452466</v>
      </c>
      <c r="G185" s="8">
        <v>108.857</v>
      </c>
      <c r="H185" t="s">
        <v>6</v>
      </c>
      <c r="I185" s="8">
        <v>84.133600000000001</v>
      </c>
      <c r="J185" t="s">
        <v>6</v>
      </c>
      <c r="K185" s="8">
        <v>79.497</v>
      </c>
      <c r="L185" t="s">
        <v>6</v>
      </c>
      <c r="M185" s="8">
        <v>95.012</v>
      </c>
      <c r="N185" t="s">
        <v>6</v>
      </c>
      <c r="O185" s="8">
        <v>95.570999999999998</v>
      </c>
      <c r="P185" t="s">
        <v>6</v>
      </c>
      <c r="Q185" s="8">
        <v>108.87</v>
      </c>
      <c r="R185" t="s">
        <v>6</v>
      </c>
      <c r="S185" s="8">
        <v>113.52</v>
      </c>
      <c r="T185" t="s">
        <v>6</v>
      </c>
      <c r="U185" s="8">
        <v>262</v>
      </c>
      <c r="V185" t="s">
        <v>6</v>
      </c>
      <c r="W185" s="8">
        <v>108.91800000000001</v>
      </c>
      <c r="X185" t="s">
        <v>6</v>
      </c>
      <c r="Y185" s="8">
        <v>181.52600000000001</v>
      </c>
      <c r="Z185" t="s">
        <v>6</v>
      </c>
      <c r="AA185" s="8">
        <v>100.675</v>
      </c>
      <c r="AB185" t="s">
        <v>6</v>
      </c>
      <c r="AC185" s="8">
        <v>84.075000000000003</v>
      </c>
      <c r="AD185" t="s">
        <v>6</v>
      </c>
      <c r="AE185" s="8">
        <v>112.896</v>
      </c>
      <c r="AF185" t="s">
        <v>6</v>
      </c>
      <c r="AG185" s="8">
        <v>115.41</v>
      </c>
      <c r="AH185" t="s">
        <v>6</v>
      </c>
      <c r="AI185" s="8">
        <v>124.59</v>
      </c>
      <c r="AJ185" t="s">
        <v>6</v>
      </c>
      <c r="AK185" s="8">
        <v>423.7</v>
      </c>
      <c r="AL185" t="s">
        <v>6</v>
      </c>
    </row>
    <row r="186" spans="1:40" x14ac:dyDescent="0.2">
      <c r="A186" s="7" t="s">
        <v>54</v>
      </c>
      <c r="B186" t="s">
        <v>6</v>
      </c>
      <c r="C186" s="8">
        <v>44.232946980000001</v>
      </c>
      <c r="D186" s="10">
        <f t="shared" si="26"/>
        <v>0.98206795930147073</v>
      </c>
      <c r="E186" s="8">
        <v>86.501000000000005</v>
      </c>
      <c r="F186" s="10">
        <f t="shared" si="27"/>
        <v>0.99304303902097424</v>
      </c>
      <c r="G186" s="8">
        <v>109.238</v>
      </c>
      <c r="H186" t="s">
        <v>6</v>
      </c>
      <c r="I186" s="8">
        <v>84.584400000000002</v>
      </c>
      <c r="J186" t="s">
        <v>6</v>
      </c>
      <c r="K186" s="8">
        <v>79.733999999999995</v>
      </c>
      <c r="L186" t="s">
        <v>6</v>
      </c>
      <c r="M186" s="8">
        <v>95.135000000000005</v>
      </c>
      <c r="N186" t="s">
        <v>6</v>
      </c>
      <c r="O186" s="8">
        <v>96.114000000000004</v>
      </c>
      <c r="P186" t="s">
        <v>6</v>
      </c>
      <c r="Q186" s="8">
        <v>109.06</v>
      </c>
      <c r="R186" t="s">
        <v>6</v>
      </c>
      <c r="S186" s="8">
        <v>113.85</v>
      </c>
      <c r="T186" t="s">
        <v>6</v>
      </c>
      <c r="U186" s="8">
        <v>262.8</v>
      </c>
      <c r="V186" t="s">
        <v>6</v>
      </c>
      <c r="W186" s="8">
        <v>109.328</v>
      </c>
      <c r="X186" t="s">
        <v>6</v>
      </c>
      <c r="Y186" s="8">
        <v>181.73400000000001</v>
      </c>
      <c r="Z186" t="s">
        <v>6</v>
      </c>
      <c r="AA186" s="8">
        <v>100.74299999999999</v>
      </c>
      <c r="AB186" t="s">
        <v>6</v>
      </c>
      <c r="AC186" s="8">
        <v>84.332999999999998</v>
      </c>
      <c r="AD186" t="s">
        <v>6</v>
      </c>
      <c r="AE186" s="8">
        <v>113.01900000000001</v>
      </c>
      <c r="AF186" t="s">
        <v>6</v>
      </c>
      <c r="AG186" s="8">
        <v>115.97</v>
      </c>
      <c r="AH186" t="s">
        <v>6</v>
      </c>
      <c r="AI186" s="8">
        <v>126.29</v>
      </c>
      <c r="AJ186" t="s">
        <v>6</v>
      </c>
      <c r="AK186" s="8">
        <v>442.3</v>
      </c>
      <c r="AL186" t="s">
        <v>6</v>
      </c>
    </row>
    <row r="187" spans="1:40" x14ac:dyDescent="0.2">
      <c r="A187" s="7" t="s">
        <v>55</v>
      </c>
      <c r="B187" s="6" t="s">
        <v>71</v>
      </c>
      <c r="C187" s="8">
        <v>44.627199539999999</v>
      </c>
      <c r="D187" s="10">
        <f t="shared" si="26"/>
        <v>0.99082122657131022</v>
      </c>
      <c r="E187" s="8">
        <v>87.137</v>
      </c>
      <c r="F187" s="10">
        <f t="shared" si="27"/>
        <v>1.0003444040088627</v>
      </c>
      <c r="G187" s="8">
        <v>109.861</v>
      </c>
      <c r="H187" t="s">
        <v>6</v>
      </c>
      <c r="I187" s="8">
        <v>84.698899999999995</v>
      </c>
      <c r="J187" t="s">
        <v>6</v>
      </c>
      <c r="K187" s="8">
        <v>79.525000000000006</v>
      </c>
      <c r="L187" t="s">
        <v>6</v>
      </c>
      <c r="M187" s="8">
        <v>94.415000000000006</v>
      </c>
      <c r="N187" t="s">
        <v>6</v>
      </c>
      <c r="O187" s="8">
        <v>96.506</v>
      </c>
      <c r="P187" t="s">
        <v>6</v>
      </c>
      <c r="Q187" s="8">
        <v>108.91</v>
      </c>
      <c r="R187" t="s">
        <v>6</v>
      </c>
      <c r="S187" s="8">
        <v>113.82</v>
      </c>
      <c r="T187" t="s">
        <v>6</v>
      </c>
      <c r="U187" s="8">
        <v>263.10000000000002</v>
      </c>
      <c r="V187" t="s">
        <v>6</v>
      </c>
      <c r="W187" s="8">
        <v>109.848</v>
      </c>
      <c r="X187" t="s">
        <v>6</v>
      </c>
      <c r="Y187" s="8">
        <v>181.422</v>
      </c>
      <c r="Z187" t="s">
        <v>6</v>
      </c>
      <c r="AA187" s="8">
        <v>100.878</v>
      </c>
      <c r="AB187" t="s">
        <v>6</v>
      </c>
      <c r="AC187" s="8">
        <v>85.042000000000002</v>
      </c>
      <c r="AD187" t="s">
        <v>6</v>
      </c>
      <c r="AE187" s="8">
        <v>113.062</v>
      </c>
      <c r="AF187" t="s">
        <v>6</v>
      </c>
      <c r="AG187" s="8">
        <v>115.81</v>
      </c>
      <c r="AH187" t="s">
        <v>6</v>
      </c>
      <c r="AI187" s="8">
        <v>127.33</v>
      </c>
      <c r="AJ187" t="s">
        <v>6</v>
      </c>
      <c r="AK187" s="8">
        <v>464.9</v>
      </c>
      <c r="AL187" t="s">
        <v>6</v>
      </c>
    </row>
    <row r="188" spans="1:40" x14ac:dyDescent="0.2">
      <c r="A188" s="7" t="s">
        <v>56</v>
      </c>
      <c r="B188" t="s">
        <v>6</v>
      </c>
      <c r="C188" s="8">
        <v>45.040617159999996</v>
      </c>
      <c r="D188" s="10">
        <f t="shared" si="26"/>
        <v>1</v>
      </c>
      <c r="E188" s="8">
        <v>87.106999999999999</v>
      </c>
      <c r="F188" s="10">
        <f t="shared" si="27"/>
        <v>1</v>
      </c>
      <c r="G188" s="8">
        <v>110.45399999999999</v>
      </c>
      <c r="H188" t="s">
        <v>6</v>
      </c>
      <c r="I188" s="8">
        <v>85.019900000000007</v>
      </c>
      <c r="J188" t="s">
        <v>6</v>
      </c>
      <c r="K188" s="8">
        <v>79.349999999999994</v>
      </c>
      <c r="L188" t="s">
        <v>6</v>
      </c>
      <c r="M188" s="8">
        <v>94.572999999999993</v>
      </c>
      <c r="N188" t="s">
        <v>6</v>
      </c>
      <c r="O188" s="8">
        <v>96.885999999999996</v>
      </c>
      <c r="P188" t="s">
        <v>6</v>
      </c>
      <c r="Q188" s="8">
        <v>109</v>
      </c>
      <c r="R188" t="s">
        <v>6</v>
      </c>
      <c r="S188" s="8">
        <v>114.33</v>
      </c>
      <c r="T188" t="s">
        <v>6</v>
      </c>
      <c r="U188" s="8">
        <v>263.8</v>
      </c>
      <c r="V188" t="s">
        <v>6</v>
      </c>
      <c r="W188" s="8">
        <v>110.872</v>
      </c>
      <c r="X188" t="s">
        <v>6</v>
      </c>
      <c r="Y188" s="8">
        <v>182.46299999999999</v>
      </c>
      <c r="Z188" t="s">
        <v>6</v>
      </c>
      <c r="AA188" s="8">
        <v>100.94499999999999</v>
      </c>
      <c r="AB188" t="s">
        <v>6</v>
      </c>
      <c r="AC188" s="8">
        <v>85.622</v>
      </c>
      <c r="AD188" t="s">
        <v>6</v>
      </c>
      <c r="AE188" s="8">
        <v>112.816</v>
      </c>
      <c r="AF188" t="s">
        <v>6</v>
      </c>
      <c r="AG188" s="8">
        <v>115.88</v>
      </c>
      <c r="AH188" t="s">
        <v>6</v>
      </c>
      <c r="AI188" s="8">
        <v>127.59</v>
      </c>
      <c r="AJ188" t="s">
        <v>6</v>
      </c>
      <c r="AK188" s="8">
        <v>487.3</v>
      </c>
      <c r="AL188" t="s">
        <v>6</v>
      </c>
    </row>
    <row r="189" spans="1:40" x14ac:dyDescent="0.2">
      <c r="A189" s="7" t="s">
        <v>57</v>
      </c>
      <c r="B189" t="s">
        <v>6</v>
      </c>
      <c r="C189" s="8">
        <v>45.678539700000002</v>
      </c>
      <c r="D189" s="10">
        <f t="shared" si="26"/>
        <v>1.0141632726242156</v>
      </c>
      <c r="E189" s="8">
        <v>87.177999999999997</v>
      </c>
      <c r="F189" s="10">
        <f t="shared" si="27"/>
        <v>1.0008150894876415</v>
      </c>
      <c r="G189" s="8">
        <v>111.47</v>
      </c>
      <c r="H189" t="s">
        <v>6</v>
      </c>
      <c r="I189" s="8">
        <v>85.524600000000007</v>
      </c>
      <c r="J189" t="s">
        <v>6</v>
      </c>
      <c r="K189" s="8">
        <v>79.558999999999997</v>
      </c>
      <c r="L189" t="s">
        <v>6</v>
      </c>
      <c r="M189" s="8">
        <v>95.052999999999997</v>
      </c>
      <c r="N189" t="s">
        <v>6</v>
      </c>
      <c r="O189" s="8">
        <v>97.084000000000003</v>
      </c>
      <c r="P189" t="s">
        <v>6</v>
      </c>
      <c r="Q189" s="8">
        <v>108.99</v>
      </c>
      <c r="R189" t="s">
        <v>6</v>
      </c>
      <c r="S189" s="8">
        <v>114.68</v>
      </c>
      <c r="T189" t="s">
        <v>6</v>
      </c>
      <c r="U189" s="8">
        <v>264.60000000000002</v>
      </c>
      <c r="V189" t="s">
        <v>6</v>
      </c>
      <c r="W189" s="8">
        <v>111.508</v>
      </c>
      <c r="X189" t="s">
        <v>6</v>
      </c>
      <c r="Y189" s="8">
        <v>184.12799999999999</v>
      </c>
      <c r="Z189" t="s">
        <v>6</v>
      </c>
      <c r="AA189" s="8">
        <v>101.215</v>
      </c>
      <c r="AB189" t="s">
        <v>6</v>
      </c>
      <c r="AC189" s="8">
        <v>85.686999999999998</v>
      </c>
      <c r="AD189" t="s">
        <v>6</v>
      </c>
      <c r="AE189" s="8">
        <v>113</v>
      </c>
      <c r="AF189" t="s">
        <v>6</v>
      </c>
      <c r="AG189" s="8">
        <v>116.31</v>
      </c>
      <c r="AH189" t="s">
        <v>6</v>
      </c>
      <c r="AI189" s="8">
        <v>126.67</v>
      </c>
      <c r="AJ189" t="s">
        <v>6</v>
      </c>
      <c r="AK189" s="8">
        <v>498.1</v>
      </c>
      <c r="AL189" t="s">
        <v>6</v>
      </c>
    </row>
    <row r="190" spans="1:40" x14ac:dyDescent="0.2">
      <c r="A190" s="7" t="s">
        <v>72</v>
      </c>
      <c r="B190" t="s">
        <v>6</v>
      </c>
      <c r="C190" t="s">
        <v>45</v>
      </c>
      <c r="D190" s="11">
        <f>SUM(D191:D202)</f>
        <v>11.27992806227908</v>
      </c>
      <c r="E190" t="s">
        <v>45</v>
      </c>
      <c r="F190" s="11">
        <f>SUM(F191:F202)</f>
        <v>11.819999120337791</v>
      </c>
      <c r="G190" t="s">
        <v>45</v>
      </c>
      <c r="H190" t="s">
        <v>6</v>
      </c>
      <c r="I190" t="s">
        <v>45</v>
      </c>
      <c r="J190" t="s">
        <v>6</v>
      </c>
      <c r="K190" t="s">
        <v>45</v>
      </c>
      <c r="L190" t="s">
        <v>6</v>
      </c>
      <c r="M190" t="s">
        <v>45</v>
      </c>
      <c r="N190" t="s">
        <v>6</v>
      </c>
      <c r="O190" t="s">
        <v>45</v>
      </c>
      <c r="P190" t="s">
        <v>6</v>
      </c>
      <c r="Q190" t="s">
        <v>45</v>
      </c>
      <c r="R190" t="s">
        <v>6</v>
      </c>
      <c r="S190" t="s">
        <v>45</v>
      </c>
      <c r="T190" t="s">
        <v>6</v>
      </c>
      <c r="U190" t="s">
        <v>45</v>
      </c>
      <c r="V190" t="s">
        <v>6</v>
      </c>
      <c r="W190" t="s">
        <v>45</v>
      </c>
      <c r="X190" t="s">
        <v>6</v>
      </c>
      <c r="Y190" t="s">
        <v>45</v>
      </c>
      <c r="Z190" t="s">
        <v>6</v>
      </c>
      <c r="AA190" t="s">
        <v>45</v>
      </c>
      <c r="AB190" t="s">
        <v>6</v>
      </c>
      <c r="AC190" t="s">
        <v>45</v>
      </c>
      <c r="AD190" t="s">
        <v>6</v>
      </c>
      <c r="AE190" t="s">
        <v>45</v>
      </c>
      <c r="AF190" t="s">
        <v>6</v>
      </c>
      <c r="AG190" t="s">
        <v>45</v>
      </c>
      <c r="AH190" t="s">
        <v>6</v>
      </c>
      <c r="AI190" t="s">
        <v>45</v>
      </c>
      <c r="AJ190" t="s">
        <v>6</v>
      </c>
      <c r="AK190" t="s">
        <v>45</v>
      </c>
      <c r="AL190" t="s">
        <v>6</v>
      </c>
      <c r="AM190" t="s">
        <v>45</v>
      </c>
      <c r="AN190" t="s">
        <v>6</v>
      </c>
    </row>
    <row r="191" spans="1:40" x14ac:dyDescent="0.2">
      <c r="A191" s="7" t="s">
        <v>46</v>
      </c>
      <c r="B191" t="s">
        <v>6</v>
      </c>
      <c r="C191" s="8">
        <v>47.345153089999997</v>
      </c>
      <c r="D191" s="10">
        <f t="shared" ref="D191:D202" si="28">C191/C$201</f>
        <v>0.84479353902477383</v>
      </c>
      <c r="E191" s="8">
        <v>87.406999999999996</v>
      </c>
      <c r="F191" s="10">
        <f t="shared" ref="F191:F202" si="29">E191/E$201</f>
        <v>0.96110793455313148</v>
      </c>
      <c r="G191" s="8">
        <v>112.08</v>
      </c>
      <c r="H191" t="s">
        <v>6</v>
      </c>
      <c r="I191" s="8">
        <v>85.676299999999998</v>
      </c>
      <c r="J191" t="s">
        <v>6</v>
      </c>
      <c r="K191" s="8">
        <v>79.95</v>
      </c>
      <c r="L191" t="s">
        <v>6</v>
      </c>
      <c r="M191" s="8">
        <v>95.760999999999996</v>
      </c>
      <c r="N191" t="s">
        <v>6</v>
      </c>
      <c r="O191" s="8">
        <v>97.784000000000006</v>
      </c>
      <c r="P191" t="s">
        <v>6</v>
      </c>
      <c r="Q191" s="8">
        <v>109.51</v>
      </c>
      <c r="R191" t="s">
        <v>6</v>
      </c>
      <c r="S191" s="8">
        <v>114.97</v>
      </c>
      <c r="T191" t="s">
        <v>6</v>
      </c>
      <c r="U191" s="8">
        <v>268.60000000000002</v>
      </c>
      <c r="V191" t="s">
        <v>6</v>
      </c>
      <c r="W191" s="8">
        <v>112.505</v>
      </c>
      <c r="X191" t="s">
        <v>6</v>
      </c>
      <c r="Y191" s="8">
        <v>185.46299999999999</v>
      </c>
      <c r="Z191" t="s">
        <v>6</v>
      </c>
      <c r="AA191" s="8">
        <v>101.42</v>
      </c>
      <c r="AB191" t="s">
        <v>6</v>
      </c>
      <c r="AC191" s="8">
        <v>86.846999999999994</v>
      </c>
      <c r="AD191" t="s">
        <v>6</v>
      </c>
      <c r="AE191" s="8">
        <v>113.36</v>
      </c>
      <c r="AF191" t="s">
        <v>6</v>
      </c>
      <c r="AG191" s="8">
        <v>116.58</v>
      </c>
      <c r="AH191" t="s">
        <v>6</v>
      </c>
      <c r="AI191" s="8">
        <v>129.76</v>
      </c>
      <c r="AJ191" t="s">
        <v>6</v>
      </c>
      <c r="AK191" s="8">
        <v>514.5</v>
      </c>
      <c r="AL191" t="s">
        <v>6</v>
      </c>
    </row>
    <row r="192" spans="1:40" x14ac:dyDescent="0.2">
      <c r="A192" s="7" t="s">
        <v>47</v>
      </c>
      <c r="B192" t="s">
        <v>6</v>
      </c>
      <c r="C192" s="8">
        <v>48.962879149999999</v>
      </c>
      <c r="D192" s="10">
        <f t="shared" si="28"/>
        <v>0.87365910253456136</v>
      </c>
      <c r="E192" s="8">
        <v>88.066000000000003</v>
      </c>
      <c r="F192" s="10">
        <f t="shared" si="29"/>
        <v>0.9683541520056298</v>
      </c>
      <c r="G192" s="8">
        <v>112.86</v>
      </c>
      <c r="H192" t="s">
        <v>6</v>
      </c>
      <c r="I192" s="8">
        <v>86.097499999999997</v>
      </c>
      <c r="J192" t="s">
        <v>6</v>
      </c>
      <c r="K192" s="8">
        <v>80.453000000000003</v>
      </c>
      <c r="L192" t="s">
        <v>6</v>
      </c>
      <c r="M192" s="8">
        <v>96.399000000000001</v>
      </c>
      <c r="N192" t="s">
        <v>6</v>
      </c>
      <c r="O192" s="8">
        <v>97.891999999999996</v>
      </c>
      <c r="P192" t="s">
        <v>6</v>
      </c>
      <c r="Q192" s="8">
        <v>109.72</v>
      </c>
      <c r="R192" t="s">
        <v>6</v>
      </c>
      <c r="S192" s="8">
        <v>115.2</v>
      </c>
      <c r="T192" t="s">
        <v>6</v>
      </c>
      <c r="U192" s="8">
        <v>270.8</v>
      </c>
      <c r="V192" t="s">
        <v>6</v>
      </c>
      <c r="W192" s="8">
        <v>112.79</v>
      </c>
      <c r="X192" t="s">
        <v>6</v>
      </c>
      <c r="Y192" s="8">
        <v>186.691</v>
      </c>
      <c r="Z192" t="s">
        <v>6</v>
      </c>
      <c r="AA192" s="8">
        <v>101.96</v>
      </c>
      <c r="AB192" t="s">
        <v>6</v>
      </c>
      <c r="AC192" s="8">
        <v>87.427000000000007</v>
      </c>
      <c r="AD192" t="s">
        <v>6</v>
      </c>
      <c r="AE192" s="8">
        <v>114.04</v>
      </c>
      <c r="AF192" t="s">
        <v>6</v>
      </c>
      <c r="AG192" s="8">
        <v>116.98</v>
      </c>
      <c r="AH192" t="s">
        <v>6</v>
      </c>
      <c r="AI192" s="8">
        <v>131.91</v>
      </c>
      <c r="AJ192" t="s">
        <v>6</v>
      </c>
      <c r="AK192" s="8">
        <v>526.9</v>
      </c>
      <c r="AL192" t="s">
        <v>6</v>
      </c>
    </row>
    <row r="193" spans="1:40" x14ac:dyDescent="0.2">
      <c r="A193" s="7" t="s">
        <v>48</v>
      </c>
      <c r="B193" t="s">
        <v>6</v>
      </c>
      <c r="C193" s="8">
        <v>50.233949619999997</v>
      </c>
      <c r="D193" s="10">
        <f t="shared" si="28"/>
        <v>0.89633918804743262</v>
      </c>
      <c r="E193" s="8">
        <v>88.254999999999995</v>
      </c>
      <c r="F193" s="10">
        <f t="shared" si="29"/>
        <v>0.97043235397607308</v>
      </c>
      <c r="G193" s="8">
        <v>113.9</v>
      </c>
      <c r="H193" t="s">
        <v>6</v>
      </c>
      <c r="I193" s="8">
        <v>86.813699999999997</v>
      </c>
      <c r="J193" t="s">
        <v>6</v>
      </c>
      <c r="K193" s="8">
        <v>80.766999999999996</v>
      </c>
      <c r="L193" t="s">
        <v>6</v>
      </c>
      <c r="M193" s="8">
        <v>96.99</v>
      </c>
      <c r="N193" t="s">
        <v>6</v>
      </c>
      <c r="O193" s="8">
        <v>98.572999999999993</v>
      </c>
      <c r="P193" t="s">
        <v>6</v>
      </c>
      <c r="Q193" s="8">
        <v>109.99</v>
      </c>
      <c r="R193" t="s">
        <v>6</v>
      </c>
      <c r="S193" s="8">
        <v>115.46</v>
      </c>
      <c r="T193" t="s">
        <v>6</v>
      </c>
      <c r="U193" s="8">
        <v>272.39999999999998</v>
      </c>
      <c r="V193" t="s">
        <v>6</v>
      </c>
      <c r="W193" s="8">
        <v>113.099</v>
      </c>
      <c r="X193" t="s">
        <v>6</v>
      </c>
      <c r="Y193" s="8">
        <v>186.67500000000001</v>
      </c>
      <c r="Z193" t="s">
        <v>6</v>
      </c>
      <c r="AA193" s="8">
        <v>102.36</v>
      </c>
      <c r="AB193" t="s">
        <v>6</v>
      </c>
      <c r="AC193" s="8">
        <v>87.879000000000005</v>
      </c>
      <c r="AD193" t="s">
        <v>6</v>
      </c>
      <c r="AE193" s="8">
        <v>114.63</v>
      </c>
      <c r="AF193" t="s">
        <v>6</v>
      </c>
      <c r="AG193" s="8">
        <v>117.59</v>
      </c>
      <c r="AH193" t="s">
        <v>6</v>
      </c>
      <c r="AI193" s="8">
        <v>132.68</v>
      </c>
      <c r="AJ193" t="s">
        <v>6</v>
      </c>
      <c r="AK193" s="8">
        <v>548.29999999999995</v>
      </c>
      <c r="AL193" t="s">
        <v>6</v>
      </c>
    </row>
    <row r="194" spans="1:40" x14ac:dyDescent="0.2">
      <c r="A194" s="7" t="s">
        <v>49</v>
      </c>
      <c r="B194" t="s">
        <v>6</v>
      </c>
      <c r="C194" s="8">
        <v>51.131698700000001</v>
      </c>
      <c r="D194" s="10">
        <f t="shared" si="28"/>
        <v>0.91235798982441174</v>
      </c>
      <c r="E194" s="8">
        <v>88.396000000000001</v>
      </c>
      <c r="F194" s="10">
        <f t="shared" si="29"/>
        <v>0.97198275862068961</v>
      </c>
      <c r="G194" s="8">
        <v>114.66</v>
      </c>
      <c r="H194" t="s">
        <v>6</v>
      </c>
      <c r="I194" s="8">
        <v>87.352900000000005</v>
      </c>
      <c r="J194" t="s">
        <v>6</v>
      </c>
      <c r="K194" s="8">
        <v>81.137</v>
      </c>
      <c r="L194" t="s">
        <v>6</v>
      </c>
      <c r="M194" s="8">
        <v>98.096000000000004</v>
      </c>
      <c r="N194" t="s">
        <v>6</v>
      </c>
      <c r="O194" s="8">
        <v>98.864999999999995</v>
      </c>
      <c r="P194" t="s">
        <v>6</v>
      </c>
      <c r="Q194" s="8">
        <v>109.47</v>
      </c>
      <c r="R194" t="s">
        <v>6</v>
      </c>
      <c r="S194" s="8">
        <v>115.68</v>
      </c>
      <c r="T194" t="s">
        <v>6</v>
      </c>
      <c r="U194" s="8">
        <v>273.5</v>
      </c>
      <c r="V194" t="s">
        <v>6</v>
      </c>
      <c r="W194" s="8">
        <v>112.88800000000001</v>
      </c>
      <c r="X194" t="s">
        <v>6</v>
      </c>
      <c r="Y194" s="8">
        <v>187.50200000000001</v>
      </c>
      <c r="Z194" t="s">
        <v>6</v>
      </c>
      <c r="AA194" s="8">
        <v>102.9</v>
      </c>
      <c r="AB194" t="s">
        <v>6</v>
      </c>
      <c r="AC194" s="8">
        <v>88.266000000000005</v>
      </c>
      <c r="AD194" t="s">
        <v>6</v>
      </c>
      <c r="AE194" s="8">
        <v>115.08</v>
      </c>
      <c r="AF194" t="s">
        <v>6</v>
      </c>
      <c r="AG194" s="8">
        <v>118.09</v>
      </c>
      <c r="AH194" t="s">
        <v>6</v>
      </c>
      <c r="AI194" s="8">
        <v>132.6</v>
      </c>
      <c r="AJ194" t="s">
        <v>6</v>
      </c>
      <c r="AK194" s="8">
        <v>579.4</v>
      </c>
      <c r="AL194" t="s">
        <v>6</v>
      </c>
    </row>
    <row r="195" spans="1:40" x14ac:dyDescent="0.2">
      <c r="A195" s="7" t="s">
        <v>50</v>
      </c>
      <c r="B195" t="s">
        <v>6</v>
      </c>
      <c r="C195" s="8">
        <v>51.865008590000002</v>
      </c>
      <c r="D195" s="10">
        <f t="shared" si="28"/>
        <v>0.92544265460514119</v>
      </c>
      <c r="E195" s="8">
        <v>88.766999999999996</v>
      </c>
      <c r="F195" s="10">
        <f t="shared" si="29"/>
        <v>0.97606219211822653</v>
      </c>
      <c r="G195" s="8">
        <v>115.19</v>
      </c>
      <c r="H195" t="s">
        <v>6</v>
      </c>
      <c r="I195" s="8">
        <v>87.647800000000004</v>
      </c>
      <c r="J195" t="s">
        <v>6</v>
      </c>
      <c r="K195" s="8">
        <v>81.534999999999997</v>
      </c>
      <c r="L195" t="s">
        <v>6</v>
      </c>
      <c r="M195" s="8">
        <v>98.616</v>
      </c>
      <c r="N195" t="s">
        <v>6</v>
      </c>
      <c r="O195" s="8">
        <v>98.823999999999998</v>
      </c>
      <c r="P195" t="s">
        <v>6</v>
      </c>
      <c r="Q195" s="8">
        <v>109.72</v>
      </c>
      <c r="R195" t="s">
        <v>6</v>
      </c>
      <c r="S195" s="8">
        <v>115.94</v>
      </c>
      <c r="T195" t="s">
        <v>6</v>
      </c>
      <c r="U195" s="8">
        <v>274.89999999999998</v>
      </c>
      <c r="V195" t="s">
        <v>6</v>
      </c>
      <c r="W195" s="8">
        <v>112.527</v>
      </c>
      <c r="X195" t="s">
        <v>6</v>
      </c>
      <c r="Y195" s="8">
        <v>189.267</v>
      </c>
      <c r="Z195" t="s">
        <v>6</v>
      </c>
      <c r="AA195" s="8">
        <v>103.04</v>
      </c>
      <c r="AB195" t="s">
        <v>6</v>
      </c>
      <c r="AC195" s="8">
        <v>88.524000000000001</v>
      </c>
      <c r="AD195" t="s">
        <v>6</v>
      </c>
      <c r="AE195" s="8">
        <v>115.34</v>
      </c>
      <c r="AF195" t="s">
        <v>6</v>
      </c>
      <c r="AG195" s="8">
        <v>118.11</v>
      </c>
      <c r="AH195" t="s">
        <v>6</v>
      </c>
      <c r="AI195" s="8">
        <v>133.02000000000001</v>
      </c>
      <c r="AJ195" t="s">
        <v>6</v>
      </c>
      <c r="AK195" s="8">
        <v>612.6</v>
      </c>
      <c r="AL195" t="s">
        <v>6</v>
      </c>
    </row>
    <row r="196" spans="1:40" x14ac:dyDescent="0.2">
      <c r="A196" s="7" t="s">
        <v>51</v>
      </c>
      <c r="B196" t="s">
        <v>6</v>
      </c>
      <c r="C196" s="8">
        <v>52.536098250000002</v>
      </c>
      <c r="D196" s="10">
        <f t="shared" si="28"/>
        <v>0.93741710545962742</v>
      </c>
      <c r="E196" s="8">
        <v>89.837999999999994</v>
      </c>
      <c r="F196" s="10">
        <f t="shared" si="29"/>
        <v>0.98783866995073877</v>
      </c>
      <c r="G196" s="8">
        <v>115.65</v>
      </c>
      <c r="H196" t="s">
        <v>6</v>
      </c>
      <c r="I196" s="8">
        <v>87.689899999999994</v>
      </c>
      <c r="J196" t="s">
        <v>6</v>
      </c>
      <c r="K196" s="8">
        <v>81.605000000000004</v>
      </c>
      <c r="L196" t="s">
        <v>6</v>
      </c>
      <c r="M196" s="8">
        <v>98.406000000000006</v>
      </c>
      <c r="N196" t="s">
        <v>6</v>
      </c>
      <c r="O196" s="8">
        <v>98.927000000000007</v>
      </c>
      <c r="P196" t="s">
        <v>6</v>
      </c>
      <c r="Q196" s="8">
        <v>110.15</v>
      </c>
      <c r="R196" t="s">
        <v>6</v>
      </c>
      <c r="S196" s="8">
        <v>116.56</v>
      </c>
      <c r="T196" t="s">
        <v>6</v>
      </c>
      <c r="U196" s="8">
        <v>276.10000000000002</v>
      </c>
      <c r="V196" t="s">
        <v>6</v>
      </c>
      <c r="W196" s="8">
        <v>112.72199999999999</v>
      </c>
      <c r="X196" t="s">
        <v>6</v>
      </c>
      <c r="Y196" s="8">
        <v>191.97800000000001</v>
      </c>
      <c r="Z196" t="s">
        <v>6</v>
      </c>
      <c r="AA196" s="8">
        <v>103.51</v>
      </c>
      <c r="AB196" t="s">
        <v>6</v>
      </c>
      <c r="AC196" s="8">
        <v>88.394999999999996</v>
      </c>
      <c r="AD196" t="s">
        <v>6</v>
      </c>
      <c r="AE196" s="8">
        <v>115.53</v>
      </c>
      <c r="AF196" t="s">
        <v>6</v>
      </c>
      <c r="AG196" s="8">
        <v>118.13</v>
      </c>
      <c r="AH196" t="s">
        <v>6</v>
      </c>
      <c r="AI196" s="8">
        <v>133.47999999999999</v>
      </c>
      <c r="AJ196" t="s">
        <v>6</v>
      </c>
      <c r="AK196" s="8">
        <v>639.70000000000005</v>
      </c>
      <c r="AL196" t="s">
        <v>6</v>
      </c>
    </row>
    <row r="197" spans="1:40" x14ac:dyDescent="0.2">
      <c r="A197" s="7" t="s">
        <v>52</v>
      </c>
      <c r="B197" t="s">
        <v>6</v>
      </c>
      <c r="C197" s="8">
        <v>53.287185350000001</v>
      </c>
      <c r="D197" s="10">
        <f t="shared" si="28"/>
        <v>0.95081897424477391</v>
      </c>
      <c r="E197" s="8">
        <v>90.497</v>
      </c>
      <c r="F197" s="10">
        <f t="shared" si="29"/>
        <v>0.99508488740323708</v>
      </c>
      <c r="G197" s="8">
        <v>115.66</v>
      </c>
      <c r="H197" t="s">
        <v>6</v>
      </c>
      <c r="I197" s="8">
        <v>87.892099999999999</v>
      </c>
      <c r="J197" t="s">
        <v>6</v>
      </c>
      <c r="K197" s="8">
        <v>81.73</v>
      </c>
      <c r="L197" t="s">
        <v>6</v>
      </c>
      <c r="M197" s="8">
        <v>99.891999999999996</v>
      </c>
      <c r="N197" t="s">
        <v>6</v>
      </c>
      <c r="O197" s="8">
        <v>99.325999999999993</v>
      </c>
      <c r="P197" t="s">
        <v>6</v>
      </c>
      <c r="Q197" s="8">
        <v>110.77</v>
      </c>
      <c r="R197" t="s">
        <v>6</v>
      </c>
      <c r="S197" s="8">
        <v>117.23</v>
      </c>
      <c r="T197" t="s">
        <v>6</v>
      </c>
      <c r="U197" s="8">
        <v>278.2</v>
      </c>
      <c r="V197" t="s">
        <v>6</v>
      </c>
      <c r="W197" s="8">
        <v>113.032</v>
      </c>
      <c r="X197" t="s">
        <v>6</v>
      </c>
      <c r="Y197" s="8">
        <v>192.94800000000001</v>
      </c>
      <c r="Z197" t="s">
        <v>6</v>
      </c>
      <c r="AA197" s="8">
        <v>102.63</v>
      </c>
      <c r="AB197" t="s">
        <v>6</v>
      </c>
      <c r="AC197" s="8">
        <v>88.137</v>
      </c>
      <c r="AD197" t="s">
        <v>6</v>
      </c>
      <c r="AE197" s="8">
        <v>116.03</v>
      </c>
      <c r="AF197" t="s">
        <v>6</v>
      </c>
      <c r="AG197" s="8">
        <v>118.56</v>
      </c>
      <c r="AH197" t="s">
        <v>6</v>
      </c>
      <c r="AI197" s="8">
        <v>134.47999999999999</v>
      </c>
      <c r="AJ197" t="s">
        <v>6</v>
      </c>
      <c r="AK197" s="8">
        <v>666.2</v>
      </c>
      <c r="AL197" t="s">
        <v>6</v>
      </c>
    </row>
    <row r="198" spans="1:40" x14ac:dyDescent="0.2">
      <c r="A198" s="7" t="s">
        <v>53</v>
      </c>
      <c r="B198" t="s">
        <v>6</v>
      </c>
      <c r="C198" s="8">
        <v>53.998273730000001</v>
      </c>
      <c r="D198" s="10">
        <f t="shared" si="28"/>
        <v>0.96350713406459032</v>
      </c>
      <c r="E198" s="8">
        <v>90.555999999999997</v>
      </c>
      <c r="F198" s="10">
        <f t="shared" si="29"/>
        <v>0.99573363828289929</v>
      </c>
      <c r="G198" s="8">
        <v>115.95</v>
      </c>
      <c r="H198" t="s">
        <v>6</v>
      </c>
      <c r="I198" s="8">
        <v>88.178600000000003</v>
      </c>
      <c r="J198" t="s">
        <v>6</v>
      </c>
      <c r="K198" s="8">
        <v>81.897999999999996</v>
      </c>
      <c r="L198" t="s">
        <v>6</v>
      </c>
      <c r="M198" s="8">
        <v>100.22499999999999</v>
      </c>
      <c r="N198" t="s">
        <v>6</v>
      </c>
      <c r="O198" s="8">
        <v>99.534000000000006</v>
      </c>
      <c r="P198" t="s">
        <v>6</v>
      </c>
      <c r="Q198" s="8">
        <v>111.04</v>
      </c>
      <c r="R198" t="s">
        <v>6</v>
      </c>
      <c r="S198" s="8">
        <v>117.72</v>
      </c>
      <c r="T198" t="s">
        <v>6</v>
      </c>
      <c r="U198" s="8">
        <v>278.60000000000002</v>
      </c>
      <c r="V198" t="s">
        <v>6</v>
      </c>
      <c r="W198" s="8">
        <v>113.438</v>
      </c>
      <c r="X198" t="s">
        <v>6</v>
      </c>
      <c r="Y198" s="8">
        <v>193.572</v>
      </c>
      <c r="Z198" t="s">
        <v>6</v>
      </c>
      <c r="AA198" s="8">
        <v>102.77</v>
      </c>
      <c r="AB198" t="s">
        <v>6</v>
      </c>
      <c r="AC198" s="8">
        <v>87.813999999999993</v>
      </c>
      <c r="AD198" t="s">
        <v>6</v>
      </c>
      <c r="AE198" s="8">
        <v>115.93</v>
      </c>
      <c r="AF198" t="s">
        <v>6</v>
      </c>
      <c r="AG198" s="8">
        <v>119.02</v>
      </c>
      <c r="AH198" t="s">
        <v>6</v>
      </c>
      <c r="AI198" s="8">
        <v>135.49</v>
      </c>
      <c r="AJ198" t="s">
        <v>6</v>
      </c>
      <c r="AK198" s="8">
        <v>692.4</v>
      </c>
      <c r="AL198" t="s">
        <v>6</v>
      </c>
    </row>
    <row r="199" spans="1:40" x14ac:dyDescent="0.2">
      <c r="A199" s="7" t="s">
        <v>54</v>
      </c>
      <c r="B199" t="s">
        <v>6</v>
      </c>
      <c r="C199" s="8">
        <v>54.740472220000001</v>
      </c>
      <c r="D199" s="10">
        <f t="shared" si="28"/>
        <v>0.97675040075831177</v>
      </c>
      <c r="E199" s="8">
        <v>90.22</v>
      </c>
      <c r="F199" s="10">
        <f t="shared" si="29"/>
        <v>0.99203905700211115</v>
      </c>
      <c r="G199" s="8">
        <v>116.61</v>
      </c>
      <c r="H199" t="s">
        <v>6</v>
      </c>
      <c r="I199" s="8">
        <v>88.92</v>
      </c>
      <c r="J199" t="s">
        <v>6</v>
      </c>
      <c r="K199" s="8">
        <v>82.009</v>
      </c>
      <c r="L199" t="s">
        <v>6</v>
      </c>
      <c r="M199" s="8">
        <v>100.08499999999999</v>
      </c>
      <c r="N199" t="s">
        <v>6</v>
      </c>
      <c r="O199" s="8">
        <v>100.14400000000001</v>
      </c>
      <c r="P199" t="s">
        <v>6</v>
      </c>
      <c r="Q199" s="8">
        <v>110.92</v>
      </c>
      <c r="R199" t="s">
        <v>6</v>
      </c>
      <c r="S199" s="8">
        <v>117.78</v>
      </c>
      <c r="T199" t="s">
        <v>6</v>
      </c>
      <c r="U199" s="8">
        <v>278.89999999999998</v>
      </c>
      <c r="V199" t="s">
        <v>6</v>
      </c>
      <c r="W199" s="8">
        <v>113.93899999999999</v>
      </c>
      <c r="X199" t="s">
        <v>6</v>
      </c>
      <c r="Y199" s="8">
        <v>193.46799999999999</v>
      </c>
      <c r="Z199" t="s">
        <v>6</v>
      </c>
      <c r="AA199" s="8">
        <v>103.11</v>
      </c>
      <c r="AB199" t="s">
        <v>6</v>
      </c>
      <c r="AC199" s="8">
        <v>87.813999999999993</v>
      </c>
      <c r="AD199" t="s">
        <v>6</v>
      </c>
      <c r="AE199" s="8">
        <v>116.11</v>
      </c>
      <c r="AF199" t="s">
        <v>6</v>
      </c>
      <c r="AG199" s="8">
        <v>119.25</v>
      </c>
      <c r="AH199" t="s">
        <v>6</v>
      </c>
      <c r="AI199" s="8">
        <v>136.85</v>
      </c>
      <c r="AJ199" t="s">
        <v>6</v>
      </c>
      <c r="AK199" s="8">
        <v>725.4</v>
      </c>
      <c r="AL199" t="s">
        <v>6</v>
      </c>
    </row>
    <row r="200" spans="1:40" x14ac:dyDescent="0.2">
      <c r="A200" s="7" t="s">
        <v>55</v>
      </c>
      <c r="B200" t="s">
        <v>6</v>
      </c>
      <c r="C200" s="8">
        <v>55.419423809999998</v>
      </c>
      <c r="D200" s="10">
        <f t="shared" si="28"/>
        <v>0.98886513434999057</v>
      </c>
      <c r="E200" s="8">
        <v>90.302999999999997</v>
      </c>
      <c r="F200" s="10">
        <f t="shared" si="29"/>
        <v>0.99295170654468679</v>
      </c>
      <c r="G200" s="8">
        <v>117.1</v>
      </c>
      <c r="H200" t="s">
        <v>6</v>
      </c>
      <c r="I200" s="8">
        <v>89.846800000000002</v>
      </c>
      <c r="J200" t="s">
        <v>6</v>
      </c>
      <c r="K200" s="8">
        <v>82.141999999999996</v>
      </c>
      <c r="L200" t="s">
        <v>6</v>
      </c>
      <c r="M200" s="8">
        <v>99.798000000000002</v>
      </c>
      <c r="N200" t="s">
        <v>6</v>
      </c>
      <c r="O200" s="8">
        <v>100.34699999999999</v>
      </c>
      <c r="P200" t="s">
        <v>6</v>
      </c>
      <c r="Q200" s="8">
        <v>110.96</v>
      </c>
      <c r="R200" t="s">
        <v>6</v>
      </c>
      <c r="S200" s="8">
        <v>117.96</v>
      </c>
      <c r="T200" t="s">
        <v>6</v>
      </c>
      <c r="U200" s="8">
        <v>279.7</v>
      </c>
      <c r="V200" t="s">
        <v>6</v>
      </c>
      <c r="W200" s="8">
        <v>114.569</v>
      </c>
      <c r="X200" t="s">
        <v>6</v>
      </c>
      <c r="Y200" s="8">
        <v>193.75200000000001</v>
      </c>
      <c r="Z200" t="s">
        <v>6</v>
      </c>
      <c r="AA200" s="8">
        <v>102.97</v>
      </c>
      <c r="AB200" t="s">
        <v>6</v>
      </c>
      <c r="AC200" s="8">
        <v>88.007999999999996</v>
      </c>
      <c r="AD200" t="s">
        <v>6</v>
      </c>
      <c r="AE200" s="8">
        <v>116.55</v>
      </c>
      <c r="AF200" t="s">
        <v>6</v>
      </c>
      <c r="AG200" s="8">
        <v>119.15</v>
      </c>
      <c r="AH200" t="s">
        <v>6</v>
      </c>
      <c r="AI200" s="8">
        <v>137.66</v>
      </c>
      <c r="AJ200" t="s">
        <v>6</v>
      </c>
      <c r="AK200" s="8">
        <v>761.8</v>
      </c>
      <c r="AL200" t="s">
        <v>6</v>
      </c>
    </row>
    <row r="201" spans="1:40" x14ac:dyDescent="0.2">
      <c r="A201" s="7" t="s">
        <v>56</v>
      </c>
      <c r="B201" t="s">
        <v>6</v>
      </c>
      <c r="C201" s="8">
        <v>56.043460209999999</v>
      </c>
      <c r="D201" s="10">
        <f t="shared" si="28"/>
        <v>1</v>
      </c>
      <c r="E201" s="8">
        <v>90.944000000000003</v>
      </c>
      <c r="F201" s="10">
        <f t="shared" si="29"/>
        <v>1</v>
      </c>
      <c r="G201" s="8">
        <v>117.69</v>
      </c>
      <c r="H201" t="s">
        <v>6</v>
      </c>
      <c r="I201" s="8">
        <v>89.863600000000005</v>
      </c>
      <c r="J201" t="s">
        <v>6</v>
      </c>
      <c r="K201" s="8">
        <v>82.254000000000005</v>
      </c>
      <c r="L201" t="s">
        <v>6</v>
      </c>
      <c r="M201" s="8">
        <v>100.13800000000001</v>
      </c>
      <c r="N201" t="s">
        <v>6</v>
      </c>
      <c r="O201" s="8">
        <v>100.529</v>
      </c>
      <c r="P201" t="s">
        <v>6</v>
      </c>
      <c r="Q201" s="8">
        <v>110.41</v>
      </c>
      <c r="R201" t="s">
        <v>6</v>
      </c>
      <c r="S201" s="8">
        <v>118.19</v>
      </c>
      <c r="T201" t="s">
        <v>6</v>
      </c>
      <c r="U201" s="8">
        <v>280.7</v>
      </c>
      <c r="V201" t="s">
        <v>6</v>
      </c>
      <c r="W201" s="8">
        <v>115.49299999999999</v>
      </c>
      <c r="X201" t="s">
        <v>6</v>
      </c>
      <c r="Y201" s="8">
        <v>196.33099999999999</v>
      </c>
      <c r="Z201" t="s">
        <v>6</v>
      </c>
      <c r="AA201" s="8">
        <v>102.65</v>
      </c>
      <c r="AB201" t="s">
        <v>6</v>
      </c>
      <c r="AC201" s="8">
        <v>88.652000000000001</v>
      </c>
      <c r="AD201" t="s">
        <v>6</v>
      </c>
      <c r="AE201" s="8">
        <v>116.38</v>
      </c>
      <c r="AF201" t="s">
        <v>6</v>
      </c>
      <c r="AG201" s="8">
        <v>118.98</v>
      </c>
      <c r="AH201" t="s">
        <v>6</v>
      </c>
      <c r="AI201" s="8">
        <v>137.86000000000001</v>
      </c>
      <c r="AJ201" t="s">
        <v>6</v>
      </c>
      <c r="AK201" s="8">
        <v>797.3</v>
      </c>
      <c r="AL201" t="s">
        <v>6</v>
      </c>
    </row>
    <row r="202" spans="1:40" x14ac:dyDescent="0.2">
      <c r="A202" s="7" t="s">
        <v>57</v>
      </c>
      <c r="B202" t="s">
        <v>6</v>
      </c>
      <c r="C202" s="8">
        <v>56.602596810000001</v>
      </c>
      <c r="D202" s="10">
        <f t="shared" si="28"/>
        <v>1.0099768393654651</v>
      </c>
      <c r="E202" s="8">
        <v>91.709000000000003</v>
      </c>
      <c r="F202" s="10">
        <f t="shared" si="29"/>
        <v>1.0084117698803658</v>
      </c>
      <c r="G202" s="8">
        <v>118.61</v>
      </c>
      <c r="H202" t="s">
        <v>6</v>
      </c>
      <c r="I202" s="8">
        <v>89.492900000000006</v>
      </c>
      <c r="J202" t="s">
        <v>6</v>
      </c>
      <c r="K202" s="8">
        <v>82.47</v>
      </c>
      <c r="L202" t="s">
        <v>6</v>
      </c>
      <c r="M202" s="8">
        <v>99.927000000000007</v>
      </c>
      <c r="N202" t="s">
        <v>6</v>
      </c>
      <c r="O202" s="8">
        <v>100.64400000000001</v>
      </c>
      <c r="P202" t="s">
        <v>6</v>
      </c>
      <c r="Q202" s="8">
        <v>109.5</v>
      </c>
      <c r="R202" t="s">
        <v>6</v>
      </c>
      <c r="S202" s="8">
        <v>118.06</v>
      </c>
      <c r="T202" t="s">
        <v>6</v>
      </c>
      <c r="U202" s="8">
        <v>280</v>
      </c>
      <c r="V202" t="s">
        <v>6</v>
      </c>
      <c r="W202" s="8">
        <v>116.059</v>
      </c>
      <c r="X202" t="s">
        <v>6</v>
      </c>
      <c r="Y202" s="8">
        <v>196.03899999999999</v>
      </c>
      <c r="Z202" t="s">
        <v>6</v>
      </c>
      <c r="AA202" s="8">
        <v>102.24</v>
      </c>
      <c r="AB202" t="s">
        <v>6</v>
      </c>
      <c r="AC202" s="8">
        <v>89.296999999999997</v>
      </c>
      <c r="AD202" t="s">
        <v>6</v>
      </c>
      <c r="AE202" s="8">
        <v>116.65</v>
      </c>
      <c r="AF202" t="s">
        <v>6</v>
      </c>
      <c r="AG202" s="8">
        <v>118.15</v>
      </c>
      <c r="AH202" t="s">
        <v>6</v>
      </c>
      <c r="AI202" s="8">
        <v>137.13</v>
      </c>
      <c r="AJ202" t="s">
        <v>6</v>
      </c>
      <c r="AK202" s="8">
        <v>839.5</v>
      </c>
      <c r="AL202" t="s">
        <v>6</v>
      </c>
    </row>
    <row r="203" spans="1:40" x14ac:dyDescent="0.2">
      <c r="A203" s="7" t="s">
        <v>73</v>
      </c>
      <c r="B203" t="s">
        <v>6</v>
      </c>
      <c r="C203" t="s">
        <v>45</v>
      </c>
      <c r="D203" s="11">
        <f>SUM(D204:D215)</f>
        <v>11.091967900421588</v>
      </c>
      <c r="E203" t="s">
        <v>45</v>
      </c>
      <c r="F203" s="11">
        <f>SUM(F204:F215)</f>
        <v>11.867680914945311</v>
      </c>
      <c r="G203" t="s">
        <v>45</v>
      </c>
      <c r="H203" t="s">
        <v>6</v>
      </c>
      <c r="I203" t="s">
        <v>45</v>
      </c>
      <c r="J203" t="s">
        <v>6</v>
      </c>
      <c r="K203" t="s">
        <v>45</v>
      </c>
      <c r="L203" t="s">
        <v>6</v>
      </c>
      <c r="M203" t="s">
        <v>45</v>
      </c>
      <c r="N203" t="s">
        <v>6</v>
      </c>
      <c r="O203" t="s">
        <v>45</v>
      </c>
      <c r="P203" t="s">
        <v>6</v>
      </c>
      <c r="Q203" t="s">
        <v>45</v>
      </c>
      <c r="R203" t="s">
        <v>6</v>
      </c>
      <c r="S203" t="s">
        <v>45</v>
      </c>
      <c r="T203" t="s">
        <v>6</v>
      </c>
      <c r="U203" t="s">
        <v>45</v>
      </c>
      <c r="V203" t="s">
        <v>6</v>
      </c>
      <c r="W203" t="s">
        <v>45</v>
      </c>
      <c r="X203" t="s">
        <v>6</v>
      </c>
      <c r="Y203" t="s">
        <v>45</v>
      </c>
      <c r="Z203" t="s">
        <v>6</v>
      </c>
      <c r="AA203" t="s">
        <v>45</v>
      </c>
      <c r="AB203" t="s">
        <v>6</v>
      </c>
      <c r="AC203" t="s">
        <v>45</v>
      </c>
      <c r="AD203" t="s">
        <v>6</v>
      </c>
      <c r="AE203" t="s">
        <v>45</v>
      </c>
      <c r="AF203" t="s">
        <v>6</v>
      </c>
      <c r="AG203" t="s">
        <v>45</v>
      </c>
      <c r="AH203" t="s">
        <v>6</v>
      </c>
      <c r="AI203" t="s">
        <v>45</v>
      </c>
      <c r="AJ203" t="s">
        <v>6</v>
      </c>
      <c r="AK203" t="s">
        <v>45</v>
      </c>
      <c r="AL203" t="s">
        <v>6</v>
      </c>
      <c r="AM203" t="s">
        <v>45</v>
      </c>
      <c r="AN203" t="s">
        <v>6</v>
      </c>
    </row>
    <row r="204" spans="1:40" x14ac:dyDescent="0.2">
      <c r="A204" s="7" t="s">
        <v>46</v>
      </c>
      <c r="B204" t="s">
        <v>6</v>
      </c>
      <c r="C204" s="8">
        <v>57.676928789999998</v>
      </c>
      <c r="D204" s="10">
        <f t="shared" ref="D204:D215" si="30">C204/C$214</f>
        <v>0.83302096931726233</v>
      </c>
      <c r="E204" s="8">
        <v>92.591999999999999</v>
      </c>
      <c r="F204" s="10">
        <f t="shared" ref="F204:F215" si="31">E204/E$214</f>
        <v>0.98233552945669811</v>
      </c>
      <c r="G204" s="8">
        <v>120.08</v>
      </c>
      <c r="H204" t="s">
        <v>6</v>
      </c>
      <c r="I204" s="8">
        <v>89.560299999999998</v>
      </c>
      <c r="J204" t="s">
        <v>6</v>
      </c>
      <c r="K204" s="8">
        <v>83.001000000000005</v>
      </c>
      <c r="L204" t="s">
        <v>6</v>
      </c>
      <c r="M204" s="8">
        <v>99.962000000000003</v>
      </c>
      <c r="N204" t="s">
        <v>6</v>
      </c>
      <c r="O204" s="8">
        <v>101.238</v>
      </c>
      <c r="P204" t="s">
        <v>6</v>
      </c>
      <c r="Q204" s="8">
        <v>108.69</v>
      </c>
      <c r="R204" t="s">
        <v>6</v>
      </c>
      <c r="S204" s="8">
        <v>117.64</v>
      </c>
      <c r="T204" t="s">
        <v>6</v>
      </c>
      <c r="U204" s="8">
        <v>278.89999999999998</v>
      </c>
      <c r="V204" t="s">
        <v>6</v>
      </c>
      <c r="W204" s="8">
        <v>115.95399999999999</v>
      </c>
      <c r="X204" t="s">
        <v>6</v>
      </c>
      <c r="Y204" s="8">
        <v>195.60499999999999</v>
      </c>
      <c r="Z204" t="s">
        <v>6</v>
      </c>
      <c r="AA204" s="8">
        <v>102.3</v>
      </c>
      <c r="AB204" t="s">
        <v>6</v>
      </c>
      <c r="AC204" s="8">
        <v>89.813000000000002</v>
      </c>
      <c r="AD204" t="s">
        <v>6</v>
      </c>
      <c r="AE204" s="8">
        <v>116.84</v>
      </c>
      <c r="AF204" t="s">
        <v>6</v>
      </c>
      <c r="AG204" s="8">
        <v>117.93</v>
      </c>
      <c r="AH204" t="s">
        <v>6</v>
      </c>
      <c r="AI204" s="8">
        <v>140.16999999999999</v>
      </c>
      <c r="AJ204" t="s">
        <v>6</v>
      </c>
      <c r="AK204" s="8">
        <v>904.8</v>
      </c>
      <c r="AL204" t="s">
        <v>6</v>
      </c>
    </row>
    <row r="205" spans="1:40" x14ac:dyDescent="0.2">
      <c r="A205" s="7" t="s">
        <v>47</v>
      </c>
      <c r="B205" t="s">
        <v>6</v>
      </c>
      <c r="C205" s="8">
        <v>58.555655790000003</v>
      </c>
      <c r="D205" s="10">
        <f t="shared" si="30"/>
        <v>0.84571231805343439</v>
      </c>
      <c r="E205" s="8">
        <v>92.903999999999996</v>
      </c>
      <c r="F205" s="10">
        <f t="shared" si="31"/>
        <v>0.98564562844138892</v>
      </c>
      <c r="G205" s="8">
        <v>121.55</v>
      </c>
      <c r="H205" t="s">
        <v>6</v>
      </c>
      <c r="I205" s="8">
        <v>89.880499999999998</v>
      </c>
      <c r="J205" t="s">
        <v>6</v>
      </c>
      <c r="K205" s="8">
        <v>83.956999999999994</v>
      </c>
      <c r="L205" t="s">
        <v>6</v>
      </c>
      <c r="M205" s="8">
        <v>99.796999999999997</v>
      </c>
      <c r="N205" t="s">
        <v>6</v>
      </c>
      <c r="O205" s="8">
        <v>101.858</v>
      </c>
      <c r="P205" t="s">
        <v>6</v>
      </c>
      <c r="Q205" s="8">
        <v>108.57</v>
      </c>
      <c r="R205" t="s">
        <v>6</v>
      </c>
      <c r="S205" s="8">
        <v>118.01</v>
      </c>
      <c r="T205" t="s">
        <v>6</v>
      </c>
      <c r="U205" s="8">
        <v>280.7</v>
      </c>
      <c r="V205" t="s">
        <v>6</v>
      </c>
      <c r="W205" s="8">
        <v>116.17400000000001</v>
      </c>
      <c r="X205" t="s">
        <v>6</v>
      </c>
      <c r="Y205" s="8">
        <v>196.89099999999999</v>
      </c>
      <c r="Z205" t="s">
        <v>6</v>
      </c>
      <c r="AA205" s="8">
        <v>101.5</v>
      </c>
      <c r="AB205" t="s">
        <v>6</v>
      </c>
      <c r="AC205" s="8">
        <v>90.263999999999996</v>
      </c>
      <c r="AD205" t="s">
        <v>6</v>
      </c>
      <c r="AE205" s="8">
        <v>117.2</v>
      </c>
      <c r="AF205" t="s">
        <v>6</v>
      </c>
      <c r="AG205" s="8">
        <v>118.17</v>
      </c>
      <c r="AH205" t="s">
        <v>6</v>
      </c>
      <c r="AI205" s="8">
        <v>141.71</v>
      </c>
      <c r="AJ205" t="s">
        <v>6</v>
      </c>
      <c r="AK205" s="8">
        <v>949.1</v>
      </c>
      <c r="AL205" t="s">
        <v>6</v>
      </c>
    </row>
    <row r="206" spans="1:40" x14ac:dyDescent="0.2">
      <c r="A206" s="7" t="s">
        <v>48</v>
      </c>
      <c r="B206" t="s">
        <v>6</v>
      </c>
      <c r="C206" s="8">
        <v>59.56217882</v>
      </c>
      <c r="D206" s="10">
        <f t="shared" si="30"/>
        <v>0.86024940953317552</v>
      </c>
      <c r="E206" s="8">
        <v>92.450999999999993</v>
      </c>
      <c r="F206" s="10">
        <f t="shared" si="31"/>
        <v>0.98083961933861663</v>
      </c>
      <c r="G206" s="8">
        <v>123.15</v>
      </c>
      <c r="H206" t="s">
        <v>6</v>
      </c>
      <c r="I206" s="8">
        <v>90.444999999999993</v>
      </c>
      <c r="J206" t="s">
        <v>6</v>
      </c>
      <c r="K206" s="8">
        <v>84.445999999999998</v>
      </c>
      <c r="L206" t="s">
        <v>6</v>
      </c>
      <c r="M206" s="8">
        <v>99.944999999999993</v>
      </c>
      <c r="N206" t="s">
        <v>6</v>
      </c>
      <c r="O206" s="8">
        <v>102.28</v>
      </c>
      <c r="P206" t="s">
        <v>6</v>
      </c>
      <c r="Q206" s="8">
        <v>109.1</v>
      </c>
      <c r="R206" t="s">
        <v>6</v>
      </c>
      <c r="S206" s="8">
        <v>118.26</v>
      </c>
      <c r="T206" t="s">
        <v>6</v>
      </c>
      <c r="U206" s="8">
        <v>282.60000000000002</v>
      </c>
      <c r="V206" t="s">
        <v>6</v>
      </c>
      <c r="W206" s="8">
        <v>116.64700000000001</v>
      </c>
      <c r="X206" t="s">
        <v>6</v>
      </c>
      <c r="Y206" s="8">
        <v>197.60300000000001</v>
      </c>
      <c r="Z206" t="s">
        <v>6</v>
      </c>
      <c r="AA206" s="8">
        <v>102.4</v>
      </c>
      <c r="AB206" t="s">
        <v>6</v>
      </c>
      <c r="AC206" s="8">
        <v>90.2</v>
      </c>
      <c r="AD206" t="s">
        <v>6</v>
      </c>
      <c r="AE206" s="8">
        <v>118.1</v>
      </c>
      <c r="AF206" t="s">
        <v>6</v>
      </c>
      <c r="AG206" s="8">
        <v>118.34</v>
      </c>
      <c r="AH206" t="s">
        <v>6</v>
      </c>
      <c r="AI206" s="8">
        <v>142.69999999999999</v>
      </c>
      <c r="AJ206" t="s">
        <v>6</v>
      </c>
      <c r="AK206" s="8">
        <v>1000.2</v>
      </c>
      <c r="AL206" t="s">
        <v>6</v>
      </c>
    </row>
    <row r="207" spans="1:40" x14ac:dyDescent="0.2">
      <c r="A207" s="7" t="s">
        <v>49</v>
      </c>
      <c r="B207" t="s">
        <v>6</v>
      </c>
      <c r="C207" s="8">
        <v>60.928584919999999</v>
      </c>
      <c r="D207" s="10">
        <f t="shared" si="30"/>
        <v>0.87998424905709216</v>
      </c>
      <c r="E207" s="8">
        <v>92.055999999999997</v>
      </c>
      <c r="F207" s="10">
        <f t="shared" si="31"/>
        <v>0.97664894914966516</v>
      </c>
      <c r="G207" s="8">
        <v>124.03</v>
      </c>
      <c r="H207" t="s">
        <v>6</v>
      </c>
      <c r="I207" s="8">
        <v>90.967299999999994</v>
      </c>
      <c r="J207" t="s">
        <v>6</v>
      </c>
      <c r="K207" s="8">
        <v>84.899000000000001</v>
      </c>
      <c r="L207" t="s">
        <v>6</v>
      </c>
      <c r="M207" s="8">
        <v>99.867000000000004</v>
      </c>
      <c r="N207" t="s">
        <v>6</v>
      </c>
      <c r="O207" s="8">
        <v>103.136</v>
      </c>
      <c r="P207" t="s">
        <v>6</v>
      </c>
      <c r="Q207" s="8">
        <v>109.11</v>
      </c>
      <c r="R207" t="s">
        <v>6</v>
      </c>
      <c r="S207" s="8">
        <v>118.66</v>
      </c>
      <c r="T207" t="s">
        <v>6</v>
      </c>
      <c r="U207" s="8">
        <v>283.3</v>
      </c>
      <c r="V207" t="s">
        <v>6</v>
      </c>
      <c r="W207" s="8">
        <v>116.345</v>
      </c>
      <c r="X207" t="s">
        <v>6</v>
      </c>
      <c r="Y207" s="8">
        <v>198.22900000000001</v>
      </c>
      <c r="Z207" t="s">
        <v>6</v>
      </c>
      <c r="AA207" s="8">
        <v>102.9</v>
      </c>
      <c r="AB207" t="s">
        <v>6</v>
      </c>
      <c r="AC207" s="8">
        <v>90.070999999999998</v>
      </c>
      <c r="AD207" t="s">
        <v>6</v>
      </c>
      <c r="AE207" s="8">
        <v>118.56</v>
      </c>
      <c r="AF207" t="s">
        <v>6</v>
      </c>
      <c r="AG207" s="8">
        <v>118.04</v>
      </c>
      <c r="AH207" t="s">
        <v>6</v>
      </c>
      <c r="AI207" s="8">
        <v>143.51</v>
      </c>
      <c r="AJ207" t="s">
        <v>6</v>
      </c>
      <c r="AK207" s="8">
        <v>1063.8</v>
      </c>
      <c r="AL207" t="s">
        <v>6</v>
      </c>
    </row>
    <row r="208" spans="1:40" x14ac:dyDescent="0.2">
      <c r="A208" s="7" t="s">
        <v>50</v>
      </c>
      <c r="B208" t="s">
        <v>6</v>
      </c>
      <c r="C208" s="8">
        <v>62.256940520000001</v>
      </c>
      <c r="D208" s="10">
        <f t="shared" si="30"/>
        <v>0.89916952977026821</v>
      </c>
      <c r="E208" s="8">
        <v>92.391999999999996</v>
      </c>
      <c r="F208" s="10">
        <f t="shared" si="31"/>
        <v>0.98021367113317837</v>
      </c>
      <c r="G208" s="8">
        <v>124.95</v>
      </c>
      <c r="H208" t="s">
        <v>6</v>
      </c>
      <c r="I208" s="8">
        <v>91.127399999999994</v>
      </c>
      <c r="J208" t="s">
        <v>6</v>
      </c>
      <c r="K208" s="8">
        <v>85.123000000000005</v>
      </c>
      <c r="L208" t="s">
        <v>6</v>
      </c>
      <c r="M208" s="8">
        <v>99.572999999999993</v>
      </c>
      <c r="N208" t="s">
        <v>6</v>
      </c>
      <c r="O208" s="8">
        <v>103.319</v>
      </c>
      <c r="P208" t="s">
        <v>6</v>
      </c>
      <c r="Q208" s="8">
        <v>109.33</v>
      </c>
      <c r="R208" t="s">
        <v>6</v>
      </c>
      <c r="S208" s="8">
        <v>118.9</v>
      </c>
      <c r="T208" t="s">
        <v>6</v>
      </c>
      <c r="U208" s="8">
        <v>284.5</v>
      </c>
      <c r="V208" t="s">
        <v>6</v>
      </c>
      <c r="W208" s="8">
        <v>115.764</v>
      </c>
      <c r="X208" t="s">
        <v>6</v>
      </c>
      <c r="Y208" s="8">
        <v>199.053</v>
      </c>
      <c r="Z208" t="s">
        <v>6</v>
      </c>
      <c r="AA208" s="8">
        <v>103.4</v>
      </c>
      <c r="AB208" t="s">
        <v>6</v>
      </c>
      <c r="AC208" s="8">
        <v>91.424999999999997</v>
      </c>
      <c r="AD208" t="s">
        <v>6</v>
      </c>
      <c r="AE208" s="8">
        <v>119.23</v>
      </c>
      <c r="AF208" t="s">
        <v>6</v>
      </c>
      <c r="AG208" s="8">
        <v>118.38</v>
      </c>
      <c r="AH208" t="s">
        <v>6</v>
      </c>
      <c r="AI208" s="8">
        <v>144.21</v>
      </c>
      <c r="AJ208" t="s">
        <v>6</v>
      </c>
      <c r="AK208" s="8">
        <v>1148.8</v>
      </c>
      <c r="AL208" t="s">
        <v>6</v>
      </c>
    </row>
    <row r="209" spans="1:40" x14ac:dyDescent="0.2">
      <c r="A209" s="7" t="s">
        <v>51</v>
      </c>
      <c r="B209" t="s">
        <v>6</v>
      </c>
      <c r="C209" s="8">
        <v>63.076989269999999</v>
      </c>
      <c r="D209" s="10">
        <f t="shared" si="30"/>
        <v>0.91101339557490602</v>
      </c>
      <c r="E209" s="8">
        <v>92.71</v>
      </c>
      <c r="F209" s="10">
        <f t="shared" si="31"/>
        <v>0.98358742586757475</v>
      </c>
      <c r="G209" s="8">
        <v>125.93</v>
      </c>
      <c r="H209" t="s">
        <v>6</v>
      </c>
      <c r="I209" s="8">
        <v>91.5655</v>
      </c>
      <c r="J209" t="s">
        <v>6</v>
      </c>
      <c r="K209" s="8">
        <v>85.212999999999994</v>
      </c>
      <c r="L209" t="s">
        <v>6</v>
      </c>
      <c r="M209" s="8">
        <v>100</v>
      </c>
      <c r="N209" t="s">
        <v>6</v>
      </c>
      <c r="O209" s="8">
        <v>103.74</v>
      </c>
      <c r="P209" t="s">
        <v>6</v>
      </c>
      <c r="Q209" s="8">
        <v>109.24</v>
      </c>
      <c r="R209" t="s">
        <v>6</v>
      </c>
      <c r="S209" s="8">
        <v>119.34</v>
      </c>
      <c r="T209" t="s">
        <v>6</v>
      </c>
      <c r="U209" s="8">
        <v>286.10000000000002</v>
      </c>
      <c r="V209" t="s">
        <v>6</v>
      </c>
      <c r="W209" s="8">
        <v>115.958</v>
      </c>
      <c r="X209" t="s">
        <v>6</v>
      </c>
      <c r="Y209" s="8">
        <v>199.05</v>
      </c>
      <c r="Z209" t="s">
        <v>6</v>
      </c>
      <c r="AA209" s="8">
        <v>103.5</v>
      </c>
      <c r="AB209" t="s">
        <v>6</v>
      </c>
      <c r="AC209" s="8">
        <v>90.587000000000003</v>
      </c>
      <c r="AD209" t="s">
        <v>6</v>
      </c>
      <c r="AE209" s="8">
        <v>119.62</v>
      </c>
      <c r="AF209" t="s">
        <v>6</v>
      </c>
      <c r="AG209" s="8">
        <v>118.86</v>
      </c>
      <c r="AH209" t="s">
        <v>6</v>
      </c>
      <c r="AI209" s="8">
        <v>144.86000000000001</v>
      </c>
      <c r="AJ209" t="s">
        <v>6</v>
      </c>
      <c r="AK209" s="8">
        <v>1261.5999999999999</v>
      </c>
      <c r="AL209" t="s">
        <v>6</v>
      </c>
    </row>
    <row r="210" spans="1:40" x14ac:dyDescent="0.2">
      <c r="A210" s="7" t="s">
        <v>52</v>
      </c>
      <c r="B210" t="s">
        <v>6</v>
      </c>
      <c r="C210" s="8">
        <v>64.385547200000005</v>
      </c>
      <c r="D210" s="10">
        <f t="shared" si="30"/>
        <v>0.92991274091323461</v>
      </c>
      <c r="E210" s="8">
        <v>93.269000000000005</v>
      </c>
      <c r="F210" s="10">
        <f t="shared" si="31"/>
        <v>0.98951801988181254</v>
      </c>
      <c r="G210" s="8">
        <v>126.71</v>
      </c>
      <c r="H210" t="s">
        <v>6</v>
      </c>
      <c r="I210" s="8">
        <v>91.953100000000006</v>
      </c>
      <c r="J210" t="s">
        <v>6</v>
      </c>
      <c r="K210" s="8">
        <v>85.373999999999995</v>
      </c>
      <c r="L210" t="s">
        <v>6</v>
      </c>
      <c r="M210" s="8">
        <v>99.570999999999998</v>
      </c>
      <c r="N210" t="s">
        <v>6</v>
      </c>
      <c r="O210" s="8">
        <v>103.657</v>
      </c>
      <c r="P210" t="s">
        <v>6</v>
      </c>
      <c r="Q210" s="8">
        <v>109.16</v>
      </c>
      <c r="R210" t="s">
        <v>6</v>
      </c>
      <c r="S210" s="8">
        <v>119.95</v>
      </c>
      <c r="T210" t="s">
        <v>6</v>
      </c>
      <c r="U210" s="8">
        <v>287.10000000000002</v>
      </c>
      <c r="V210" t="s">
        <v>6</v>
      </c>
      <c r="W210" s="8">
        <v>116.128</v>
      </c>
      <c r="X210" t="s">
        <v>6</v>
      </c>
      <c r="Y210" s="8">
        <v>198.72399999999999</v>
      </c>
      <c r="Z210" t="s">
        <v>6</v>
      </c>
      <c r="AA210" s="8">
        <v>103.6</v>
      </c>
      <c r="AB210" t="s">
        <v>6</v>
      </c>
      <c r="AC210" s="8">
        <v>91.296000000000006</v>
      </c>
      <c r="AD210" t="s">
        <v>6</v>
      </c>
      <c r="AE210" s="8">
        <v>120.2</v>
      </c>
      <c r="AF210" t="s">
        <v>6</v>
      </c>
      <c r="AG210" s="8">
        <v>119.15</v>
      </c>
      <c r="AH210" t="s">
        <v>6</v>
      </c>
      <c r="AI210" s="8">
        <v>146.61000000000001</v>
      </c>
      <c r="AJ210" t="s">
        <v>6</v>
      </c>
      <c r="AK210" s="8">
        <v>1397.5</v>
      </c>
      <c r="AL210" t="s">
        <v>6</v>
      </c>
    </row>
    <row r="211" spans="1:40" x14ac:dyDescent="0.2">
      <c r="A211" s="7" t="s">
        <v>53</v>
      </c>
      <c r="B211" t="s">
        <v>6</v>
      </c>
      <c r="C211" s="8">
        <v>65.571556209999997</v>
      </c>
      <c r="D211" s="10">
        <f t="shared" si="30"/>
        <v>0.94704212688880152</v>
      </c>
      <c r="E211" s="8">
        <v>93.456999999999994</v>
      </c>
      <c r="F211" s="10">
        <f t="shared" si="31"/>
        <v>0.99151256670592092</v>
      </c>
      <c r="G211" s="8">
        <v>126.99</v>
      </c>
      <c r="H211" t="s">
        <v>6</v>
      </c>
      <c r="I211" s="8">
        <v>92.576499999999996</v>
      </c>
      <c r="J211" t="s">
        <v>6</v>
      </c>
      <c r="K211" s="8">
        <v>85.786000000000001</v>
      </c>
      <c r="L211" t="s">
        <v>6</v>
      </c>
      <c r="M211" s="8">
        <v>99.483999999999995</v>
      </c>
      <c r="N211" t="s">
        <v>6</v>
      </c>
      <c r="O211" s="8">
        <v>103.65600000000001</v>
      </c>
      <c r="P211" t="s">
        <v>6</v>
      </c>
      <c r="Q211" s="8">
        <v>108.82</v>
      </c>
      <c r="R211" t="s">
        <v>6</v>
      </c>
      <c r="S211" s="8">
        <v>120.03</v>
      </c>
      <c r="T211" t="s">
        <v>6</v>
      </c>
      <c r="U211" s="8">
        <v>287.2</v>
      </c>
      <c r="V211" t="s">
        <v>6</v>
      </c>
      <c r="W211" s="8">
        <v>116.373</v>
      </c>
      <c r="X211" t="s">
        <v>6</v>
      </c>
      <c r="Y211" s="8">
        <v>198.738</v>
      </c>
      <c r="Z211" t="s">
        <v>6</v>
      </c>
      <c r="AA211" s="8">
        <v>103.2</v>
      </c>
      <c r="AB211" t="s">
        <v>6</v>
      </c>
      <c r="AC211" s="8">
        <v>91.230999999999995</v>
      </c>
      <c r="AD211" t="s">
        <v>6</v>
      </c>
      <c r="AE211" s="8">
        <v>120.66</v>
      </c>
      <c r="AF211" t="s">
        <v>6</v>
      </c>
      <c r="AG211" s="8">
        <v>119.53</v>
      </c>
      <c r="AH211" t="s">
        <v>6</v>
      </c>
      <c r="AI211" s="8">
        <v>148.34</v>
      </c>
      <c r="AJ211" t="s">
        <v>6</v>
      </c>
      <c r="AK211" s="8">
        <v>1570.8</v>
      </c>
      <c r="AL211" t="s">
        <v>6</v>
      </c>
    </row>
    <row r="212" spans="1:40" x14ac:dyDescent="0.2">
      <c r="A212" s="7" t="s">
        <v>54</v>
      </c>
      <c r="B212" t="s">
        <v>6</v>
      </c>
      <c r="C212" s="8">
        <v>66.724731579999997</v>
      </c>
      <c r="D212" s="10">
        <f t="shared" si="30"/>
        <v>0.96369730053731151</v>
      </c>
      <c r="E212" s="8">
        <v>93.897999999999996</v>
      </c>
      <c r="F212" s="10">
        <f t="shared" si="31"/>
        <v>0.99619126430928195</v>
      </c>
      <c r="G212" s="8">
        <v>127.68</v>
      </c>
      <c r="H212" t="s">
        <v>6</v>
      </c>
      <c r="I212" s="8">
        <v>93.048400000000001</v>
      </c>
      <c r="J212" t="s">
        <v>6</v>
      </c>
      <c r="K212" s="8">
        <v>86.4</v>
      </c>
      <c r="L212" t="s">
        <v>6</v>
      </c>
      <c r="M212" s="8">
        <v>99.221000000000004</v>
      </c>
      <c r="N212" t="s">
        <v>6</v>
      </c>
      <c r="O212" s="8">
        <v>103.93</v>
      </c>
      <c r="P212" t="s">
        <v>6</v>
      </c>
      <c r="Q212" s="8">
        <v>108.41</v>
      </c>
      <c r="R212" t="s">
        <v>6</v>
      </c>
      <c r="S212" s="8">
        <v>119.99</v>
      </c>
      <c r="T212" t="s">
        <v>6</v>
      </c>
      <c r="U212" s="8">
        <v>286.60000000000002</v>
      </c>
      <c r="V212" t="s">
        <v>6</v>
      </c>
      <c r="W212" s="8">
        <v>116.809</v>
      </c>
      <c r="X212" t="s">
        <v>6</v>
      </c>
      <c r="Y212" s="8">
        <v>198.435</v>
      </c>
      <c r="Z212" t="s">
        <v>6</v>
      </c>
      <c r="AA212" s="8">
        <v>102.7</v>
      </c>
      <c r="AB212" t="s">
        <v>6</v>
      </c>
      <c r="AC212" s="8">
        <v>91.102999999999994</v>
      </c>
      <c r="AD212" t="s">
        <v>6</v>
      </c>
      <c r="AE212" s="8">
        <v>120.69</v>
      </c>
      <c r="AF212" t="s">
        <v>6</v>
      </c>
      <c r="AG212" s="8">
        <v>119.72</v>
      </c>
      <c r="AH212" t="s">
        <v>6</v>
      </c>
      <c r="AI212" s="8">
        <v>149.36000000000001</v>
      </c>
      <c r="AJ212" t="s">
        <v>6</v>
      </c>
      <c r="AK212" s="8">
        <v>1752.1</v>
      </c>
      <c r="AL212" t="s">
        <v>6</v>
      </c>
    </row>
    <row r="213" spans="1:40" x14ac:dyDescent="0.2">
      <c r="A213" s="7" t="s">
        <v>55</v>
      </c>
      <c r="B213" t="s">
        <v>6</v>
      </c>
      <c r="C213" s="8">
        <v>67.832450870000002</v>
      </c>
      <c r="D213" s="10">
        <f t="shared" si="30"/>
        <v>0.97969595747077876</v>
      </c>
      <c r="E213" s="8">
        <v>94.21</v>
      </c>
      <c r="F213" s="10">
        <f t="shared" si="31"/>
        <v>0.99950136329397277</v>
      </c>
      <c r="G213" s="8">
        <v>128.72</v>
      </c>
      <c r="H213" t="s">
        <v>6</v>
      </c>
      <c r="I213" s="8">
        <v>93.427499999999995</v>
      </c>
      <c r="J213" t="s">
        <v>6</v>
      </c>
      <c r="K213" s="8">
        <v>86.986000000000004</v>
      </c>
      <c r="L213" t="s">
        <v>6</v>
      </c>
      <c r="M213" s="8">
        <v>98.941999999999993</v>
      </c>
      <c r="N213" t="s">
        <v>6</v>
      </c>
      <c r="O213" s="8">
        <v>103.836</v>
      </c>
      <c r="P213" t="s">
        <v>6</v>
      </c>
      <c r="Q213" s="8">
        <v>110.76</v>
      </c>
      <c r="R213" t="s">
        <v>6</v>
      </c>
      <c r="S213" s="8">
        <v>120.59</v>
      </c>
      <c r="T213" t="s">
        <v>6</v>
      </c>
      <c r="U213" s="8">
        <v>286.8</v>
      </c>
      <c r="V213" t="s">
        <v>6</v>
      </c>
      <c r="W213" s="8">
        <v>117.41</v>
      </c>
      <c r="X213" t="s">
        <v>6</v>
      </c>
      <c r="Y213" s="8">
        <v>199.26900000000001</v>
      </c>
      <c r="Z213" t="s">
        <v>6</v>
      </c>
      <c r="AA213" s="8">
        <v>102.6</v>
      </c>
      <c r="AB213" t="s">
        <v>6</v>
      </c>
      <c r="AC213" s="8">
        <v>90.844999999999999</v>
      </c>
      <c r="AD213" t="s">
        <v>6</v>
      </c>
      <c r="AE213" s="8">
        <v>120.86</v>
      </c>
      <c r="AF213" t="s">
        <v>6</v>
      </c>
      <c r="AG213" s="8">
        <v>120.61</v>
      </c>
      <c r="AH213" t="s">
        <v>6</v>
      </c>
      <c r="AI213" s="8">
        <v>150.26</v>
      </c>
      <c r="AJ213" t="s">
        <v>6</v>
      </c>
      <c r="AK213" s="8">
        <v>1951.3</v>
      </c>
      <c r="AL213" t="s">
        <v>6</v>
      </c>
    </row>
    <row r="214" spans="1:40" x14ac:dyDescent="0.2">
      <c r="A214" s="7" t="s">
        <v>56</v>
      </c>
      <c r="B214" t="s">
        <v>6</v>
      </c>
      <c r="C214" s="8">
        <v>69.2382676</v>
      </c>
      <c r="D214" s="10">
        <f t="shared" si="30"/>
        <v>1</v>
      </c>
      <c r="E214" s="8">
        <v>94.257000000000005</v>
      </c>
      <c r="F214" s="10">
        <f t="shared" si="31"/>
        <v>1</v>
      </c>
      <c r="G214" s="8">
        <v>130.02000000000001</v>
      </c>
      <c r="H214" t="s">
        <v>6</v>
      </c>
      <c r="I214" s="8">
        <v>93.402199999999993</v>
      </c>
      <c r="J214" t="s">
        <v>6</v>
      </c>
      <c r="K214" s="8">
        <v>87.51</v>
      </c>
      <c r="L214" t="s">
        <v>6</v>
      </c>
      <c r="M214" s="8">
        <v>98.932000000000002</v>
      </c>
      <c r="N214" t="s">
        <v>6</v>
      </c>
      <c r="O214" s="8">
        <v>103.94799999999999</v>
      </c>
      <c r="P214" t="s">
        <v>6</v>
      </c>
      <c r="Q214" s="8">
        <v>110.69</v>
      </c>
      <c r="R214" t="s">
        <v>6</v>
      </c>
      <c r="S214" s="8">
        <v>121.16</v>
      </c>
      <c r="T214" t="s">
        <v>6</v>
      </c>
      <c r="U214" s="8">
        <v>286.60000000000002</v>
      </c>
      <c r="V214" t="s">
        <v>6</v>
      </c>
      <c r="W214" s="8">
        <v>118.051</v>
      </c>
      <c r="X214" t="s">
        <v>6</v>
      </c>
      <c r="Y214" s="8">
        <v>199.94300000000001</v>
      </c>
      <c r="Z214" t="s">
        <v>6</v>
      </c>
      <c r="AA214" s="8">
        <v>102.6</v>
      </c>
      <c r="AB214" t="s">
        <v>6</v>
      </c>
      <c r="AC214" s="8">
        <v>91.230999999999995</v>
      </c>
      <c r="AD214" t="s">
        <v>6</v>
      </c>
      <c r="AE214" s="8">
        <v>121.24</v>
      </c>
      <c r="AF214" t="s">
        <v>6</v>
      </c>
      <c r="AG214" s="8">
        <v>120.81</v>
      </c>
      <c r="AH214" t="s">
        <v>6</v>
      </c>
      <c r="AI214" s="8">
        <v>150.9</v>
      </c>
      <c r="AJ214" t="s">
        <v>6</v>
      </c>
      <c r="AK214" s="8">
        <v>2168.5</v>
      </c>
      <c r="AL214" t="s">
        <v>6</v>
      </c>
    </row>
    <row r="215" spans="1:40" x14ac:dyDescent="0.2">
      <c r="A215" s="7" t="s">
        <v>57</v>
      </c>
      <c r="B215" t="s">
        <v>6</v>
      </c>
      <c r="C215" s="8">
        <v>72.178810130000002</v>
      </c>
      <c r="D215" s="10">
        <f t="shared" si="30"/>
        <v>1.042469903305322</v>
      </c>
      <c r="E215" s="8">
        <v>94.415999999999997</v>
      </c>
      <c r="F215" s="10">
        <f t="shared" si="31"/>
        <v>1.0016868773671981</v>
      </c>
      <c r="G215" s="8">
        <v>131.27000000000001</v>
      </c>
      <c r="H215" t="s">
        <v>6</v>
      </c>
      <c r="I215" s="8">
        <v>93.410600000000002</v>
      </c>
      <c r="J215" t="s">
        <v>6</v>
      </c>
      <c r="K215" s="8">
        <v>88.054000000000002</v>
      </c>
      <c r="L215" t="s">
        <v>6</v>
      </c>
      <c r="M215" s="8">
        <v>99.12</v>
      </c>
      <c r="N215" t="s">
        <v>6</v>
      </c>
      <c r="O215" s="8">
        <v>104.04600000000001</v>
      </c>
      <c r="P215" t="s">
        <v>6</v>
      </c>
      <c r="Q215" s="8">
        <v>110.61</v>
      </c>
      <c r="R215" t="s">
        <v>6</v>
      </c>
      <c r="S215" s="8">
        <v>121.66</v>
      </c>
      <c r="T215" t="s">
        <v>6</v>
      </c>
      <c r="U215" s="8">
        <v>286.60000000000002</v>
      </c>
      <c r="V215" t="s">
        <v>6</v>
      </c>
      <c r="W215" s="8">
        <v>118.98399999999999</v>
      </c>
      <c r="X215" t="s">
        <v>6</v>
      </c>
      <c r="Y215" s="8">
        <v>201.642</v>
      </c>
      <c r="Z215" t="s">
        <v>6</v>
      </c>
      <c r="AA215" s="8">
        <v>102.5</v>
      </c>
      <c r="AB215" t="s">
        <v>6</v>
      </c>
      <c r="AC215" s="8">
        <v>92.07</v>
      </c>
      <c r="AD215" t="s">
        <v>6</v>
      </c>
      <c r="AE215" s="8">
        <v>121.78</v>
      </c>
      <c r="AF215" t="s">
        <v>6</v>
      </c>
      <c r="AG215" s="8">
        <v>120.92</v>
      </c>
      <c r="AH215" t="s">
        <v>6</v>
      </c>
      <c r="AI215" s="8">
        <v>150.07</v>
      </c>
      <c r="AJ215" t="s">
        <v>6</v>
      </c>
      <c r="AK215" s="8">
        <v>2357.9</v>
      </c>
      <c r="AL215" t="s">
        <v>6</v>
      </c>
    </row>
    <row r="216" spans="1:40" x14ac:dyDescent="0.2">
      <c r="A216" s="7" t="s">
        <v>74</v>
      </c>
      <c r="B216" t="s">
        <v>6</v>
      </c>
      <c r="C216" t="s">
        <v>45</v>
      </c>
      <c r="D216" s="11">
        <f>SUM(D217:D228)</f>
        <v>10.919137068063465</v>
      </c>
      <c r="E216" t="s">
        <v>45</v>
      </c>
      <c r="F216" s="11">
        <f>SUM(F217:F228)</f>
        <v>11.838845085382792</v>
      </c>
      <c r="G216" t="s">
        <v>45</v>
      </c>
      <c r="H216" t="s">
        <v>6</v>
      </c>
      <c r="I216" t="s">
        <v>45</v>
      </c>
      <c r="J216" t="s">
        <v>6</v>
      </c>
      <c r="K216" t="s">
        <v>45</v>
      </c>
      <c r="L216" t="s">
        <v>6</v>
      </c>
      <c r="M216" t="s">
        <v>45</v>
      </c>
      <c r="N216" t="s">
        <v>6</v>
      </c>
      <c r="O216" t="s">
        <v>45</v>
      </c>
      <c r="P216" t="s">
        <v>6</v>
      </c>
      <c r="Q216" t="s">
        <v>45</v>
      </c>
      <c r="R216" t="s">
        <v>6</v>
      </c>
      <c r="S216" t="s">
        <v>45</v>
      </c>
      <c r="T216" t="s">
        <v>6</v>
      </c>
      <c r="U216" t="s">
        <v>45</v>
      </c>
      <c r="V216" t="s">
        <v>6</v>
      </c>
      <c r="W216" t="s">
        <v>45</v>
      </c>
      <c r="X216" t="s">
        <v>6</v>
      </c>
      <c r="Y216" t="s">
        <v>45</v>
      </c>
      <c r="Z216" t="s">
        <v>6</v>
      </c>
      <c r="AA216" t="s">
        <v>45</v>
      </c>
      <c r="AB216" t="s">
        <v>6</v>
      </c>
      <c r="AC216" t="s">
        <v>45</v>
      </c>
      <c r="AD216" t="s">
        <v>6</v>
      </c>
      <c r="AE216" t="s">
        <v>45</v>
      </c>
      <c r="AF216" t="s">
        <v>6</v>
      </c>
      <c r="AG216" t="s">
        <v>45</v>
      </c>
      <c r="AH216" t="s">
        <v>6</v>
      </c>
      <c r="AI216" t="s">
        <v>45</v>
      </c>
      <c r="AJ216" t="s">
        <v>6</v>
      </c>
      <c r="AK216" t="s">
        <v>45</v>
      </c>
      <c r="AL216" t="s">
        <v>6</v>
      </c>
      <c r="AM216" t="s">
        <v>45</v>
      </c>
      <c r="AN216" t="s">
        <v>6</v>
      </c>
    </row>
    <row r="217" spans="1:40" x14ac:dyDescent="0.2">
      <c r="A217" s="7" t="s">
        <v>46</v>
      </c>
      <c r="B217" t="s">
        <v>6</v>
      </c>
      <c r="C217" s="8">
        <v>75.170299999999997</v>
      </c>
      <c r="D217" s="10">
        <f t="shared" ref="D217:D228" si="32">C217/C$227</f>
        <v>0.76070518516119767</v>
      </c>
      <c r="E217" s="8">
        <v>94.805000000000007</v>
      </c>
      <c r="F217" s="10">
        <f t="shared" ref="F217:F228" si="33">E217/E$227</f>
        <v>0.96826742380913478</v>
      </c>
      <c r="G217" s="8">
        <v>132.94</v>
      </c>
      <c r="H217" t="s">
        <v>6</v>
      </c>
      <c r="I217" s="8">
        <v>93.848799999999997</v>
      </c>
      <c r="J217" t="s">
        <v>6</v>
      </c>
      <c r="K217" s="8">
        <v>89.191999999999993</v>
      </c>
      <c r="L217" t="s">
        <v>6</v>
      </c>
      <c r="M217" s="8">
        <v>99.789000000000001</v>
      </c>
      <c r="N217" t="s">
        <v>6</v>
      </c>
      <c r="O217" s="8">
        <v>104.366</v>
      </c>
      <c r="P217" t="s">
        <v>6</v>
      </c>
      <c r="Q217" s="8">
        <v>110.67</v>
      </c>
      <c r="R217" t="s">
        <v>6</v>
      </c>
      <c r="S217" s="8">
        <v>122.79</v>
      </c>
      <c r="T217" t="s">
        <v>6</v>
      </c>
      <c r="U217" s="8">
        <v>287.5</v>
      </c>
      <c r="V217" t="s">
        <v>6</v>
      </c>
      <c r="W217" s="8">
        <v>118.98399999999999</v>
      </c>
      <c r="X217" t="s">
        <v>6</v>
      </c>
      <c r="Y217" s="8">
        <v>201.33699999999999</v>
      </c>
      <c r="Z217" t="s">
        <v>6</v>
      </c>
      <c r="AA217" s="8">
        <v>102.6</v>
      </c>
      <c r="AB217" t="s">
        <v>6</v>
      </c>
      <c r="AC217" s="8">
        <v>94.454999999999998</v>
      </c>
      <c r="AD217" t="s">
        <v>6</v>
      </c>
      <c r="AE217" s="8">
        <v>122.23</v>
      </c>
      <c r="AF217" t="s">
        <v>6</v>
      </c>
      <c r="AG217" s="8">
        <v>120.91</v>
      </c>
      <c r="AH217" t="s">
        <v>6</v>
      </c>
      <c r="AI217" s="8">
        <v>153.74</v>
      </c>
      <c r="AJ217" t="s">
        <v>6</v>
      </c>
      <c r="AK217" s="8">
        <v>2576.5</v>
      </c>
      <c r="AL217" t="s">
        <v>6</v>
      </c>
    </row>
    <row r="218" spans="1:40" x14ac:dyDescent="0.2">
      <c r="A218" s="7" t="s">
        <v>47</v>
      </c>
      <c r="B218" t="s">
        <v>6</v>
      </c>
      <c r="C218" s="8">
        <v>78.030799999999999</v>
      </c>
      <c r="D218" s="10">
        <f t="shared" si="32"/>
        <v>0.78965275065120644</v>
      </c>
      <c r="E218" s="8">
        <v>95.358000000000004</v>
      </c>
      <c r="F218" s="10">
        <f t="shared" si="33"/>
        <v>0.97391535256148376</v>
      </c>
      <c r="G218" s="8">
        <v>134.13999999999999</v>
      </c>
      <c r="H218" t="s">
        <v>6</v>
      </c>
      <c r="I218" s="8">
        <v>94.109899999999996</v>
      </c>
      <c r="J218" t="s">
        <v>6</v>
      </c>
      <c r="K218" s="8">
        <v>90.33</v>
      </c>
      <c r="L218" t="s">
        <v>6</v>
      </c>
      <c r="M218" s="8">
        <v>99.765000000000001</v>
      </c>
      <c r="N218" t="s">
        <v>6</v>
      </c>
      <c r="O218" s="8">
        <v>104.511</v>
      </c>
      <c r="P218" t="s">
        <v>6</v>
      </c>
      <c r="Q218" s="8">
        <v>110.37</v>
      </c>
      <c r="R218" t="s">
        <v>6</v>
      </c>
      <c r="S218" s="8">
        <v>123.05</v>
      </c>
      <c r="T218" t="s">
        <v>6</v>
      </c>
      <c r="U218" s="8">
        <v>288.89999999999998</v>
      </c>
      <c r="V218" t="s">
        <v>6</v>
      </c>
      <c r="W218" s="8">
        <v>119.505</v>
      </c>
      <c r="X218" t="s">
        <v>6</v>
      </c>
      <c r="Y218" s="8">
        <v>203.249</v>
      </c>
      <c r="Z218" t="s">
        <v>6</v>
      </c>
      <c r="AA218" s="8">
        <v>102.7</v>
      </c>
      <c r="AB218" t="s">
        <v>6</v>
      </c>
      <c r="AC218" s="8">
        <v>94.906999999999996</v>
      </c>
      <c r="AD218" t="s">
        <v>6</v>
      </c>
      <c r="AE218" s="8">
        <v>122.44</v>
      </c>
      <c r="AF218" t="s">
        <v>6</v>
      </c>
      <c r="AG218" s="8">
        <v>120.23</v>
      </c>
      <c r="AH218" t="s">
        <v>6</v>
      </c>
      <c r="AI218" s="8">
        <v>156.19999999999999</v>
      </c>
      <c r="AJ218" t="s">
        <v>6</v>
      </c>
      <c r="AK218" s="8">
        <v>2801.1</v>
      </c>
      <c r="AL218" t="s">
        <v>6</v>
      </c>
    </row>
    <row r="219" spans="1:40" x14ac:dyDescent="0.2">
      <c r="A219" s="7" t="s">
        <v>48</v>
      </c>
      <c r="B219" t="s">
        <v>6</v>
      </c>
      <c r="C219" s="8">
        <v>80.5852</v>
      </c>
      <c r="D219" s="10">
        <f t="shared" si="32"/>
        <v>0.8155026584602183</v>
      </c>
      <c r="E219" s="8">
        <v>95.480999999999995</v>
      </c>
      <c r="F219" s="10">
        <f t="shared" si="33"/>
        <v>0.97517158264564086</v>
      </c>
      <c r="G219" s="8">
        <v>134.71</v>
      </c>
      <c r="H219" t="s">
        <v>6</v>
      </c>
      <c r="I219" s="8">
        <v>94.472200000000001</v>
      </c>
      <c r="J219" t="s">
        <v>6</v>
      </c>
      <c r="K219" s="8">
        <v>91.180999999999997</v>
      </c>
      <c r="L219" t="s">
        <v>6</v>
      </c>
      <c r="M219" s="8">
        <v>98.858999999999995</v>
      </c>
      <c r="N219" t="s">
        <v>6</v>
      </c>
      <c r="O219" s="8">
        <v>104.654</v>
      </c>
      <c r="P219" t="s">
        <v>6</v>
      </c>
      <c r="Q219" s="8">
        <v>110.32</v>
      </c>
      <c r="R219" t="s">
        <v>6</v>
      </c>
      <c r="S219" s="8">
        <v>123.3</v>
      </c>
      <c r="T219" t="s">
        <v>6</v>
      </c>
      <c r="U219" s="8">
        <v>289.60000000000002</v>
      </c>
      <c r="V219" t="s">
        <v>6</v>
      </c>
      <c r="W219" s="8">
        <v>119.681</v>
      </c>
      <c r="X219" t="s">
        <v>6</v>
      </c>
      <c r="Y219" s="8">
        <v>204.63</v>
      </c>
      <c r="Z219" t="s">
        <v>6</v>
      </c>
      <c r="AA219" s="8">
        <v>103</v>
      </c>
      <c r="AB219" t="s">
        <v>6</v>
      </c>
      <c r="AC219" s="8">
        <v>94.454999999999998</v>
      </c>
      <c r="AD219" t="s">
        <v>6</v>
      </c>
      <c r="AE219" s="8">
        <v>123.17</v>
      </c>
      <c r="AF219" t="s">
        <v>6</v>
      </c>
      <c r="AG219" s="8">
        <v>120.22</v>
      </c>
      <c r="AH219" t="s">
        <v>6</v>
      </c>
      <c r="AI219" s="8">
        <v>157.82</v>
      </c>
      <c r="AJ219" t="s">
        <v>6</v>
      </c>
      <c r="AK219" s="8">
        <v>3096.2</v>
      </c>
      <c r="AL219" t="s">
        <v>6</v>
      </c>
    </row>
    <row r="220" spans="1:40" x14ac:dyDescent="0.2">
      <c r="A220" s="7" t="s">
        <v>49</v>
      </c>
      <c r="B220" s="6" t="s">
        <v>75</v>
      </c>
      <c r="C220" s="8">
        <v>85.525400000000005</v>
      </c>
      <c r="D220" s="10">
        <f t="shared" si="32"/>
        <v>0.86549628301317805</v>
      </c>
      <c r="E220" s="8">
        <v>95.852000000000004</v>
      </c>
      <c r="F220" s="10">
        <f t="shared" si="33"/>
        <v>0.97896069940354602</v>
      </c>
      <c r="G220" s="8">
        <v>135.54</v>
      </c>
      <c r="H220" t="s">
        <v>6</v>
      </c>
      <c r="I220" s="8">
        <v>94.775499999999994</v>
      </c>
      <c r="J220" t="s">
        <v>6</v>
      </c>
      <c r="K220" s="8">
        <v>91.635000000000005</v>
      </c>
      <c r="L220" t="s">
        <v>6</v>
      </c>
      <c r="M220" s="8">
        <v>98.95</v>
      </c>
      <c r="N220" t="s">
        <v>6</v>
      </c>
      <c r="O220" s="8">
        <v>104.97499999999999</v>
      </c>
      <c r="P220" t="s">
        <v>6</v>
      </c>
      <c r="Q220" s="8">
        <v>110.05</v>
      </c>
      <c r="R220" t="s">
        <v>6</v>
      </c>
      <c r="S220" s="8">
        <v>123.51</v>
      </c>
      <c r="T220" t="s">
        <v>6</v>
      </c>
      <c r="U220" s="8">
        <v>290.2</v>
      </c>
      <c r="V220" t="s">
        <v>6</v>
      </c>
      <c r="W220" s="8">
        <v>119.30200000000001</v>
      </c>
      <c r="X220" t="s">
        <v>6</v>
      </c>
      <c r="Y220" s="8">
        <v>205.066</v>
      </c>
      <c r="Z220" t="s">
        <v>6</v>
      </c>
      <c r="AA220" s="8">
        <v>103.5</v>
      </c>
      <c r="AB220" t="s">
        <v>6</v>
      </c>
      <c r="AC220" s="8">
        <v>94.132999999999996</v>
      </c>
      <c r="AD220" t="s">
        <v>6</v>
      </c>
      <c r="AE220" s="8">
        <v>123.19</v>
      </c>
      <c r="AF220" t="s">
        <v>6</v>
      </c>
      <c r="AG220" s="8">
        <v>120.11</v>
      </c>
      <c r="AH220" t="s">
        <v>6</v>
      </c>
      <c r="AI220" s="8">
        <v>158.54</v>
      </c>
      <c r="AJ220" t="s">
        <v>6</v>
      </c>
      <c r="AK220" s="8">
        <v>3541.6</v>
      </c>
      <c r="AL220" t="s">
        <v>6</v>
      </c>
    </row>
    <row r="221" spans="1:40" x14ac:dyDescent="0.2">
      <c r="A221" s="7" t="s">
        <v>50</v>
      </c>
      <c r="B221" t="s">
        <v>6</v>
      </c>
      <c r="C221" s="8">
        <v>89.111800000000002</v>
      </c>
      <c r="D221" s="10">
        <f t="shared" si="32"/>
        <v>0.90178978025959211</v>
      </c>
      <c r="E221" s="8">
        <v>97.028999999999996</v>
      </c>
      <c r="F221" s="10">
        <f t="shared" si="33"/>
        <v>0.99098169785113155</v>
      </c>
      <c r="G221" s="8">
        <v>136.59</v>
      </c>
      <c r="H221" t="s">
        <v>6</v>
      </c>
      <c r="I221" s="8">
        <v>94.994600000000005</v>
      </c>
      <c r="J221" t="s">
        <v>6</v>
      </c>
      <c r="K221" s="8">
        <v>92.102999999999994</v>
      </c>
      <c r="L221" t="s">
        <v>6</v>
      </c>
      <c r="M221" s="8">
        <v>99.141999999999996</v>
      </c>
      <c r="N221" t="s">
        <v>6</v>
      </c>
      <c r="O221" s="8">
        <v>105.008</v>
      </c>
      <c r="P221" t="s">
        <v>6</v>
      </c>
      <c r="Q221" s="8">
        <v>110.13</v>
      </c>
      <c r="R221" t="s">
        <v>6</v>
      </c>
      <c r="S221" s="8">
        <v>124.08</v>
      </c>
      <c r="T221" t="s">
        <v>6</v>
      </c>
      <c r="U221" s="8">
        <v>291.2</v>
      </c>
      <c r="V221" t="s">
        <v>6</v>
      </c>
      <c r="W221" s="8">
        <v>118.77</v>
      </c>
      <c r="X221" t="s">
        <v>6</v>
      </c>
      <c r="Y221" s="8">
        <v>206.27</v>
      </c>
      <c r="Z221" t="s">
        <v>6</v>
      </c>
      <c r="AA221" s="8">
        <v>103.7</v>
      </c>
      <c r="AB221" t="s">
        <v>6</v>
      </c>
      <c r="AC221" s="8">
        <v>94.584000000000003</v>
      </c>
      <c r="AD221" t="s">
        <v>6</v>
      </c>
      <c r="AE221" s="8">
        <v>123.45</v>
      </c>
      <c r="AF221" t="s">
        <v>6</v>
      </c>
      <c r="AG221" s="8">
        <v>120.41</v>
      </c>
      <c r="AH221" t="s">
        <v>6</v>
      </c>
      <c r="AI221" s="8">
        <v>160.07</v>
      </c>
      <c r="AJ221" t="s">
        <v>6</v>
      </c>
      <c r="AK221" s="8">
        <v>4195.8999999999996</v>
      </c>
      <c r="AL221" t="s">
        <v>6</v>
      </c>
    </row>
    <row r="222" spans="1:40" x14ac:dyDescent="0.2">
      <c r="A222" s="7" t="s">
        <v>51</v>
      </c>
      <c r="B222" t="s">
        <v>6</v>
      </c>
      <c r="C222" s="8">
        <v>91.852800000000002</v>
      </c>
      <c r="D222" s="10">
        <f t="shared" si="32"/>
        <v>0.92952803476339008</v>
      </c>
      <c r="E222" s="8">
        <v>96.563999999999993</v>
      </c>
      <c r="F222" s="10">
        <f t="shared" si="33"/>
        <v>0.98623253533785427</v>
      </c>
      <c r="G222" s="8">
        <v>137.07</v>
      </c>
      <c r="H222" t="s">
        <v>6</v>
      </c>
      <c r="I222" s="8">
        <v>95.415899999999993</v>
      </c>
      <c r="J222" t="s">
        <v>6</v>
      </c>
      <c r="K222" s="8">
        <v>92.543000000000006</v>
      </c>
      <c r="L222" t="s">
        <v>6</v>
      </c>
      <c r="M222" s="8">
        <v>99.122</v>
      </c>
      <c r="N222" t="s">
        <v>6</v>
      </c>
      <c r="O222" s="8">
        <v>105.38500000000001</v>
      </c>
      <c r="P222" t="s">
        <v>6</v>
      </c>
      <c r="Q222" s="8">
        <v>110.24</v>
      </c>
      <c r="R222" t="s">
        <v>6</v>
      </c>
      <c r="S222" s="8">
        <v>124.63</v>
      </c>
      <c r="T222" t="s">
        <v>6</v>
      </c>
      <c r="U222" s="8">
        <v>293.10000000000002</v>
      </c>
      <c r="V222" t="s">
        <v>6</v>
      </c>
      <c r="W222" s="8">
        <v>118.901</v>
      </c>
      <c r="X222" t="s">
        <v>6</v>
      </c>
      <c r="Y222" s="8">
        <v>205.99100000000001</v>
      </c>
      <c r="Z222" t="s">
        <v>6</v>
      </c>
      <c r="AA222" s="8">
        <v>103.6</v>
      </c>
      <c r="AB222" t="s">
        <v>6</v>
      </c>
      <c r="AC222" s="8">
        <v>94.841999999999999</v>
      </c>
      <c r="AD222" t="s">
        <v>6</v>
      </c>
      <c r="AE222" s="8">
        <v>123.62</v>
      </c>
      <c r="AF222" t="s">
        <v>6</v>
      </c>
      <c r="AG222" s="8">
        <v>121.13</v>
      </c>
      <c r="AH222" t="s">
        <v>6</v>
      </c>
      <c r="AI222" s="8">
        <v>160.71</v>
      </c>
      <c r="AJ222" t="s">
        <v>6</v>
      </c>
      <c r="AK222" s="8">
        <v>5001.5</v>
      </c>
      <c r="AL222" t="s">
        <v>6</v>
      </c>
    </row>
    <row r="223" spans="1:40" x14ac:dyDescent="0.2">
      <c r="A223" s="7" t="s">
        <v>52</v>
      </c>
      <c r="B223" t="s">
        <v>6</v>
      </c>
      <c r="C223" s="8">
        <v>93.732799999999997</v>
      </c>
      <c r="D223" s="10">
        <f t="shared" si="32"/>
        <v>0.94855317831214592</v>
      </c>
      <c r="E223" s="8">
        <v>96.593999999999994</v>
      </c>
      <c r="F223" s="10">
        <f t="shared" si="33"/>
        <v>0.98653893291935602</v>
      </c>
      <c r="G223" s="8">
        <v>137.78</v>
      </c>
      <c r="H223" t="s">
        <v>6</v>
      </c>
      <c r="I223" s="8">
        <v>95.651799999999994</v>
      </c>
      <c r="J223" t="s">
        <v>6</v>
      </c>
      <c r="K223" s="8">
        <v>93.024000000000001</v>
      </c>
      <c r="L223" t="s">
        <v>6</v>
      </c>
      <c r="M223" s="8">
        <v>100.044</v>
      </c>
      <c r="N223" t="s">
        <v>6</v>
      </c>
      <c r="O223" s="8">
        <v>105.295</v>
      </c>
      <c r="P223" t="s">
        <v>6</v>
      </c>
      <c r="Q223" s="8">
        <v>110.12</v>
      </c>
      <c r="R223" t="s">
        <v>6</v>
      </c>
      <c r="S223" s="8">
        <v>125.49</v>
      </c>
      <c r="T223" t="s">
        <v>6</v>
      </c>
      <c r="U223" s="8">
        <v>294</v>
      </c>
      <c r="V223" t="s">
        <v>6</v>
      </c>
      <c r="W223" s="8">
        <v>119.211</v>
      </c>
      <c r="X223" t="s">
        <v>6</v>
      </c>
      <c r="Y223" s="8">
        <v>206.60400000000001</v>
      </c>
      <c r="Z223" t="s">
        <v>6</v>
      </c>
      <c r="AA223" s="8">
        <v>103.7</v>
      </c>
      <c r="AB223" t="s">
        <v>6</v>
      </c>
      <c r="AC223" s="8">
        <v>93.938999999999993</v>
      </c>
      <c r="AD223" t="s">
        <v>6</v>
      </c>
      <c r="AE223" s="8">
        <v>123.72</v>
      </c>
      <c r="AF223" t="s">
        <v>6</v>
      </c>
      <c r="AG223" s="8">
        <v>121.36</v>
      </c>
      <c r="AH223" t="s">
        <v>6</v>
      </c>
      <c r="AI223" s="8">
        <v>161.34</v>
      </c>
      <c r="AJ223" t="s">
        <v>6</v>
      </c>
      <c r="AK223" s="8">
        <v>5437.1</v>
      </c>
      <c r="AL223" t="s">
        <v>6</v>
      </c>
    </row>
    <row r="224" spans="1:40" x14ac:dyDescent="0.2">
      <c r="A224" s="7" t="s">
        <v>53</v>
      </c>
      <c r="B224" t="s">
        <v>6</v>
      </c>
      <c r="C224" s="8">
        <v>93.9221</v>
      </c>
      <c r="D224" s="10">
        <f t="shared" si="32"/>
        <v>0.95046884835139045</v>
      </c>
      <c r="E224" s="8">
        <v>96.716999999999999</v>
      </c>
      <c r="F224" s="10">
        <f t="shared" si="33"/>
        <v>0.98779516300351333</v>
      </c>
      <c r="G224" s="8">
        <v>138.38999999999999</v>
      </c>
      <c r="H224" t="s">
        <v>6</v>
      </c>
      <c r="I224" s="8">
        <v>95.693899999999999</v>
      </c>
      <c r="J224" t="s">
        <v>6</v>
      </c>
      <c r="K224" s="8">
        <v>92.730999999999995</v>
      </c>
      <c r="L224" t="s">
        <v>6</v>
      </c>
      <c r="M224" s="8">
        <v>100.077</v>
      </c>
      <c r="N224" t="s">
        <v>6</v>
      </c>
      <c r="O224" s="8">
        <v>105.123</v>
      </c>
      <c r="P224" t="s">
        <v>6</v>
      </c>
      <c r="Q224" s="8">
        <v>109.85</v>
      </c>
      <c r="R224" t="s">
        <v>6</v>
      </c>
      <c r="S224" s="8">
        <v>125.72</v>
      </c>
      <c r="T224" t="s">
        <v>6</v>
      </c>
      <c r="U224" s="8">
        <v>294.39999999999998</v>
      </c>
      <c r="V224" t="s">
        <v>6</v>
      </c>
      <c r="W224" s="8">
        <v>119.547</v>
      </c>
      <c r="X224" t="s">
        <v>6</v>
      </c>
      <c r="Y224" s="8">
        <v>206.095</v>
      </c>
      <c r="Z224" t="s">
        <v>6</v>
      </c>
      <c r="AA224" s="8">
        <v>103.7</v>
      </c>
      <c r="AB224" t="s">
        <v>6</v>
      </c>
      <c r="AC224" s="8">
        <v>94.132999999999996</v>
      </c>
      <c r="AD224" t="s">
        <v>6</v>
      </c>
      <c r="AE224" s="8">
        <v>124.16</v>
      </c>
      <c r="AF224" t="s">
        <v>6</v>
      </c>
      <c r="AG224" s="8">
        <v>121.29</v>
      </c>
      <c r="AH224" t="s">
        <v>6</v>
      </c>
      <c r="AI224" s="8">
        <v>162.26</v>
      </c>
      <c r="AJ224" t="s">
        <v>6</v>
      </c>
      <c r="AK224" s="8">
        <v>5825.7</v>
      </c>
      <c r="AL224" t="s">
        <v>6</v>
      </c>
    </row>
    <row r="225" spans="1:40" x14ac:dyDescent="0.2">
      <c r="A225" s="7" t="s">
        <v>54</v>
      </c>
      <c r="B225" t="s">
        <v>6</v>
      </c>
      <c r="C225" s="8">
        <v>95.001400000000004</v>
      </c>
      <c r="D225" s="10">
        <f t="shared" si="32"/>
        <v>0.96139110230467362</v>
      </c>
      <c r="E225" s="8">
        <v>97.153000000000006</v>
      </c>
      <c r="F225" s="10">
        <f t="shared" si="33"/>
        <v>0.99224814118800553</v>
      </c>
      <c r="G225" s="8">
        <v>138.5</v>
      </c>
      <c r="H225" t="s">
        <v>6</v>
      </c>
      <c r="I225" s="8">
        <v>95.9298</v>
      </c>
      <c r="J225" t="s">
        <v>6</v>
      </c>
      <c r="K225" s="8">
        <v>92.682000000000002</v>
      </c>
      <c r="L225" t="s">
        <v>6</v>
      </c>
      <c r="M225" s="8">
        <v>99.603999999999999</v>
      </c>
      <c r="N225" t="s">
        <v>6</v>
      </c>
      <c r="O225" s="8">
        <v>105.283</v>
      </c>
      <c r="P225" t="s">
        <v>6</v>
      </c>
      <c r="Q225" s="8">
        <v>109.51</v>
      </c>
      <c r="R225" t="s">
        <v>6</v>
      </c>
      <c r="S225" s="8">
        <v>125.46</v>
      </c>
      <c r="T225" t="s">
        <v>6</v>
      </c>
      <c r="U225" s="8">
        <v>294.89999999999998</v>
      </c>
      <c r="V225" t="s">
        <v>6</v>
      </c>
      <c r="W225" s="8">
        <v>120.277</v>
      </c>
      <c r="X225" t="s">
        <v>6</v>
      </c>
      <c r="Y225" s="8">
        <v>205.28200000000001</v>
      </c>
      <c r="Z225" t="s">
        <v>6</v>
      </c>
      <c r="AA225" s="8">
        <v>103.9</v>
      </c>
      <c r="AB225" t="s">
        <v>6</v>
      </c>
      <c r="AC225" s="8">
        <v>94.325999999999993</v>
      </c>
      <c r="AD225" t="s">
        <v>6</v>
      </c>
      <c r="AE225" s="8">
        <v>124.42</v>
      </c>
      <c r="AF225" t="s">
        <v>6</v>
      </c>
      <c r="AG225" s="8">
        <v>121.34</v>
      </c>
      <c r="AH225" t="s">
        <v>6</v>
      </c>
      <c r="AI225" s="8">
        <v>162.66</v>
      </c>
      <c r="AJ225" t="s">
        <v>6</v>
      </c>
      <c r="AK225" s="8">
        <v>6364.4</v>
      </c>
      <c r="AL225" t="s">
        <v>6</v>
      </c>
    </row>
    <row r="226" spans="1:40" x14ac:dyDescent="0.2">
      <c r="A226" s="7" t="s">
        <v>55</v>
      </c>
      <c r="B226" t="s">
        <v>6</v>
      </c>
      <c r="C226" s="8">
        <v>97.242800000000003</v>
      </c>
      <c r="D226" s="10">
        <f t="shared" si="32"/>
        <v>0.98407352610796173</v>
      </c>
      <c r="E226" s="8">
        <v>97.506</v>
      </c>
      <c r="F226" s="10">
        <f t="shared" si="33"/>
        <v>0.99585341939700955</v>
      </c>
      <c r="G226" s="8">
        <v>138.86000000000001</v>
      </c>
      <c r="H226" t="s">
        <v>6</v>
      </c>
      <c r="I226" s="8">
        <v>96.0899</v>
      </c>
      <c r="J226" t="s">
        <v>6</v>
      </c>
      <c r="K226" s="8">
        <v>92.626000000000005</v>
      </c>
      <c r="L226" t="s">
        <v>6</v>
      </c>
      <c r="M226" s="8">
        <v>99.486999999999995</v>
      </c>
      <c r="N226" t="s">
        <v>6</v>
      </c>
      <c r="O226" s="8">
        <v>105.197</v>
      </c>
      <c r="P226" t="s">
        <v>6</v>
      </c>
      <c r="Q226" s="8">
        <v>109.79</v>
      </c>
      <c r="R226" t="s">
        <v>6</v>
      </c>
      <c r="S226" s="8">
        <v>126.33</v>
      </c>
      <c r="T226" t="s">
        <v>6</v>
      </c>
      <c r="U226" s="8">
        <v>294.89999999999998</v>
      </c>
      <c r="V226" t="s">
        <v>6</v>
      </c>
      <c r="W226" s="8">
        <v>121.00700000000001</v>
      </c>
      <c r="X226" t="s">
        <v>6</v>
      </c>
      <c r="Y226" s="8">
        <v>206.001</v>
      </c>
      <c r="Z226" t="s">
        <v>6</v>
      </c>
      <c r="AA226" s="8">
        <v>104</v>
      </c>
      <c r="AB226" t="s">
        <v>6</v>
      </c>
      <c r="AC226" s="8">
        <v>94.132999999999996</v>
      </c>
      <c r="AD226" t="s">
        <v>6</v>
      </c>
      <c r="AE226" s="8">
        <v>124.93</v>
      </c>
      <c r="AF226" t="s">
        <v>6</v>
      </c>
      <c r="AG226" s="8">
        <v>121.71</v>
      </c>
      <c r="AH226" t="s">
        <v>6</v>
      </c>
      <c r="AI226" s="8">
        <v>162.96</v>
      </c>
      <c r="AJ226" t="s">
        <v>6</v>
      </c>
      <c r="AK226" s="8">
        <v>6873.9</v>
      </c>
      <c r="AL226" t="s">
        <v>6</v>
      </c>
    </row>
    <row r="227" spans="1:40" x14ac:dyDescent="0.2">
      <c r="A227" s="7" t="s">
        <v>56</v>
      </c>
      <c r="B227" t="s">
        <v>6</v>
      </c>
      <c r="C227" s="8">
        <v>98.816599999999994</v>
      </c>
      <c r="D227" s="10">
        <f t="shared" si="32"/>
        <v>1</v>
      </c>
      <c r="E227" s="8">
        <v>97.912000000000006</v>
      </c>
      <c r="F227" s="10">
        <f t="shared" si="33"/>
        <v>1</v>
      </c>
      <c r="G227" s="8">
        <v>139.11000000000001</v>
      </c>
      <c r="H227" t="s">
        <v>6</v>
      </c>
      <c r="I227" s="8">
        <v>96.1404</v>
      </c>
      <c r="J227" t="s">
        <v>6</v>
      </c>
      <c r="K227" s="8">
        <v>92.730999999999995</v>
      </c>
      <c r="L227" t="s">
        <v>6</v>
      </c>
      <c r="M227" s="8">
        <v>99.486999999999995</v>
      </c>
      <c r="N227" t="s">
        <v>6</v>
      </c>
      <c r="O227" s="8">
        <v>105.044</v>
      </c>
      <c r="P227" t="s">
        <v>6</v>
      </c>
      <c r="Q227" s="8">
        <v>109.78</v>
      </c>
      <c r="R227" t="s">
        <v>6</v>
      </c>
      <c r="S227" s="8">
        <v>126.82</v>
      </c>
      <c r="T227" t="s">
        <v>6</v>
      </c>
      <c r="U227" s="8">
        <v>295.3</v>
      </c>
      <c r="V227" t="s">
        <v>6</v>
      </c>
      <c r="W227" s="8">
        <v>121.953</v>
      </c>
      <c r="X227" t="s">
        <v>6</v>
      </c>
      <c r="Y227" s="8">
        <v>206.47800000000001</v>
      </c>
      <c r="Z227" t="s">
        <v>6</v>
      </c>
      <c r="AA227" s="8">
        <v>103.9</v>
      </c>
      <c r="AB227" t="s">
        <v>6</v>
      </c>
      <c r="AC227" s="8">
        <v>95.1</v>
      </c>
      <c r="AD227" t="s">
        <v>6</v>
      </c>
      <c r="AE227" s="8">
        <v>125.3</v>
      </c>
      <c r="AF227" t="s">
        <v>6</v>
      </c>
      <c r="AG227" s="8">
        <v>121.87</v>
      </c>
      <c r="AH227" t="s">
        <v>6</v>
      </c>
      <c r="AI227" s="8">
        <v>163.12</v>
      </c>
      <c r="AJ227" t="s">
        <v>6</v>
      </c>
      <c r="AK227" s="8">
        <v>7668.9</v>
      </c>
      <c r="AL227" t="s">
        <v>6</v>
      </c>
    </row>
    <row r="228" spans="1:40" x14ac:dyDescent="0.2">
      <c r="A228" s="7" t="s">
        <v>57</v>
      </c>
      <c r="B228" t="s">
        <v>6</v>
      </c>
      <c r="C228" s="8">
        <v>100</v>
      </c>
      <c r="D228" s="10">
        <f t="shared" si="32"/>
        <v>1.0119757206785096</v>
      </c>
      <c r="E228" s="8">
        <v>98.194000000000003</v>
      </c>
      <c r="F228" s="10">
        <f t="shared" si="33"/>
        <v>1.0028801372661165</v>
      </c>
      <c r="G228" s="8">
        <v>139.53</v>
      </c>
      <c r="H228" t="s">
        <v>6</v>
      </c>
      <c r="I228" s="8">
        <v>95.946600000000004</v>
      </c>
      <c r="J228" t="s">
        <v>6</v>
      </c>
      <c r="K228" s="8">
        <v>93.114999999999995</v>
      </c>
      <c r="L228" t="s">
        <v>6</v>
      </c>
      <c r="M228" s="8">
        <v>99.875</v>
      </c>
      <c r="N228" t="s">
        <v>6</v>
      </c>
      <c r="O228" s="8">
        <v>105.211</v>
      </c>
      <c r="P228" t="s">
        <v>6</v>
      </c>
      <c r="Q228" s="8">
        <v>109.58</v>
      </c>
      <c r="R228" t="s">
        <v>6</v>
      </c>
      <c r="S228" s="8">
        <v>126.83</v>
      </c>
      <c r="T228" t="s">
        <v>6</v>
      </c>
      <c r="U228" s="8">
        <v>296.10000000000002</v>
      </c>
      <c r="V228" t="s">
        <v>6</v>
      </c>
      <c r="W228" s="8">
        <v>122.515</v>
      </c>
      <c r="X228" t="s">
        <v>6</v>
      </c>
      <c r="Y228" s="8">
        <v>207.95699999999999</v>
      </c>
      <c r="Z228" t="s">
        <v>6</v>
      </c>
      <c r="AA228" s="8">
        <v>104</v>
      </c>
      <c r="AB228" t="s">
        <v>6</v>
      </c>
      <c r="AC228" s="8">
        <v>95.68</v>
      </c>
      <c r="AD228" t="s">
        <v>6</v>
      </c>
      <c r="AE228" s="8">
        <v>125.72</v>
      </c>
      <c r="AF228" t="s">
        <v>6</v>
      </c>
      <c r="AG228" s="8">
        <v>122.97</v>
      </c>
      <c r="AH228" t="s">
        <v>6</v>
      </c>
      <c r="AI228" s="8">
        <v>162.22999999999999</v>
      </c>
      <c r="AJ228" t="s">
        <v>6</v>
      </c>
      <c r="AK228" s="8">
        <v>8826.9</v>
      </c>
      <c r="AL228" t="s">
        <v>6</v>
      </c>
    </row>
    <row r="229" spans="1:40" x14ac:dyDescent="0.2">
      <c r="A229" s="7" t="s">
        <v>76</v>
      </c>
      <c r="B229" t="s">
        <v>6</v>
      </c>
      <c r="C229" t="s">
        <v>45</v>
      </c>
      <c r="D229" s="11">
        <f>SUM(D230:D241)</f>
        <v>11.214965176104689</v>
      </c>
      <c r="E229" t="s">
        <v>45</v>
      </c>
      <c r="F229" s="11">
        <f>SUM(F230:F241)</f>
        <v>11.856523252922159</v>
      </c>
      <c r="G229" t="s">
        <v>45</v>
      </c>
      <c r="H229" t="s">
        <v>6</v>
      </c>
      <c r="I229" t="s">
        <v>45</v>
      </c>
      <c r="J229" t="s">
        <v>6</v>
      </c>
      <c r="K229" t="s">
        <v>45</v>
      </c>
      <c r="L229" t="s">
        <v>6</v>
      </c>
      <c r="M229" t="s">
        <v>45</v>
      </c>
      <c r="N229" t="s">
        <v>6</v>
      </c>
      <c r="O229" t="s">
        <v>45</v>
      </c>
      <c r="P229" t="s">
        <v>6</v>
      </c>
      <c r="Q229" t="s">
        <v>45</v>
      </c>
      <c r="R229" t="s">
        <v>6</v>
      </c>
      <c r="S229" t="s">
        <v>45</v>
      </c>
      <c r="T229" t="s">
        <v>6</v>
      </c>
      <c r="U229" t="s">
        <v>45</v>
      </c>
      <c r="V229" t="s">
        <v>6</v>
      </c>
      <c r="W229" t="s">
        <v>45</v>
      </c>
      <c r="X229" t="s">
        <v>6</v>
      </c>
      <c r="Y229" t="s">
        <v>45</v>
      </c>
      <c r="Z229" t="s">
        <v>6</v>
      </c>
      <c r="AA229" t="s">
        <v>45</v>
      </c>
      <c r="AB229" t="s">
        <v>6</v>
      </c>
      <c r="AC229" t="s">
        <v>45</v>
      </c>
      <c r="AD229" t="s">
        <v>6</v>
      </c>
      <c r="AE229" t="s">
        <v>45</v>
      </c>
      <c r="AF229" t="s">
        <v>6</v>
      </c>
      <c r="AG229" t="s">
        <v>45</v>
      </c>
      <c r="AH229" t="s">
        <v>6</v>
      </c>
      <c r="AI229" t="s">
        <v>45</v>
      </c>
      <c r="AJ229" t="s">
        <v>6</v>
      </c>
      <c r="AK229" t="s">
        <v>45</v>
      </c>
      <c r="AL229" t="s">
        <v>6</v>
      </c>
      <c r="AM229" t="s">
        <v>45</v>
      </c>
      <c r="AN229" t="s">
        <v>6</v>
      </c>
    </row>
    <row r="230" spans="1:40" x14ac:dyDescent="0.2">
      <c r="A230" s="7" t="s">
        <v>46</v>
      </c>
      <c r="B230" t="s">
        <v>6</v>
      </c>
      <c r="C230" s="8">
        <v>101.313</v>
      </c>
      <c r="D230" s="10">
        <f>C230/C$240</f>
        <v>0.83803166410243679</v>
      </c>
      <c r="E230" s="8">
        <v>98.287999999999997</v>
      </c>
      <c r="F230" s="10">
        <f t="shared" ref="F230:F241" si="34">E230/E$240</f>
        <v>0.9777468291469783</v>
      </c>
      <c r="G230" s="8">
        <v>140.06</v>
      </c>
      <c r="H230" t="s">
        <v>6</v>
      </c>
      <c r="I230" s="8">
        <v>96.460599999999999</v>
      </c>
      <c r="J230" t="s">
        <v>6</v>
      </c>
      <c r="K230" s="8">
        <v>94.070999999999998</v>
      </c>
      <c r="L230" t="s">
        <v>6</v>
      </c>
      <c r="M230" s="8">
        <v>100.444</v>
      </c>
      <c r="N230" t="s">
        <v>6</v>
      </c>
      <c r="O230" s="8">
        <v>105.303</v>
      </c>
      <c r="P230" t="s">
        <v>6</v>
      </c>
      <c r="Q230" s="8">
        <v>110.39</v>
      </c>
      <c r="R230" t="s">
        <v>6</v>
      </c>
      <c r="S230" s="8">
        <v>127.49</v>
      </c>
      <c r="T230" t="s">
        <v>6</v>
      </c>
      <c r="U230" s="8">
        <v>297.39999999999998</v>
      </c>
      <c r="V230" t="s">
        <v>6</v>
      </c>
      <c r="W230" s="8">
        <v>124.598</v>
      </c>
      <c r="X230" t="s">
        <v>6</v>
      </c>
      <c r="Y230" s="8">
        <v>209.33699999999999</v>
      </c>
      <c r="Z230" t="s">
        <v>6</v>
      </c>
      <c r="AA230" s="8">
        <v>104.3</v>
      </c>
      <c r="AB230" t="s">
        <v>6</v>
      </c>
      <c r="AC230" s="8">
        <v>96.26</v>
      </c>
      <c r="AD230" t="s">
        <v>6</v>
      </c>
      <c r="AE230" s="8">
        <v>126.01</v>
      </c>
      <c r="AF230" t="s">
        <v>6</v>
      </c>
      <c r="AG230" s="8">
        <v>123.73</v>
      </c>
      <c r="AH230" t="s">
        <v>6</v>
      </c>
      <c r="AI230" s="8">
        <v>166.45</v>
      </c>
      <c r="AJ230" t="s">
        <v>6</v>
      </c>
      <c r="AK230" s="8">
        <v>10378.1</v>
      </c>
      <c r="AL230" t="s">
        <v>6</v>
      </c>
    </row>
    <row r="231" spans="1:40" x14ac:dyDescent="0.2">
      <c r="A231" s="7" t="s">
        <v>47</v>
      </c>
      <c r="B231" t="s">
        <v>6</v>
      </c>
      <c r="C231" s="8">
        <v>103.809</v>
      </c>
      <c r="D231" s="10">
        <f t="shared" ref="D230:D241" si="35">C231/C$240</f>
        <v>0.85867785001737051</v>
      </c>
      <c r="E231" s="8">
        <v>98.659000000000006</v>
      </c>
      <c r="F231" s="10">
        <f t="shared" si="34"/>
        <v>0.98143745336980848</v>
      </c>
      <c r="G231" s="8">
        <v>140.52000000000001</v>
      </c>
      <c r="H231" t="s">
        <v>6</v>
      </c>
      <c r="I231" s="8">
        <v>96.688100000000006</v>
      </c>
      <c r="J231" t="s">
        <v>6</v>
      </c>
      <c r="K231" s="8">
        <v>95.016999999999996</v>
      </c>
      <c r="L231" t="s">
        <v>6</v>
      </c>
      <c r="M231" s="8">
        <v>100.848</v>
      </c>
      <c r="N231" t="s">
        <v>6</v>
      </c>
      <c r="O231" s="8">
        <v>105.512</v>
      </c>
      <c r="P231" t="s">
        <v>6</v>
      </c>
      <c r="Q231" s="8">
        <v>110.69</v>
      </c>
      <c r="R231" t="s">
        <v>6</v>
      </c>
      <c r="S231" s="8">
        <v>127.92</v>
      </c>
      <c r="T231" t="s">
        <v>6</v>
      </c>
      <c r="U231" s="8">
        <v>300</v>
      </c>
      <c r="V231" t="s">
        <v>6</v>
      </c>
      <c r="W231" s="8">
        <v>125.318</v>
      </c>
      <c r="X231" t="s">
        <v>6</v>
      </c>
      <c r="Y231" s="8">
        <v>210.85300000000001</v>
      </c>
      <c r="Z231" t="s">
        <v>6</v>
      </c>
      <c r="AA231" s="8">
        <v>104.6</v>
      </c>
      <c r="AB231" t="s">
        <v>6</v>
      </c>
      <c r="AC231" s="8">
        <v>97.099000000000004</v>
      </c>
      <c r="AD231" t="s">
        <v>6</v>
      </c>
      <c r="AE231" s="8">
        <v>126.42</v>
      </c>
      <c r="AF231" t="s">
        <v>6</v>
      </c>
      <c r="AG231" s="8">
        <v>124.25</v>
      </c>
      <c r="AH231" t="s">
        <v>6</v>
      </c>
      <c r="AI231" s="8">
        <v>167.28</v>
      </c>
      <c r="AJ231" t="s">
        <v>6</v>
      </c>
      <c r="AK231" s="8">
        <v>11697.2</v>
      </c>
      <c r="AL231" t="s">
        <v>6</v>
      </c>
    </row>
    <row r="232" spans="1:40" x14ac:dyDescent="0.2">
      <c r="A232" s="7" t="s">
        <v>48</v>
      </c>
      <c r="B232" t="s">
        <v>6</v>
      </c>
      <c r="C232" s="8">
        <v>106.26300000000001</v>
      </c>
      <c r="D232" s="10">
        <f t="shared" si="35"/>
        <v>0.87897662415008193</v>
      </c>
      <c r="E232" s="8">
        <v>98.671000000000006</v>
      </c>
      <c r="F232" s="10">
        <f t="shared" si="34"/>
        <v>0.98155682666003485</v>
      </c>
      <c r="G232" s="8">
        <v>140.87</v>
      </c>
      <c r="H232" t="s">
        <v>6</v>
      </c>
      <c r="I232" s="8">
        <v>97.058800000000005</v>
      </c>
      <c r="J232" t="s">
        <v>6</v>
      </c>
      <c r="K232" s="8">
        <v>95.457999999999998</v>
      </c>
      <c r="L232" t="s">
        <v>6</v>
      </c>
      <c r="M232" s="8">
        <v>100.423</v>
      </c>
      <c r="N232" t="s">
        <v>6</v>
      </c>
      <c r="O232" s="8">
        <v>105.657</v>
      </c>
      <c r="P232" t="s">
        <v>6</v>
      </c>
      <c r="Q232" s="8">
        <v>110.92</v>
      </c>
      <c r="R232" t="s">
        <v>6</v>
      </c>
      <c r="S232" s="8">
        <v>128.22999999999999</v>
      </c>
      <c r="T232" t="s">
        <v>6</v>
      </c>
      <c r="U232" s="8">
        <v>301</v>
      </c>
      <c r="V232" t="s">
        <v>6</v>
      </c>
      <c r="W232" s="8">
        <v>126.087</v>
      </c>
      <c r="X232" t="s">
        <v>6</v>
      </c>
      <c r="Y232" s="8">
        <v>211.21600000000001</v>
      </c>
      <c r="Z232" t="s">
        <v>6</v>
      </c>
      <c r="AA232" s="8">
        <v>104.5</v>
      </c>
      <c r="AB232" t="s">
        <v>6</v>
      </c>
      <c r="AC232" s="8">
        <v>97.099000000000004</v>
      </c>
      <c r="AD232" t="s">
        <v>6</v>
      </c>
      <c r="AE232" s="8">
        <v>128.07</v>
      </c>
      <c r="AF232" t="s">
        <v>6</v>
      </c>
      <c r="AG232" s="8">
        <v>124</v>
      </c>
      <c r="AH232" t="s">
        <v>6</v>
      </c>
      <c r="AI232" s="8">
        <v>168.41</v>
      </c>
      <c r="AJ232" t="s">
        <v>6</v>
      </c>
      <c r="AK232" s="8">
        <v>12910.1</v>
      </c>
      <c r="AL232" t="s">
        <v>6</v>
      </c>
    </row>
    <row r="233" spans="1:40" x14ac:dyDescent="0.2">
      <c r="A233" s="7" t="s">
        <v>49</v>
      </c>
      <c r="B233" t="s">
        <v>6</v>
      </c>
      <c r="C233" s="8">
        <v>109.06100000000001</v>
      </c>
      <c r="D233" s="10">
        <f t="shared" si="35"/>
        <v>0.90212086621337706</v>
      </c>
      <c r="E233" s="8">
        <v>98.259</v>
      </c>
      <c r="F233" s="10">
        <f t="shared" si="34"/>
        <v>0.97745834369559803</v>
      </c>
      <c r="G233" s="8">
        <v>141.07</v>
      </c>
      <c r="H233" t="s">
        <v>6</v>
      </c>
      <c r="I233" s="8">
        <v>97.294700000000006</v>
      </c>
      <c r="J233" t="s">
        <v>6</v>
      </c>
      <c r="K233" s="8">
        <v>95.909000000000006</v>
      </c>
      <c r="L233" t="s">
        <v>6</v>
      </c>
      <c r="M233" s="8">
        <v>100.57599999999999</v>
      </c>
      <c r="N233" t="s">
        <v>6</v>
      </c>
      <c r="O233" s="8">
        <v>106.117</v>
      </c>
      <c r="P233" t="s">
        <v>6</v>
      </c>
      <c r="Q233" s="8">
        <v>111</v>
      </c>
      <c r="R233" t="s">
        <v>6</v>
      </c>
      <c r="S233" s="8">
        <v>128.56</v>
      </c>
      <c r="T233" t="s">
        <v>6</v>
      </c>
      <c r="U233" s="8">
        <v>302.10000000000002</v>
      </c>
      <c r="V233" t="s">
        <v>6</v>
      </c>
      <c r="W233" s="8">
        <v>126.242</v>
      </c>
      <c r="X233" t="s">
        <v>6</v>
      </c>
      <c r="Y233" s="8">
        <v>212.119</v>
      </c>
      <c r="Z233" t="s">
        <v>6</v>
      </c>
      <c r="AA233" s="8">
        <v>104.5</v>
      </c>
      <c r="AB233" t="s">
        <v>6</v>
      </c>
      <c r="AC233" s="8">
        <v>97.55</v>
      </c>
      <c r="AD233" t="s">
        <v>6</v>
      </c>
      <c r="AE233" s="8">
        <v>127.74</v>
      </c>
      <c r="AF233" t="s">
        <v>6</v>
      </c>
      <c r="AG233" s="8">
        <v>124.33</v>
      </c>
      <c r="AH233" t="s">
        <v>6</v>
      </c>
      <c r="AI233" s="8">
        <v>168.78</v>
      </c>
      <c r="AJ233" t="s">
        <v>6</v>
      </c>
      <c r="AK233" s="8">
        <v>13975.9</v>
      </c>
      <c r="AL233" t="s">
        <v>6</v>
      </c>
    </row>
    <row r="234" spans="1:40" x14ac:dyDescent="0.2">
      <c r="A234" s="7" t="s">
        <v>50</v>
      </c>
      <c r="B234" t="s">
        <v>6</v>
      </c>
      <c r="C234" s="8">
        <v>110.461</v>
      </c>
      <c r="D234" s="10">
        <f t="shared" si="35"/>
        <v>0.91370125895412502</v>
      </c>
      <c r="E234" s="8">
        <v>98.241</v>
      </c>
      <c r="F234" s="10">
        <f t="shared" si="34"/>
        <v>0.97727928376025863</v>
      </c>
      <c r="G234" s="8">
        <v>141.51</v>
      </c>
      <c r="H234" t="s">
        <v>6</v>
      </c>
      <c r="I234" s="8">
        <v>97.421099999999996</v>
      </c>
      <c r="J234" t="s">
        <v>6</v>
      </c>
      <c r="K234" s="8">
        <v>96.128</v>
      </c>
      <c r="L234" t="s">
        <v>6</v>
      </c>
      <c r="M234" s="8">
        <v>100.79900000000001</v>
      </c>
      <c r="N234" t="s">
        <v>6</v>
      </c>
      <c r="O234" s="8">
        <v>106.16500000000001</v>
      </c>
      <c r="P234" t="s">
        <v>6</v>
      </c>
      <c r="Q234" s="8">
        <v>111.19</v>
      </c>
      <c r="R234" t="s">
        <v>6</v>
      </c>
      <c r="S234" s="8">
        <v>128.96</v>
      </c>
      <c r="T234" t="s">
        <v>6</v>
      </c>
      <c r="U234" s="8">
        <v>303</v>
      </c>
      <c r="V234" t="s">
        <v>6</v>
      </c>
      <c r="W234" s="8">
        <v>126.09099999999999</v>
      </c>
      <c r="X234" t="s">
        <v>6</v>
      </c>
      <c r="Y234" s="8">
        <v>212.61600000000001</v>
      </c>
      <c r="Z234" t="s">
        <v>6</v>
      </c>
      <c r="AA234" s="8">
        <v>104.5</v>
      </c>
      <c r="AB234" t="s">
        <v>6</v>
      </c>
      <c r="AC234" s="8">
        <v>97.808000000000007</v>
      </c>
      <c r="AD234" t="s">
        <v>6</v>
      </c>
      <c r="AE234" s="8">
        <v>127.2</v>
      </c>
      <c r="AF234" t="s">
        <v>6</v>
      </c>
      <c r="AG234" s="8">
        <v>124.15</v>
      </c>
      <c r="AH234" t="s">
        <v>6</v>
      </c>
      <c r="AI234" s="8">
        <v>169</v>
      </c>
      <c r="AJ234" t="s">
        <v>6</v>
      </c>
      <c r="AK234" s="8">
        <v>15610.4</v>
      </c>
      <c r="AL234" t="s">
        <v>6</v>
      </c>
    </row>
    <row r="235" spans="1:40" x14ac:dyDescent="0.2">
      <c r="A235" s="7" t="s">
        <v>51</v>
      </c>
      <c r="B235" t="s">
        <v>6</v>
      </c>
      <c r="C235" s="8">
        <v>111.994</v>
      </c>
      <c r="D235" s="10">
        <f t="shared" si="35"/>
        <v>0.92638178900524426</v>
      </c>
      <c r="E235" s="8">
        <v>98.334999999999994</v>
      </c>
      <c r="F235" s="10">
        <f t="shared" si="34"/>
        <v>0.97821437453369797</v>
      </c>
      <c r="G235" s="8">
        <v>141.18</v>
      </c>
      <c r="H235" t="s">
        <v>6</v>
      </c>
      <c r="I235" s="8">
        <v>97.041899999999998</v>
      </c>
      <c r="J235" t="s">
        <v>6</v>
      </c>
      <c r="K235" s="8">
        <v>96.24</v>
      </c>
      <c r="L235" t="s">
        <v>6</v>
      </c>
      <c r="M235" s="8">
        <v>100.88</v>
      </c>
      <c r="N235" t="s">
        <v>6</v>
      </c>
      <c r="O235" s="8">
        <v>105.553</v>
      </c>
      <c r="P235" t="s">
        <v>6</v>
      </c>
      <c r="Q235" s="8">
        <v>111.26</v>
      </c>
      <c r="R235" t="s">
        <v>6</v>
      </c>
      <c r="S235" s="8">
        <v>130.07</v>
      </c>
      <c r="T235" t="s">
        <v>6</v>
      </c>
      <c r="U235" s="8">
        <v>303.8</v>
      </c>
      <c r="V235" t="s">
        <v>6</v>
      </c>
      <c r="W235" s="8">
        <v>126.408</v>
      </c>
      <c r="X235" t="s">
        <v>6</v>
      </c>
      <c r="Y235" s="8">
        <v>212.65799999999999</v>
      </c>
      <c r="Z235" t="s">
        <v>6</v>
      </c>
      <c r="AA235" s="8">
        <v>104.3</v>
      </c>
      <c r="AB235" t="s">
        <v>6</v>
      </c>
      <c r="AC235" s="8">
        <v>97.614000000000004</v>
      </c>
      <c r="AD235" t="s">
        <v>6</v>
      </c>
      <c r="AE235" s="8">
        <v>127</v>
      </c>
      <c r="AF235" t="s">
        <v>6</v>
      </c>
      <c r="AG235" s="8">
        <v>124.22</v>
      </c>
      <c r="AH235" t="s">
        <v>6</v>
      </c>
      <c r="AI235" s="8">
        <v>169.25</v>
      </c>
      <c r="AJ235" t="s">
        <v>6</v>
      </c>
      <c r="AK235" s="8">
        <v>17537.8</v>
      </c>
      <c r="AL235" t="s">
        <v>6</v>
      </c>
    </row>
    <row r="236" spans="1:40" x14ac:dyDescent="0.2">
      <c r="A236" s="7" t="s">
        <v>52</v>
      </c>
      <c r="B236" t="s">
        <v>6</v>
      </c>
      <c r="C236" s="8">
        <v>113.92</v>
      </c>
      <c r="D236" s="10">
        <f t="shared" si="35"/>
        <v>0.94231310073287344</v>
      </c>
      <c r="E236" s="8">
        <v>99.076999999999998</v>
      </c>
      <c r="F236" s="10">
        <f t="shared" si="34"/>
        <v>0.98559562297935832</v>
      </c>
      <c r="G236" s="8">
        <v>141.52000000000001</v>
      </c>
      <c r="H236" t="s">
        <v>6</v>
      </c>
      <c r="I236" s="8">
        <v>97.269400000000005</v>
      </c>
      <c r="J236" t="s">
        <v>6</v>
      </c>
      <c r="K236" s="8">
        <v>96.191999999999993</v>
      </c>
      <c r="L236" t="s">
        <v>6</v>
      </c>
      <c r="M236" s="8">
        <v>101.208</v>
      </c>
      <c r="N236" t="s">
        <v>6</v>
      </c>
      <c r="O236" s="8">
        <v>105.404</v>
      </c>
      <c r="P236" t="s">
        <v>6</v>
      </c>
      <c r="Q236" s="8">
        <v>111.24</v>
      </c>
      <c r="R236" t="s">
        <v>6</v>
      </c>
      <c r="S236" s="8">
        <v>132.04</v>
      </c>
      <c r="T236" t="s">
        <v>6</v>
      </c>
      <c r="U236" s="8">
        <v>304.7</v>
      </c>
      <c r="V236" t="s">
        <v>6</v>
      </c>
      <c r="W236" s="8">
        <v>126.886</v>
      </c>
      <c r="X236" t="s">
        <v>6</v>
      </c>
      <c r="Y236" s="8">
        <v>213.30500000000001</v>
      </c>
      <c r="Z236" t="s">
        <v>6</v>
      </c>
      <c r="AA236" s="8">
        <v>104.1</v>
      </c>
      <c r="AB236" t="s">
        <v>6</v>
      </c>
      <c r="AC236" s="8">
        <v>97.679000000000002</v>
      </c>
      <c r="AD236" t="s">
        <v>6</v>
      </c>
      <c r="AE236" s="8">
        <v>127.25</v>
      </c>
      <c r="AF236" t="s">
        <v>6</v>
      </c>
      <c r="AG236" s="8">
        <v>124.44</v>
      </c>
      <c r="AH236" t="s">
        <v>6</v>
      </c>
      <c r="AI236" s="8">
        <v>169.79</v>
      </c>
      <c r="AJ236" t="s">
        <v>6</v>
      </c>
      <c r="AK236" s="8">
        <v>19938.2</v>
      </c>
      <c r="AL236" t="s">
        <v>6</v>
      </c>
    </row>
    <row r="237" spans="1:40" x14ac:dyDescent="0.2">
      <c r="A237" s="7" t="s">
        <v>53</v>
      </c>
      <c r="B237" t="s">
        <v>6</v>
      </c>
      <c r="C237" s="8">
        <v>115.60299999999999</v>
      </c>
      <c r="D237" s="10">
        <f t="shared" si="35"/>
        <v>0.95623438714907261</v>
      </c>
      <c r="E237" s="8">
        <v>99.86</v>
      </c>
      <c r="F237" s="10">
        <f t="shared" si="34"/>
        <v>0.99338473016662521</v>
      </c>
      <c r="G237" s="8">
        <v>141.79</v>
      </c>
      <c r="H237" t="s">
        <v>6</v>
      </c>
      <c r="I237" s="8">
        <v>97.471599999999995</v>
      </c>
      <c r="J237" t="s">
        <v>6</v>
      </c>
      <c r="K237" s="8">
        <v>96.325999999999993</v>
      </c>
      <c r="L237" t="s">
        <v>6</v>
      </c>
      <c r="M237" s="8">
        <v>100.98699999999999</v>
      </c>
      <c r="N237" t="s">
        <v>6</v>
      </c>
      <c r="O237" s="8">
        <v>105.417</v>
      </c>
      <c r="P237" t="s">
        <v>6</v>
      </c>
      <c r="Q237" s="8">
        <v>111.1</v>
      </c>
      <c r="R237" t="s">
        <v>6</v>
      </c>
      <c r="S237" s="8">
        <v>131.65</v>
      </c>
      <c r="T237" t="s">
        <v>6</v>
      </c>
      <c r="U237" s="8">
        <v>305.7</v>
      </c>
      <c r="V237" t="s">
        <v>6</v>
      </c>
      <c r="W237" s="8">
        <v>127.51300000000001</v>
      </c>
      <c r="X237" t="s">
        <v>6</v>
      </c>
      <c r="Y237" s="8">
        <v>213.07499999999999</v>
      </c>
      <c r="Z237" t="s">
        <v>6</v>
      </c>
      <c r="AA237" s="8">
        <v>104.4</v>
      </c>
      <c r="AB237" t="s">
        <v>6</v>
      </c>
      <c r="AC237" s="8">
        <v>97.936999999999998</v>
      </c>
      <c r="AD237" t="s">
        <v>6</v>
      </c>
      <c r="AE237" s="8">
        <v>128.1</v>
      </c>
      <c r="AF237" t="s">
        <v>6</v>
      </c>
      <c r="AG237" s="8">
        <v>125.15</v>
      </c>
      <c r="AH237" t="s">
        <v>6</v>
      </c>
      <c r="AI237" s="8">
        <v>171.1</v>
      </c>
      <c r="AJ237" t="s">
        <v>6</v>
      </c>
      <c r="AK237" s="8">
        <v>23736.3</v>
      </c>
      <c r="AL237" t="s">
        <v>6</v>
      </c>
    </row>
    <row r="238" spans="1:40" x14ac:dyDescent="0.2">
      <c r="A238" s="7" t="s">
        <v>54</v>
      </c>
      <c r="B238" t="s">
        <v>6</v>
      </c>
      <c r="C238" s="8">
        <v>117.96599999999999</v>
      </c>
      <c r="D238" s="10">
        <f t="shared" si="35"/>
        <v>0.97578043575363527</v>
      </c>
      <c r="E238" s="8">
        <v>100.66</v>
      </c>
      <c r="F238" s="10">
        <f t="shared" si="34"/>
        <v>1.0013429495150459</v>
      </c>
      <c r="G238" s="8">
        <v>142.01</v>
      </c>
      <c r="H238" t="s">
        <v>6</v>
      </c>
      <c r="I238" s="8">
        <v>97.32</v>
      </c>
      <c r="J238" t="s">
        <v>6</v>
      </c>
      <c r="K238" s="8">
        <v>96.361000000000004</v>
      </c>
      <c r="L238" t="s">
        <v>6</v>
      </c>
      <c r="M238" s="8">
        <v>101.239</v>
      </c>
      <c r="N238" t="s">
        <v>6</v>
      </c>
      <c r="O238" s="8">
        <v>105.256</v>
      </c>
      <c r="P238" t="s">
        <v>6</v>
      </c>
      <c r="Q238" s="8">
        <v>111.22</v>
      </c>
      <c r="R238" t="s">
        <v>6</v>
      </c>
      <c r="S238" s="8">
        <v>130.93</v>
      </c>
      <c r="T238" t="s">
        <v>6</v>
      </c>
      <c r="U238" s="8">
        <v>305.7</v>
      </c>
      <c r="V238" t="s">
        <v>6</v>
      </c>
      <c r="W238" s="8">
        <v>127.91200000000001</v>
      </c>
      <c r="X238" t="s">
        <v>6</v>
      </c>
      <c r="Y238" s="8">
        <v>214.18899999999999</v>
      </c>
      <c r="Z238" t="s">
        <v>6</v>
      </c>
      <c r="AA238" s="8">
        <v>104.7</v>
      </c>
      <c r="AB238" t="s">
        <v>6</v>
      </c>
      <c r="AC238" s="8">
        <v>98.259</v>
      </c>
      <c r="AD238" t="s">
        <v>6</v>
      </c>
      <c r="AE238" s="8">
        <v>128.08000000000001</v>
      </c>
      <c r="AF238" t="s">
        <v>6</v>
      </c>
      <c r="AG238" s="8">
        <v>125.95</v>
      </c>
      <c r="AH238" t="s">
        <v>6</v>
      </c>
      <c r="AI238" s="8">
        <v>172.02</v>
      </c>
      <c r="AJ238" t="s">
        <v>6</v>
      </c>
      <c r="AK238" s="8">
        <v>29921.9</v>
      </c>
      <c r="AL238" t="s">
        <v>6</v>
      </c>
    </row>
    <row r="239" spans="1:40" x14ac:dyDescent="0.2">
      <c r="A239" s="7" t="s">
        <v>55</v>
      </c>
      <c r="B239" t="s">
        <v>6</v>
      </c>
      <c r="C239" s="8">
        <v>119.499</v>
      </c>
      <c r="D239" s="10">
        <f t="shared" si="35"/>
        <v>0.98846096580475451</v>
      </c>
      <c r="E239" s="8">
        <v>100.44199999999999</v>
      </c>
      <c r="F239" s="10">
        <f t="shared" si="34"/>
        <v>0.9991743347426012</v>
      </c>
      <c r="G239" s="8">
        <v>142.61000000000001</v>
      </c>
      <c r="H239" t="s">
        <v>6</v>
      </c>
      <c r="I239" s="8">
        <v>97.892899999999997</v>
      </c>
      <c r="J239" t="s">
        <v>6</v>
      </c>
      <c r="K239" s="8">
        <v>96.376999999999995</v>
      </c>
      <c r="L239" t="s">
        <v>6</v>
      </c>
      <c r="M239" s="8">
        <v>101.801</v>
      </c>
      <c r="N239" t="s">
        <v>6</v>
      </c>
      <c r="O239" s="8">
        <v>105.10299999999999</v>
      </c>
      <c r="P239" t="s">
        <v>6</v>
      </c>
      <c r="Q239" s="8">
        <v>111.36</v>
      </c>
      <c r="R239" t="s">
        <v>6</v>
      </c>
      <c r="S239" s="8">
        <v>131.63999999999999</v>
      </c>
      <c r="T239" t="s">
        <v>6</v>
      </c>
      <c r="U239" s="8">
        <v>306.60000000000002</v>
      </c>
      <c r="V239" t="s">
        <v>6</v>
      </c>
      <c r="W239" s="8">
        <v>128.71700000000001</v>
      </c>
      <c r="X239" t="s">
        <v>6</v>
      </c>
      <c r="Y239" s="8">
        <v>215.393</v>
      </c>
      <c r="Z239" t="s">
        <v>6</v>
      </c>
      <c r="AA239" s="8">
        <v>104.5</v>
      </c>
      <c r="AB239" t="s">
        <v>6</v>
      </c>
      <c r="AC239" s="8">
        <v>98.775000000000006</v>
      </c>
      <c r="AD239" t="s">
        <v>6</v>
      </c>
      <c r="AE239" s="8">
        <v>127.48</v>
      </c>
      <c r="AF239" t="s">
        <v>6</v>
      </c>
      <c r="AG239" s="8">
        <v>125.95</v>
      </c>
      <c r="AH239" t="s">
        <v>6</v>
      </c>
      <c r="AI239" s="8">
        <v>172.81</v>
      </c>
      <c r="AJ239" t="s">
        <v>6</v>
      </c>
      <c r="AK239" s="8">
        <v>39473.9</v>
      </c>
      <c r="AL239" t="s">
        <v>6</v>
      </c>
    </row>
    <row r="240" spans="1:40" x14ac:dyDescent="0.2">
      <c r="A240" s="7" t="s">
        <v>56</v>
      </c>
      <c r="B240" t="s">
        <v>6</v>
      </c>
      <c r="C240" s="8">
        <v>120.89400000000001</v>
      </c>
      <c r="D240" s="10">
        <f t="shared" si="35"/>
        <v>1</v>
      </c>
      <c r="E240" s="8">
        <v>100.52500000000001</v>
      </c>
      <c r="F240" s="10">
        <f t="shared" si="34"/>
        <v>1</v>
      </c>
      <c r="G240" s="8">
        <v>143.01</v>
      </c>
      <c r="H240" t="s">
        <v>6</v>
      </c>
      <c r="I240" s="8">
        <v>97.977099999999993</v>
      </c>
      <c r="J240" t="s">
        <v>6</v>
      </c>
      <c r="K240" s="8">
        <v>96.55</v>
      </c>
      <c r="L240" t="s">
        <v>6</v>
      </c>
      <c r="M240" s="8">
        <v>101.965</v>
      </c>
      <c r="N240" t="s">
        <v>6</v>
      </c>
      <c r="O240" s="8">
        <v>104.816</v>
      </c>
      <c r="P240" t="s">
        <v>6</v>
      </c>
      <c r="Q240" s="8">
        <v>111.62</v>
      </c>
      <c r="R240" t="s">
        <v>6</v>
      </c>
      <c r="S240" s="8">
        <v>132.77000000000001</v>
      </c>
      <c r="T240" t="s">
        <v>6</v>
      </c>
      <c r="U240" s="8">
        <v>308.10000000000002</v>
      </c>
      <c r="V240" t="s">
        <v>6</v>
      </c>
      <c r="W240" s="8">
        <v>130.04400000000001</v>
      </c>
      <c r="X240" t="s">
        <v>6</v>
      </c>
      <c r="Y240" s="8">
        <v>217.76</v>
      </c>
      <c r="Z240" t="s">
        <v>6</v>
      </c>
      <c r="AA240" s="8">
        <v>104.3</v>
      </c>
      <c r="AB240" t="s">
        <v>6</v>
      </c>
      <c r="AC240" s="8">
        <v>99.483999999999995</v>
      </c>
      <c r="AD240" t="s">
        <v>6</v>
      </c>
      <c r="AE240" s="8">
        <v>127.23</v>
      </c>
      <c r="AF240" t="s">
        <v>6</v>
      </c>
      <c r="AG240" s="8">
        <v>126.91</v>
      </c>
      <c r="AH240" t="s">
        <v>6</v>
      </c>
      <c r="AI240" s="8">
        <v>173.39</v>
      </c>
      <c r="AJ240" t="s">
        <v>6</v>
      </c>
      <c r="AK240" s="8">
        <v>54611</v>
      </c>
      <c r="AL240" t="s">
        <v>6</v>
      </c>
    </row>
    <row r="241" spans="1:40" x14ac:dyDescent="0.2">
      <c r="A241" s="7" t="s">
        <v>57</v>
      </c>
      <c r="B241" t="s">
        <v>6</v>
      </c>
      <c r="C241" s="8">
        <v>125.039</v>
      </c>
      <c r="D241" s="10">
        <f t="shared" si="35"/>
        <v>1.034286234221715</v>
      </c>
      <c r="E241" s="8">
        <v>100.86</v>
      </c>
      <c r="F241" s="10">
        <f t="shared" si="34"/>
        <v>1.003332504352151</v>
      </c>
      <c r="G241" s="8">
        <v>143.63999999999999</v>
      </c>
      <c r="H241" t="s">
        <v>6</v>
      </c>
      <c r="I241" s="8">
        <v>98.120400000000004</v>
      </c>
      <c r="J241" t="s">
        <v>6</v>
      </c>
      <c r="K241" s="8">
        <v>96.92</v>
      </c>
      <c r="L241" t="s">
        <v>6</v>
      </c>
      <c r="M241" s="8">
        <v>102.446</v>
      </c>
      <c r="N241" t="s">
        <v>6</v>
      </c>
      <c r="O241" s="8">
        <v>105.004</v>
      </c>
      <c r="P241" t="s">
        <v>6</v>
      </c>
      <c r="Q241" s="8">
        <v>111.81</v>
      </c>
      <c r="R241" t="s">
        <v>6</v>
      </c>
      <c r="S241" s="8">
        <v>134.03</v>
      </c>
      <c r="T241" t="s">
        <v>6</v>
      </c>
      <c r="U241" s="8">
        <v>310.10000000000002</v>
      </c>
      <c r="V241" t="s">
        <v>6</v>
      </c>
      <c r="W241" s="8">
        <v>130.81299999999999</v>
      </c>
      <c r="X241" t="s">
        <v>6</v>
      </c>
      <c r="Y241" s="8">
        <v>220.03100000000001</v>
      </c>
      <c r="Z241" t="s">
        <v>6</v>
      </c>
      <c r="AA241" s="8">
        <v>104.5</v>
      </c>
      <c r="AB241" t="s">
        <v>6</v>
      </c>
      <c r="AC241" s="8">
        <v>100</v>
      </c>
      <c r="AD241" t="s">
        <v>6</v>
      </c>
      <c r="AE241" s="8">
        <v>127.43</v>
      </c>
      <c r="AF241" t="s">
        <v>6</v>
      </c>
      <c r="AG241" s="8">
        <v>128.13999999999999</v>
      </c>
      <c r="AH241" t="s">
        <v>6</v>
      </c>
      <c r="AI241" s="8">
        <v>172.86</v>
      </c>
      <c r="AJ241" t="s">
        <v>6</v>
      </c>
      <c r="AK241" s="8">
        <v>84970.3</v>
      </c>
      <c r="AL241" t="s">
        <v>6</v>
      </c>
    </row>
    <row r="242" spans="1:40" x14ac:dyDescent="0.2">
      <c r="A242" s="7" t="s">
        <v>77</v>
      </c>
      <c r="B242" t="s">
        <v>6</v>
      </c>
      <c r="C242" t="s">
        <v>45</v>
      </c>
      <c r="D242" s="11">
        <f>SUM(D243:D254)</f>
        <v>10.168093158986341</v>
      </c>
      <c r="E242" t="s">
        <v>45</v>
      </c>
      <c r="F242" s="11">
        <f>SUM(F243:F254)</f>
        <v>11.947044986768599</v>
      </c>
      <c r="G242" t="s">
        <v>45</v>
      </c>
      <c r="H242" t="s">
        <v>6</v>
      </c>
      <c r="I242" t="s">
        <v>45</v>
      </c>
      <c r="J242" t="s">
        <v>6</v>
      </c>
      <c r="K242" t="s">
        <v>45</v>
      </c>
      <c r="L242" t="s">
        <v>6</v>
      </c>
      <c r="M242" t="s">
        <v>45</v>
      </c>
      <c r="N242" t="s">
        <v>6</v>
      </c>
      <c r="O242" t="s">
        <v>45</v>
      </c>
      <c r="P242" t="s">
        <v>6</v>
      </c>
      <c r="Q242" t="s">
        <v>45</v>
      </c>
      <c r="R242" t="s">
        <v>6</v>
      </c>
      <c r="S242" t="s">
        <v>45</v>
      </c>
      <c r="T242" t="s">
        <v>6</v>
      </c>
      <c r="U242" t="s">
        <v>45</v>
      </c>
      <c r="V242" t="s">
        <v>6</v>
      </c>
      <c r="W242" t="s">
        <v>45</v>
      </c>
      <c r="X242" t="s">
        <v>6</v>
      </c>
      <c r="Y242" t="s">
        <v>45</v>
      </c>
      <c r="Z242" t="s">
        <v>6</v>
      </c>
      <c r="AA242" t="s">
        <v>45</v>
      </c>
      <c r="AB242" t="s">
        <v>6</v>
      </c>
      <c r="AC242" t="s">
        <v>45</v>
      </c>
      <c r="AD242" t="s">
        <v>6</v>
      </c>
      <c r="AE242" t="s">
        <v>45</v>
      </c>
      <c r="AF242" t="s">
        <v>6</v>
      </c>
      <c r="AG242" t="s">
        <v>45</v>
      </c>
      <c r="AH242" t="s">
        <v>6</v>
      </c>
      <c r="AI242" t="s">
        <v>45</v>
      </c>
      <c r="AJ242" t="s">
        <v>6</v>
      </c>
      <c r="AK242" t="s">
        <v>45</v>
      </c>
      <c r="AL242" t="s">
        <v>6</v>
      </c>
      <c r="AM242" t="s">
        <v>45</v>
      </c>
      <c r="AN242" t="s">
        <v>6</v>
      </c>
    </row>
    <row r="243" spans="1:40" x14ac:dyDescent="0.2">
      <c r="A243" s="7" t="s">
        <v>46</v>
      </c>
      <c r="B243" t="s">
        <v>6</v>
      </c>
      <c r="C243" s="8">
        <v>127.015</v>
      </c>
      <c r="D243" s="10">
        <f>C243/C$253</f>
        <v>0.71006893004690375</v>
      </c>
      <c r="E243" s="8">
        <v>101.17</v>
      </c>
      <c r="F243" s="10">
        <f t="shared" ref="F243:F254" si="36">E243/E$253</f>
        <v>0.99157110653729297</v>
      </c>
      <c r="G243" s="8">
        <v>144.06</v>
      </c>
      <c r="H243" t="s">
        <v>6</v>
      </c>
      <c r="I243" s="8">
        <v>98.575000000000003</v>
      </c>
      <c r="J243" t="s">
        <v>6</v>
      </c>
      <c r="K243" s="8">
        <v>97.528999999999996</v>
      </c>
      <c r="L243" t="s">
        <v>6</v>
      </c>
      <c r="M243" s="8">
        <v>102.86199999999999</v>
      </c>
      <c r="N243" t="s">
        <v>6</v>
      </c>
      <c r="O243" s="8">
        <v>105.20399999999999</v>
      </c>
      <c r="P243" t="s">
        <v>6</v>
      </c>
      <c r="Q243" s="8">
        <v>111.96</v>
      </c>
      <c r="R243" t="s">
        <v>6</v>
      </c>
      <c r="S243" s="8">
        <v>133.5</v>
      </c>
      <c r="T243" t="s">
        <v>6</v>
      </c>
      <c r="U243" s="8">
        <v>311</v>
      </c>
      <c r="V243" t="s">
        <v>6</v>
      </c>
      <c r="W243" s="8">
        <v>98.795000000000002</v>
      </c>
      <c r="X243" t="s">
        <v>6</v>
      </c>
      <c r="Y243" s="8">
        <v>220.90299999999999</v>
      </c>
      <c r="Z243" t="s">
        <v>6</v>
      </c>
      <c r="AA243" s="8">
        <v>104.7</v>
      </c>
      <c r="AB243" t="s">
        <v>6</v>
      </c>
      <c r="AC243" s="8">
        <v>100.8</v>
      </c>
      <c r="AD243" t="s">
        <v>6</v>
      </c>
      <c r="AE243" s="8">
        <v>127.59</v>
      </c>
      <c r="AF243" t="s">
        <v>6</v>
      </c>
      <c r="AG243" s="8">
        <v>128.51</v>
      </c>
      <c r="AH243" t="s">
        <v>6</v>
      </c>
      <c r="AI243" s="8">
        <v>177.55</v>
      </c>
      <c r="AJ243" t="s">
        <v>6</v>
      </c>
      <c r="AK243" s="8">
        <v>141060.9</v>
      </c>
      <c r="AL243" t="s">
        <v>6</v>
      </c>
    </row>
    <row r="244" spans="1:40" x14ac:dyDescent="0.2">
      <c r="A244" s="7" t="s">
        <v>47</v>
      </c>
      <c r="B244" t="s">
        <v>6</v>
      </c>
      <c r="C244" s="8">
        <v>130.291</v>
      </c>
      <c r="D244" s="10">
        <f>C244/C$253</f>
        <v>0.72838319068410129</v>
      </c>
      <c r="E244" s="8">
        <v>101.49</v>
      </c>
      <c r="F244" s="10">
        <f t="shared" si="36"/>
        <v>0.99470743898853275</v>
      </c>
      <c r="G244" s="8">
        <v>144.52000000000001</v>
      </c>
      <c r="H244" t="s">
        <v>6</v>
      </c>
      <c r="I244" s="8">
        <v>98.617000000000004</v>
      </c>
      <c r="J244" t="s">
        <v>6</v>
      </c>
      <c r="K244" s="8">
        <v>98.218999999999994</v>
      </c>
      <c r="L244" t="s">
        <v>6</v>
      </c>
      <c r="M244" s="8">
        <v>103.07899999999999</v>
      </c>
      <c r="N244" t="s">
        <v>6</v>
      </c>
      <c r="O244" s="8">
        <v>105.36499999999999</v>
      </c>
      <c r="P244" t="s">
        <v>6</v>
      </c>
      <c r="Q244" s="8">
        <v>112.05</v>
      </c>
      <c r="R244" t="s">
        <v>6</v>
      </c>
      <c r="S244" s="8">
        <v>133.22999999999999</v>
      </c>
      <c r="T244" t="s">
        <v>6</v>
      </c>
      <c r="U244" s="8">
        <v>313</v>
      </c>
      <c r="V244" t="s">
        <v>6</v>
      </c>
      <c r="W244" s="8">
        <v>99.171000000000006</v>
      </c>
      <c r="X244" t="s">
        <v>6</v>
      </c>
      <c r="Y244" s="8">
        <v>221.44399999999999</v>
      </c>
      <c r="Z244" t="s">
        <v>6</v>
      </c>
      <c r="AA244" s="8">
        <v>105</v>
      </c>
      <c r="AB244" t="s">
        <v>6</v>
      </c>
      <c r="AC244" s="8">
        <v>101.1</v>
      </c>
      <c r="AD244" t="s">
        <v>6</v>
      </c>
      <c r="AE244" s="8">
        <v>127.91</v>
      </c>
      <c r="AF244" t="s">
        <v>6</v>
      </c>
      <c r="AG244" s="8">
        <v>128.37</v>
      </c>
      <c r="AH244" t="s">
        <v>6</v>
      </c>
      <c r="AI244" s="8">
        <v>179.11</v>
      </c>
      <c r="AJ244" t="s">
        <v>6</v>
      </c>
      <c r="AK244" s="8">
        <v>204074.2</v>
      </c>
      <c r="AL244" t="s">
        <v>6</v>
      </c>
    </row>
    <row r="245" spans="1:40" x14ac:dyDescent="0.2">
      <c r="A245" s="7" t="s">
        <v>48</v>
      </c>
      <c r="B245" t="s">
        <v>6</v>
      </c>
      <c r="C245" s="8">
        <v>133.50299999999999</v>
      </c>
      <c r="D245" s="10">
        <f t="shared" ref="D243:D254" si="37">C245/C$253</f>
        <v>0.74633966356770287</v>
      </c>
      <c r="E245" s="8">
        <v>101.36</v>
      </c>
      <c r="F245" s="10">
        <f t="shared" si="36"/>
        <v>0.99343330393021656</v>
      </c>
      <c r="G245" s="8">
        <v>144.65</v>
      </c>
      <c r="H245" t="s">
        <v>6</v>
      </c>
      <c r="I245" s="8">
        <v>98.82</v>
      </c>
      <c r="J245" t="s">
        <v>6</v>
      </c>
      <c r="K245" s="8">
        <v>98.454999999999998</v>
      </c>
      <c r="L245" t="s">
        <v>6</v>
      </c>
      <c r="M245" s="8">
        <v>103.047</v>
      </c>
      <c r="N245" t="s">
        <v>6</v>
      </c>
      <c r="O245" s="8">
        <v>105.432</v>
      </c>
      <c r="P245" t="s">
        <v>6</v>
      </c>
      <c r="Q245" s="8">
        <v>111.93</v>
      </c>
      <c r="R245" t="s">
        <v>6</v>
      </c>
      <c r="S245" s="8">
        <v>133.54</v>
      </c>
      <c r="T245" t="s">
        <v>6</v>
      </c>
      <c r="U245" s="8">
        <v>314.10000000000002</v>
      </c>
      <c r="V245" t="s">
        <v>6</v>
      </c>
      <c r="W245" s="8">
        <v>99.492000000000004</v>
      </c>
      <c r="X245" t="s">
        <v>6</v>
      </c>
      <c r="Y245" s="8">
        <v>221.68899999999999</v>
      </c>
      <c r="Z245" t="s">
        <v>6</v>
      </c>
      <c r="AA245" s="8">
        <v>105.1</v>
      </c>
      <c r="AB245" t="s">
        <v>6</v>
      </c>
      <c r="AC245" s="8">
        <v>101.1</v>
      </c>
      <c r="AD245" t="s">
        <v>6</v>
      </c>
      <c r="AE245" s="8">
        <v>128.54</v>
      </c>
      <c r="AF245" t="s">
        <v>6</v>
      </c>
      <c r="AG245" s="8">
        <v>128.85</v>
      </c>
      <c r="AH245" t="s">
        <v>6</v>
      </c>
      <c r="AI245" s="8">
        <v>179.61</v>
      </c>
      <c r="AJ245" t="s">
        <v>6</v>
      </c>
      <c r="AK245" s="8">
        <v>287622.2</v>
      </c>
      <c r="AL245" t="s">
        <v>6</v>
      </c>
    </row>
    <row r="246" spans="1:40" x14ac:dyDescent="0.2">
      <c r="A246" s="7" t="s">
        <v>49</v>
      </c>
      <c r="B246" t="s">
        <v>6</v>
      </c>
      <c r="C246" s="8">
        <v>136.93799999999999</v>
      </c>
      <c r="D246" s="10">
        <f t="shared" si="37"/>
        <v>0.76554280315524059</v>
      </c>
      <c r="E246" s="8">
        <v>101.22</v>
      </c>
      <c r="F246" s="10">
        <f t="shared" si="36"/>
        <v>0.99206115848279919</v>
      </c>
      <c r="G246" s="8">
        <v>144.97</v>
      </c>
      <c r="H246" t="s">
        <v>6</v>
      </c>
      <c r="I246" s="8">
        <v>99.131</v>
      </c>
      <c r="J246" t="s">
        <v>6</v>
      </c>
      <c r="K246" s="8">
        <v>98.91</v>
      </c>
      <c r="L246" t="s">
        <v>6</v>
      </c>
      <c r="M246" s="8">
        <v>102.965</v>
      </c>
      <c r="N246" t="s">
        <v>6</v>
      </c>
      <c r="O246" s="8">
        <v>105.286</v>
      </c>
      <c r="P246" t="s">
        <v>6</v>
      </c>
      <c r="Q246" s="8">
        <v>111.97</v>
      </c>
      <c r="R246" t="s">
        <v>6</v>
      </c>
      <c r="S246" s="8">
        <v>133.6</v>
      </c>
      <c r="T246" t="s">
        <v>6</v>
      </c>
      <c r="U246" s="8">
        <v>314.8</v>
      </c>
      <c r="V246" t="s">
        <v>6</v>
      </c>
      <c r="W246" s="8">
        <v>99.153999999999996</v>
      </c>
      <c r="X246" t="s">
        <v>6</v>
      </c>
      <c r="Y246" s="8">
        <v>222.07</v>
      </c>
      <c r="Z246" t="s">
        <v>6</v>
      </c>
      <c r="AA246" s="8">
        <v>105.3</v>
      </c>
      <c r="AB246" t="s">
        <v>6</v>
      </c>
      <c r="AC246" s="8">
        <v>101.1</v>
      </c>
      <c r="AD246" t="s">
        <v>6</v>
      </c>
      <c r="AE246" s="8">
        <v>128.36000000000001</v>
      </c>
      <c r="AF246" t="s">
        <v>6</v>
      </c>
      <c r="AG246" s="8">
        <v>129.36000000000001</v>
      </c>
      <c r="AH246" t="s">
        <v>6</v>
      </c>
      <c r="AI246" s="8">
        <v>179.73</v>
      </c>
      <c r="AJ246" t="s">
        <v>6</v>
      </c>
      <c r="AK246" s="8">
        <v>448124</v>
      </c>
      <c r="AL246" t="s">
        <v>6</v>
      </c>
    </row>
    <row r="247" spans="1:40" x14ac:dyDescent="0.2">
      <c r="A247" s="7" t="s">
        <v>50</v>
      </c>
      <c r="B247" t="s">
        <v>6</v>
      </c>
      <c r="C247" s="8">
        <v>139.58000000000001</v>
      </c>
      <c r="D247" s="10">
        <f t="shared" si="37"/>
        <v>0.78031272885837755</v>
      </c>
      <c r="E247" s="8">
        <v>101.34</v>
      </c>
      <c r="F247" s="10">
        <f t="shared" si="36"/>
        <v>0.99323728315201409</v>
      </c>
      <c r="G247" s="8">
        <v>145.55000000000001</v>
      </c>
      <c r="H247" t="s">
        <v>6</v>
      </c>
      <c r="I247" s="8">
        <v>99.409000000000006</v>
      </c>
      <c r="J247" t="s">
        <v>6</v>
      </c>
      <c r="K247" s="8">
        <v>99.162000000000006</v>
      </c>
      <c r="L247" t="s">
        <v>6</v>
      </c>
      <c r="M247" s="8">
        <v>102.851</v>
      </c>
      <c r="N247" t="s">
        <v>6</v>
      </c>
      <c r="O247" s="8">
        <v>105.09399999999999</v>
      </c>
      <c r="P247" t="s">
        <v>6</v>
      </c>
      <c r="Q247" s="8">
        <v>112.11</v>
      </c>
      <c r="R247" t="s">
        <v>6</v>
      </c>
      <c r="S247" s="8">
        <v>134.22999999999999</v>
      </c>
      <c r="T247" t="s">
        <v>6</v>
      </c>
      <c r="U247" s="8">
        <v>315.10000000000002</v>
      </c>
      <c r="V247" t="s">
        <v>6</v>
      </c>
      <c r="W247" s="8">
        <v>98.994</v>
      </c>
      <c r="X247" t="s">
        <v>6</v>
      </c>
      <c r="Y247" s="8">
        <v>223.26599999999999</v>
      </c>
      <c r="Z247" t="s">
        <v>6</v>
      </c>
      <c r="AA247" s="8">
        <v>105.3</v>
      </c>
      <c r="AB247" t="s">
        <v>6</v>
      </c>
      <c r="AC247" s="8">
        <v>101.2</v>
      </c>
      <c r="AD247" t="s">
        <v>6</v>
      </c>
      <c r="AE247" s="8">
        <v>128.38</v>
      </c>
      <c r="AF247" t="s">
        <v>6</v>
      </c>
      <c r="AG247" s="8">
        <v>129.69999999999999</v>
      </c>
      <c r="AH247" t="s">
        <v>6</v>
      </c>
      <c r="AI247" s="8">
        <v>181.19</v>
      </c>
      <c r="AJ247" t="s">
        <v>6</v>
      </c>
      <c r="AK247" s="8">
        <v>942481</v>
      </c>
      <c r="AL247" t="s">
        <v>6</v>
      </c>
    </row>
    <row r="248" spans="1:40" x14ac:dyDescent="0.2">
      <c r="A248" s="7" t="s">
        <v>51</v>
      </c>
      <c r="B248" t="s">
        <v>6</v>
      </c>
      <c r="C248" s="8">
        <v>145.05799999999999</v>
      </c>
      <c r="D248" s="10">
        <f t="shared" si="37"/>
        <v>0.81093712439273902</v>
      </c>
      <c r="E248" s="8">
        <v>101.45</v>
      </c>
      <c r="F248" s="10">
        <f t="shared" si="36"/>
        <v>0.99431539743212782</v>
      </c>
      <c r="G248" s="8">
        <v>147.38</v>
      </c>
      <c r="H248" t="s">
        <v>6</v>
      </c>
      <c r="I248" s="8">
        <v>99.510999999999996</v>
      </c>
      <c r="J248" t="s">
        <v>6</v>
      </c>
      <c r="K248" s="8">
        <v>99.314999999999998</v>
      </c>
      <c r="L248" t="s">
        <v>6</v>
      </c>
      <c r="M248" s="8">
        <v>103.033</v>
      </c>
      <c r="N248" t="s">
        <v>6</v>
      </c>
      <c r="O248" s="8">
        <v>104.80500000000001</v>
      </c>
      <c r="P248" t="s">
        <v>6</v>
      </c>
      <c r="Q248" s="8">
        <v>112.26</v>
      </c>
      <c r="R248" t="s">
        <v>6</v>
      </c>
      <c r="S248" s="8">
        <v>135</v>
      </c>
      <c r="T248" t="s">
        <v>6</v>
      </c>
      <c r="U248" s="8">
        <v>316.39999999999998</v>
      </c>
      <c r="V248" t="s">
        <v>6</v>
      </c>
      <c r="W248" s="8">
        <v>99.376000000000005</v>
      </c>
      <c r="X248" t="s">
        <v>6</v>
      </c>
      <c r="Y248" s="8">
        <v>224.012</v>
      </c>
      <c r="Z248" t="s">
        <v>6</v>
      </c>
      <c r="AA248" s="8">
        <v>105.5</v>
      </c>
      <c r="AB248" t="s">
        <v>6</v>
      </c>
      <c r="AC248" s="8">
        <v>101.9</v>
      </c>
      <c r="AD248" t="s">
        <v>6</v>
      </c>
      <c r="AE248" s="8">
        <v>128.81</v>
      </c>
      <c r="AF248" t="s">
        <v>6</v>
      </c>
      <c r="AG248" s="8">
        <v>129.97</v>
      </c>
      <c r="AH248" t="s">
        <v>6</v>
      </c>
      <c r="AI248" s="8">
        <v>182.98</v>
      </c>
      <c r="AJ248" t="s">
        <v>6</v>
      </c>
      <c r="AK248" s="8">
        <v>1853869.6</v>
      </c>
      <c r="AL248" t="s">
        <v>6</v>
      </c>
    </row>
    <row r="249" spans="1:40" x14ac:dyDescent="0.2">
      <c r="A249" s="7" t="s">
        <v>52</v>
      </c>
      <c r="B249" t="s">
        <v>6</v>
      </c>
      <c r="C249" s="8">
        <v>149.11799999999999</v>
      </c>
      <c r="D249" s="10">
        <f t="shared" si="37"/>
        <v>0.83363428501148829</v>
      </c>
      <c r="E249" s="8">
        <v>101.5</v>
      </c>
      <c r="F249" s="10">
        <f t="shared" si="36"/>
        <v>0.99480544937763404</v>
      </c>
      <c r="G249" s="8">
        <v>147.87</v>
      </c>
      <c r="H249" t="s">
        <v>6</v>
      </c>
      <c r="I249" s="8">
        <v>99.864000000000004</v>
      </c>
      <c r="J249" t="s">
        <v>6</v>
      </c>
      <c r="K249" s="8">
        <v>99.188999999999993</v>
      </c>
      <c r="L249" t="s">
        <v>6</v>
      </c>
      <c r="M249" s="8">
        <v>103.318</v>
      </c>
      <c r="N249" t="s">
        <v>6</v>
      </c>
      <c r="O249" s="8">
        <v>104.801</v>
      </c>
      <c r="P249" t="s">
        <v>6</v>
      </c>
      <c r="Q249" s="8">
        <v>112.42</v>
      </c>
      <c r="R249" t="s">
        <v>6</v>
      </c>
      <c r="S249" s="8">
        <v>135.47999999999999</v>
      </c>
      <c r="T249" t="s">
        <v>6</v>
      </c>
      <c r="U249" s="8">
        <v>317.60000000000002</v>
      </c>
      <c r="V249" t="s">
        <v>6</v>
      </c>
      <c r="W249" s="8">
        <v>99.909000000000006</v>
      </c>
      <c r="X249" t="s">
        <v>6</v>
      </c>
      <c r="Y249" s="8">
        <v>224.14500000000001</v>
      </c>
      <c r="Z249" t="s">
        <v>6</v>
      </c>
      <c r="AA249" s="8">
        <v>105.5</v>
      </c>
      <c r="AB249" t="s">
        <v>6</v>
      </c>
      <c r="AC249" s="8">
        <v>101.6</v>
      </c>
      <c r="AD249" t="s">
        <v>6</v>
      </c>
      <c r="AE249" s="8">
        <v>129.31</v>
      </c>
      <c r="AF249" t="s">
        <v>6</v>
      </c>
      <c r="AG249" s="8">
        <v>129.94999999999999</v>
      </c>
      <c r="AH249" t="s">
        <v>6</v>
      </c>
      <c r="AI249" s="8">
        <v>184.07</v>
      </c>
      <c r="AJ249" t="s">
        <v>6</v>
      </c>
      <c r="AK249" s="8">
        <v>3362789.7</v>
      </c>
      <c r="AL249" t="s">
        <v>6</v>
      </c>
    </row>
    <row r="250" spans="1:40" x14ac:dyDescent="0.2">
      <c r="A250" s="7" t="s">
        <v>53</v>
      </c>
      <c r="B250" t="s">
        <v>6</v>
      </c>
      <c r="C250" s="8">
        <v>155.17500000000001</v>
      </c>
      <c r="D250" s="10">
        <f t="shared" si="37"/>
        <v>0.8674955416291642</v>
      </c>
      <c r="E250" s="8">
        <v>101.67</v>
      </c>
      <c r="F250" s="10">
        <f t="shared" si="36"/>
        <v>0.99647162599235517</v>
      </c>
      <c r="G250" s="8">
        <v>147.72999999999999</v>
      </c>
      <c r="H250" t="s">
        <v>6</v>
      </c>
      <c r="I250" s="8">
        <v>100.033</v>
      </c>
      <c r="J250" t="s">
        <v>6</v>
      </c>
      <c r="K250" s="8">
        <v>99.307000000000002</v>
      </c>
      <c r="L250" t="s">
        <v>6</v>
      </c>
      <c r="M250" s="8">
        <v>103.249</v>
      </c>
      <c r="N250" t="s">
        <v>6</v>
      </c>
      <c r="O250" s="8">
        <v>105.084</v>
      </c>
      <c r="P250" t="s">
        <v>6</v>
      </c>
      <c r="Q250" s="8">
        <v>112.71</v>
      </c>
      <c r="R250" t="s">
        <v>6</v>
      </c>
      <c r="S250" s="8">
        <v>136.08000000000001</v>
      </c>
      <c r="T250" t="s">
        <v>6</v>
      </c>
      <c r="U250" s="8">
        <v>319</v>
      </c>
      <c r="V250" t="s">
        <v>6</v>
      </c>
      <c r="W250" s="8">
        <v>100.492</v>
      </c>
      <c r="X250" t="s">
        <v>6</v>
      </c>
      <c r="Y250" s="8">
        <v>223.79599999999999</v>
      </c>
      <c r="Z250" t="s">
        <v>6</v>
      </c>
      <c r="AA250" s="8">
        <v>105.5</v>
      </c>
      <c r="AB250" t="s">
        <v>6</v>
      </c>
      <c r="AC250" s="8">
        <v>101.8</v>
      </c>
      <c r="AD250" t="s">
        <v>6</v>
      </c>
      <c r="AE250" s="8">
        <v>129.47999999999999</v>
      </c>
      <c r="AF250" t="s">
        <v>6</v>
      </c>
      <c r="AG250" s="8">
        <v>129.99</v>
      </c>
      <c r="AH250" t="s">
        <v>6</v>
      </c>
      <c r="AI250" s="8">
        <v>185.31</v>
      </c>
      <c r="AJ250" t="s">
        <v>6</v>
      </c>
      <c r="AK250" s="8">
        <v>5919047.9000000004</v>
      </c>
      <c r="AL250" t="s">
        <v>6</v>
      </c>
    </row>
    <row r="251" spans="1:40" x14ac:dyDescent="0.2">
      <c r="A251" s="7" t="s">
        <v>54</v>
      </c>
      <c r="B251" t="s">
        <v>6</v>
      </c>
      <c r="C251" s="8">
        <v>165.49</v>
      </c>
      <c r="D251" s="10">
        <f t="shared" si="37"/>
        <v>0.92516086472827697</v>
      </c>
      <c r="E251" s="8">
        <v>101.58</v>
      </c>
      <c r="F251" s="10">
        <f t="shared" si="36"/>
        <v>0.99558953249044391</v>
      </c>
      <c r="G251" s="8">
        <v>148.44</v>
      </c>
      <c r="H251" t="s">
        <v>6</v>
      </c>
      <c r="I251" s="8">
        <v>100.378</v>
      </c>
      <c r="J251" t="s">
        <v>6</v>
      </c>
      <c r="K251" s="8">
        <v>99.47</v>
      </c>
      <c r="L251" t="s">
        <v>6</v>
      </c>
      <c r="M251" s="8">
        <v>103.47799999999999</v>
      </c>
      <c r="N251" t="s">
        <v>6</v>
      </c>
      <c r="O251" s="8">
        <v>105.495</v>
      </c>
      <c r="P251" t="s">
        <v>6</v>
      </c>
      <c r="Q251" s="8">
        <v>112.76</v>
      </c>
      <c r="R251" t="s">
        <v>6</v>
      </c>
      <c r="S251" s="8">
        <v>136.88999999999999</v>
      </c>
      <c r="T251" t="s">
        <v>6</v>
      </c>
      <c r="U251" s="8">
        <v>319.10000000000002</v>
      </c>
      <c r="V251" t="s">
        <v>6</v>
      </c>
      <c r="W251" s="8">
        <v>100.917</v>
      </c>
      <c r="X251" t="s">
        <v>6</v>
      </c>
      <c r="Y251" s="8">
        <v>224.523</v>
      </c>
      <c r="Z251" t="s">
        <v>6</v>
      </c>
      <c r="AA251" s="8">
        <v>105.5</v>
      </c>
      <c r="AB251" t="s">
        <v>6</v>
      </c>
      <c r="AC251" s="8">
        <v>102.2</v>
      </c>
      <c r="AD251" t="s">
        <v>6</v>
      </c>
      <c r="AE251" s="8">
        <v>129.72</v>
      </c>
      <c r="AF251" t="s">
        <v>6</v>
      </c>
      <c r="AG251" s="8">
        <v>130.09</v>
      </c>
      <c r="AH251" t="s">
        <v>6</v>
      </c>
      <c r="AI251" s="8">
        <v>186.23</v>
      </c>
      <c r="AJ251" t="s">
        <v>6</v>
      </c>
      <c r="AK251" s="8">
        <v>13479980.5</v>
      </c>
      <c r="AL251" t="s">
        <v>6</v>
      </c>
    </row>
    <row r="252" spans="1:40" x14ac:dyDescent="0.2">
      <c r="A252" s="7" t="s">
        <v>55</v>
      </c>
      <c r="B252" t="s">
        <v>6</v>
      </c>
      <c r="C252" s="8">
        <v>173.85499999999999</v>
      </c>
      <c r="D252" s="10">
        <f t="shared" si="37"/>
        <v>0.97192484221001008</v>
      </c>
      <c r="E252" s="8">
        <v>101.76</v>
      </c>
      <c r="F252" s="10">
        <f t="shared" si="36"/>
        <v>0.99735371949426643</v>
      </c>
      <c r="G252" s="8">
        <v>149.11000000000001</v>
      </c>
      <c r="H252" t="s">
        <v>6</v>
      </c>
      <c r="I252" s="8">
        <v>100.741</v>
      </c>
      <c r="J252" t="s">
        <v>6</v>
      </c>
      <c r="K252" s="8">
        <v>99.587999999999994</v>
      </c>
      <c r="L252" t="s">
        <v>6</v>
      </c>
      <c r="M252" s="8">
        <v>103.864</v>
      </c>
      <c r="N252" t="s">
        <v>6</v>
      </c>
      <c r="O252" s="8">
        <v>105.446</v>
      </c>
      <c r="P252" t="s">
        <v>6</v>
      </c>
      <c r="Q252" s="8">
        <v>113.02</v>
      </c>
      <c r="R252" t="s">
        <v>6</v>
      </c>
      <c r="S252" s="8">
        <v>137.35</v>
      </c>
      <c r="T252" t="s">
        <v>6</v>
      </c>
      <c r="U252" s="8">
        <v>320.89999999999998</v>
      </c>
      <c r="V252" t="s">
        <v>6</v>
      </c>
      <c r="W252" s="8">
        <v>101.44</v>
      </c>
      <c r="X252" t="s">
        <v>6</v>
      </c>
      <c r="Y252" s="8">
        <v>225.667</v>
      </c>
      <c r="Z252" t="s">
        <v>6</v>
      </c>
      <c r="AA252" s="8">
        <v>105.6</v>
      </c>
      <c r="AB252" t="s">
        <v>6</v>
      </c>
      <c r="AC252" s="8">
        <v>102.8</v>
      </c>
      <c r="AD252" t="s">
        <v>6</v>
      </c>
      <c r="AE252" s="8">
        <v>129.83000000000001</v>
      </c>
      <c r="AF252" t="s">
        <v>6</v>
      </c>
      <c r="AG252" s="8">
        <v>130.38</v>
      </c>
      <c r="AH252" t="s">
        <v>6</v>
      </c>
      <c r="AI252" s="8">
        <v>186.66</v>
      </c>
      <c r="AJ252" t="s">
        <v>6</v>
      </c>
      <c r="AK252" s="8">
        <v>25355573.699999999</v>
      </c>
      <c r="AL252" t="s">
        <v>6</v>
      </c>
    </row>
    <row r="253" spans="1:40" x14ac:dyDescent="0.2">
      <c r="A253" s="7" t="s">
        <v>56</v>
      </c>
      <c r="B253" t="s">
        <v>6</v>
      </c>
      <c r="C253" s="8">
        <v>178.87700000000001</v>
      </c>
      <c r="D253" s="10">
        <f t="shared" si="37"/>
        <v>1</v>
      </c>
      <c r="E253" s="8">
        <v>102.03</v>
      </c>
      <c r="F253" s="10">
        <f t="shared" si="36"/>
        <v>1</v>
      </c>
      <c r="G253" s="8">
        <v>148.80000000000001</v>
      </c>
      <c r="H253" t="s">
        <v>6</v>
      </c>
      <c r="I253" s="8">
        <v>100.741</v>
      </c>
      <c r="J253" t="s">
        <v>6</v>
      </c>
      <c r="K253" s="8">
        <v>99.703999999999994</v>
      </c>
      <c r="L253" t="s">
        <v>6</v>
      </c>
      <c r="M253" s="8">
        <v>104.3</v>
      </c>
      <c r="N253" t="s">
        <v>6</v>
      </c>
      <c r="O253" s="8">
        <v>105.179</v>
      </c>
      <c r="P253" t="s">
        <v>6</v>
      </c>
      <c r="Q253" s="8">
        <v>112.82</v>
      </c>
      <c r="R253" t="s">
        <v>6</v>
      </c>
      <c r="S253" s="8">
        <v>136.94999999999999</v>
      </c>
      <c r="T253" t="s">
        <v>6</v>
      </c>
      <c r="U253" s="8">
        <v>322.60000000000002</v>
      </c>
      <c r="V253" t="s">
        <v>6</v>
      </c>
      <c r="W253" s="8">
        <v>102.303</v>
      </c>
      <c r="X253" t="s">
        <v>6</v>
      </c>
      <c r="Y253" s="8">
        <v>226.404</v>
      </c>
      <c r="Z253" t="s">
        <v>6</v>
      </c>
      <c r="AA253" s="8">
        <v>105.1</v>
      </c>
      <c r="AB253" t="s">
        <v>6</v>
      </c>
      <c r="AC253" s="8">
        <v>103.5</v>
      </c>
      <c r="AD253" t="s">
        <v>6</v>
      </c>
      <c r="AE253" s="8">
        <v>129.99</v>
      </c>
      <c r="AF253" t="s">
        <v>6</v>
      </c>
      <c r="AG253" s="8">
        <v>129.91999999999999</v>
      </c>
      <c r="AH253" t="s">
        <v>6</v>
      </c>
      <c r="AI253" s="8">
        <v>187.34</v>
      </c>
      <c r="AJ253" t="s">
        <v>6</v>
      </c>
      <c r="AK253" s="8">
        <v>56589583.5</v>
      </c>
      <c r="AL253" t="s">
        <v>6</v>
      </c>
    </row>
    <row r="254" spans="1:40" x14ac:dyDescent="0.2">
      <c r="A254" s="7" t="s">
        <v>57</v>
      </c>
      <c r="B254" t="s">
        <v>6</v>
      </c>
      <c r="C254" s="8">
        <v>183.93799999999999</v>
      </c>
      <c r="D254" s="10">
        <f t="shared" si="37"/>
        <v>1.0282931847023373</v>
      </c>
      <c r="E254" s="8">
        <v>102.387</v>
      </c>
      <c r="F254" s="10">
        <f t="shared" si="36"/>
        <v>1.0034989708909143</v>
      </c>
      <c r="G254" s="8">
        <v>149.02000000000001</v>
      </c>
      <c r="H254" t="s">
        <v>6</v>
      </c>
      <c r="I254" s="8">
        <v>100.639</v>
      </c>
      <c r="J254" t="s">
        <v>6</v>
      </c>
      <c r="K254" s="8">
        <v>100</v>
      </c>
      <c r="L254" t="s">
        <v>6</v>
      </c>
      <c r="M254" s="8">
        <v>104.523</v>
      </c>
      <c r="N254" t="s">
        <v>6</v>
      </c>
      <c r="O254" s="8">
        <v>105.283</v>
      </c>
      <c r="P254" t="s">
        <v>6</v>
      </c>
      <c r="Q254" s="8">
        <v>112.3</v>
      </c>
      <c r="R254" t="s">
        <v>6</v>
      </c>
      <c r="S254" s="8">
        <v>137.13</v>
      </c>
      <c r="T254" t="s">
        <v>6</v>
      </c>
      <c r="U254" s="8">
        <v>323.2</v>
      </c>
      <c r="V254" t="s">
        <v>6</v>
      </c>
      <c r="W254" s="8">
        <v>103.02</v>
      </c>
      <c r="X254" t="s">
        <v>6</v>
      </c>
      <c r="Y254" s="8">
        <v>227.434</v>
      </c>
      <c r="Z254" t="s">
        <v>6</v>
      </c>
      <c r="AA254" s="8">
        <v>104.7</v>
      </c>
      <c r="AB254" t="s">
        <v>6</v>
      </c>
      <c r="AC254" s="8">
        <v>103.2</v>
      </c>
      <c r="AD254" t="s">
        <v>6</v>
      </c>
      <c r="AE254" s="8">
        <v>130.22999999999999</v>
      </c>
      <c r="AF254" t="s">
        <v>6</v>
      </c>
      <c r="AG254" s="8">
        <v>129.63999999999999</v>
      </c>
      <c r="AH254" t="s">
        <v>6</v>
      </c>
      <c r="AI254" s="8">
        <v>186.62</v>
      </c>
      <c r="AJ254" t="s">
        <v>6</v>
      </c>
      <c r="AK254" s="8">
        <v>110597550.2</v>
      </c>
      <c r="AL254" t="s">
        <v>6</v>
      </c>
    </row>
    <row r="255" spans="1:40" x14ac:dyDescent="0.2">
      <c r="A255" s="9" t="s">
        <v>78</v>
      </c>
    </row>
    <row r="256" spans="1:40" x14ac:dyDescent="0.2">
      <c r="A256" s="2" t="s">
        <v>79</v>
      </c>
    </row>
    <row r="257" spans="1:1" x14ac:dyDescent="0.2">
      <c r="A257" s="9" t="s">
        <v>80</v>
      </c>
    </row>
    <row r="258" spans="1:1" x14ac:dyDescent="0.2">
      <c r="A258" s="9" t="s">
        <v>81</v>
      </c>
    </row>
    <row r="259" spans="1:1" x14ac:dyDescent="0.2">
      <c r="A259" s="9" t="s">
        <v>82</v>
      </c>
    </row>
    <row r="260" spans="1:1" x14ac:dyDescent="0.2">
      <c r="A260" s="9" t="s">
        <v>83</v>
      </c>
    </row>
    <row r="261" spans="1:1" x14ac:dyDescent="0.2">
      <c r="A261" s="9" t="s">
        <v>84</v>
      </c>
    </row>
    <row r="262" spans="1:1" x14ac:dyDescent="0.2">
      <c r="A262" s="9" t="s">
        <v>85</v>
      </c>
    </row>
    <row r="263" spans="1:1" x14ac:dyDescent="0.2">
      <c r="A263" s="9" t="s">
        <v>86</v>
      </c>
    </row>
    <row r="264" spans="1:1" x14ac:dyDescent="0.2">
      <c r="A264" s="9" t="s">
        <v>87</v>
      </c>
    </row>
    <row r="265" spans="1:1" x14ac:dyDescent="0.2">
      <c r="A265" s="9" t="s">
        <v>88</v>
      </c>
    </row>
    <row r="266" spans="1:1" x14ac:dyDescent="0.2">
      <c r="A266" s="9" t="s">
        <v>89</v>
      </c>
    </row>
    <row r="267" spans="1:1" x14ac:dyDescent="0.2">
      <c r="A267" s="9" t="s">
        <v>90</v>
      </c>
    </row>
    <row r="268" spans="1:1" x14ac:dyDescent="0.2">
      <c r="A268" s="9" t="s">
        <v>91</v>
      </c>
    </row>
    <row r="269" spans="1:1" x14ac:dyDescent="0.2">
      <c r="A269" s="9" t="s">
        <v>92</v>
      </c>
    </row>
    <row r="270" spans="1:1" x14ac:dyDescent="0.2">
      <c r="A270" s="9" t="s">
        <v>93</v>
      </c>
    </row>
    <row r="271" spans="1:1" x14ac:dyDescent="0.2">
      <c r="A271" s="9" t="s">
        <v>94</v>
      </c>
    </row>
    <row r="272" spans="1:1" x14ac:dyDescent="0.2">
      <c r="A272" s="9" t="s">
        <v>95</v>
      </c>
    </row>
    <row r="273" spans="1:1" x14ac:dyDescent="0.2">
      <c r="A273" s="9" t="s">
        <v>96</v>
      </c>
    </row>
    <row r="274" spans="1:1" x14ac:dyDescent="0.2">
      <c r="A274" s="9" t="s">
        <v>97</v>
      </c>
    </row>
    <row r="275" spans="1:1" x14ac:dyDescent="0.2">
      <c r="A275" s="2" t="s">
        <v>98</v>
      </c>
    </row>
    <row r="276" spans="1:1" x14ac:dyDescent="0.2">
      <c r="A276" s="9" t="s">
        <v>99</v>
      </c>
    </row>
    <row r="277" spans="1:1" x14ac:dyDescent="0.2">
      <c r="A277" s="9" t="s">
        <v>100</v>
      </c>
    </row>
    <row r="278" spans="1:1" x14ac:dyDescent="0.2">
      <c r="A278" s="9" t="s">
        <v>101</v>
      </c>
    </row>
    <row r="279" spans="1:1" x14ac:dyDescent="0.2">
      <c r="A279" s="9" t="s">
        <v>102</v>
      </c>
    </row>
    <row r="280" spans="1:1" x14ac:dyDescent="0.2">
      <c r="A280" s="9" t="s">
        <v>103</v>
      </c>
    </row>
    <row r="281" spans="1:1" x14ac:dyDescent="0.2">
      <c r="A281" s="9" t="s">
        <v>104</v>
      </c>
    </row>
    <row r="282" spans="1:1" x14ac:dyDescent="0.2">
      <c r="A282" s="9" t="s">
        <v>105</v>
      </c>
    </row>
    <row r="283" spans="1:1" x14ac:dyDescent="0.2">
      <c r="A283" s="9" t="s">
        <v>106</v>
      </c>
    </row>
    <row r="284" spans="1:1" x14ac:dyDescent="0.2">
      <c r="A284" s="9" t="s">
        <v>107</v>
      </c>
    </row>
    <row r="285" spans="1:1" x14ac:dyDescent="0.2">
      <c r="A285" s="9" t="s">
        <v>108</v>
      </c>
    </row>
    <row r="286" spans="1:1" x14ac:dyDescent="0.2">
      <c r="A286" s="9" t="s">
        <v>109</v>
      </c>
    </row>
    <row r="287" spans="1:1" x14ac:dyDescent="0.2">
      <c r="A287" s="9" t="s">
        <v>110</v>
      </c>
    </row>
    <row r="288" spans="1:1" x14ac:dyDescent="0.2">
      <c r="A288" s="9" t="s">
        <v>111</v>
      </c>
    </row>
    <row r="289" spans="1:1" x14ac:dyDescent="0.2">
      <c r="A289" s="9" t="s">
        <v>112</v>
      </c>
    </row>
    <row r="290" spans="1:1" x14ac:dyDescent="0.2">
      <c r="A290" s="9" t="s">
        <v>113</v>
      </c>
    </row>
    <row r="291" spans="1:1" x14ac:dyDescent="0.2">
      <c r="A291" s="9" t="s">
        <v>114</v>
      </c>
    </row>
    <row r="292" spans="1:1" x14ac:dyDescent="0.2">
      <c r="A292" s="9" t="s">
        <v>115</v>
      </c>
    </row>
    <row r="293" spans="1:1" x14ac:dyDescent="0.2">
      <c r="A293" s="9" t="s">
        <v>116</v>
      </c>
    </row>
    <row r="294" spans="1:1" x14ac:dyDescent="0.2">
      <c r="A294" s="9" t="s">
        <v>117</v>
      </c>
    </row>
    <row r="295" spans="1:1" x14ac:dyDescent="0.2">
      <c r="A295" s="9" t="s">
        <v>118</v>
      </c>
    </row>
    <row r="296" spans="1:1" x14ac:dyDescent="0.2">
      <c r="A296" s="9" t="s">
        <v>119</v>
      </c>
    </row>
    <row r="297" spans="1:1" x14ac:dyDescent="0.2">
      <c r="A297" s="9" t="s">
        <v>120</v>
      </c>
    </row>
    <row r="298" spans="1:1" x14ac:dyDescent="0.2">
      <c r="A298" s="9" t="s">
        <v>121</v>
      </c>
    </row>
    <row r="299" spans="1:1" x14ac:dyDescent="0.2">
      <c r="A299" s="9" t="s">
        <v>122</v>
      </c>
    </row>
    <row r="300" spans="1:1" x14ac:dyDescent="0.2">
      <c r="A300" s="9" t="s">
        <v>123</v>
      </c>
    </row>
    <row r="301" spans="1:1" x14ac:dyDescent="0.2">
      <c r="A301" s="9" t="s">
        <v>124</v>
      </c>
    </row>
    <row r="302" spans="1:1" x14ac:dyDescent="0.2">
      <c r="A302" s="9" t="s">
        <v>125</v>
      </c>
    </row>
    <row r="303" spans="1:1" x14ac:dyDescent="0.2">
      <c r="A303" s="9" t="s">
        <v>126</v>
      </c>
    </row>
    <row r="304" spans="1:1" x14ac:dyDescent="0.2">
      <c r="A304" s="9" t="s">
        <v>127</v>
      </c>
    </row>
    <row r="305" spans="1:1" x14ac:dyDescent="0.2">
      <c r="A305" s="9" t="s">
        <v>128</v>
      </c>
    </row>
    <row r="306" spans="1:1" x14ac:dyDescent="0.2">
      <c r="A306" s="9" t="s">
        <v>129</v>
      </c>
    </row>
    <row r="307" spans="1:1" x14ac:dyDescent="0.2">
      <c r="A307" s="9" t="s">
        <v>130</v>
      </c>
    </row>
    <row r="308" spans="1:1" x14ac:dyDescent="0.2">
      <c r="A308" s="9" t="s">
        <v>131</v>
      </c>
    </row>
    <row r="309" spans="1:1" x14ac:dyDescent="0.2">
      <c r="A309" s="9" t="s">
        <v>132</v>
      </c>
    </row>
    <row r="310" spans="1:1" x14ac:dyDescent="0.2">
      <c r="A310" s="9" t="s">
        <v>133</v>
      </c>
    </row>
    <row r="311" spans="1:1" x14ac:dyDescent="0.2">
      <c r="A311" s="9" t="s">
        <v>134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Nivel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ECLAC-Statisticas and Economic Projections Division</dc:creator>
  <cp:lastModifiedBy>Marc</cp:lastModifiedBy>
  <dcterms:created xsi:type="dcterms:W3CDTF">2020-04-30T16:21:25Z</dcterms:created>
  <dcterms:modified xsi:type="dcterms:W3CDTF">2021-03-04T18:21:48Z</dcterms:modified>
</cp:coreProperties>
</file>